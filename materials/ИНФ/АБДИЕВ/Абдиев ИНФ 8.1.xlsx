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PC-11-213-00\Downloads\"/>
    </mc:Choice>
  </mc:AlternateContent>
  <xr:revisionPtr revIDLastSave="0" documentId="13_ncr:1_{E00464A8-FF22-4F85-A05B-E38B0B6FB0B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Основа" sheetId="1" r:id="rId1"/>
    <sheet name="Лист2" sheetId="4" r:id="rId2"/>
    <sheet name="Лист3" sheetId="5" r:id="rId3"/>
    <sheet name="Лист4" sheetId="6" r:id="rId4"/>
    <sheet name="Лист5" sheetId="7" r:id="rId5"/>
  </sheets>
  <definedNames>
    <definedName name="Базис_1">Основа!$C$3</definedName>
    <definedName name="Базис_10">Основа!$C$12</definedName>
    <definedName name="Базис_100">Основа!$L$12</definedName>
    <definedName name="Базис_101">Основа!$M$3</definedName>
    <definedName name="Базис_102">Основа!$M$4</definedName>
    <definedName name="Базис_103">Основа!$M$5</definedName>
    <definedName name="Базис_104">Основа!$M$6</definedName>
    <definedName name="Базис_105">Основа!$M$7</definedName>
    <definedName name="Базис_106">Основа!$M$8</definedName>
    <definedName name="Базис_107">Основа!$M$9</definedName>
    <definedName name="Базис_108">Основа!$M$10</definedName>
    <definedName name="Базис_109">Основа!$M$11</definedName>
    <definedName name="Базис_11">Основа!$D$3</definedName>
    <definedName name="Базис_110">Основа!$M$12</definedName>
    <definedName name="Базис_12">Основа!$D$4</definedName>
    <definedName name="Базис_13">Основа!$D$5</definedName>
    <definedName name="Базис_14">Основа!$D$6</definedName>
    <definedName name="Базис_15">Основа!$D$7</definedName>
    <definedName name="Базис_16">Основа!$D$8</definedName>
    <definedName name="Базис_17">Основа!$D$9</definedName>
    <definedName name="Базис_18">Основа!$D$10</definedName>
    <definedName name="Базис_19">Основа!$D$11</definedName>
    <definedName name="Базис_2">Основа!$C$4</definedName>
    <definedName name="Базис_20">Основа!$D$12</definedName>
    <definedName name="Базис_21">Основа!$E$3</definedName>
    <definedName name="Базис_22">Основа!$E$4</definedName>
    <definedName name="Базис_23">Основа!$E$5</definedName>
    <definedName name="Базис_24">Основа!$E$6</definedName>
    <definedName name="Базис_25">Основа!$E$7</definedName>
    <definedName name="Базис_26">Основа!$E$8</definedName>
    <definedName name="Базис_27">Основа!$E$9</definedName>
    <definedName name="Базис_28">Основа!$E$10</definedName>
    <definedName name="Базис_29">Основа!$E$11</definedName>
    <definedName name="Базис_3">Основа!$C$5</definedName>
    <definedName name="Базис_30">Основа!$E$12</definedName>
    <definedName name="Базис_31">Основа!$F$3</definedName>
    <definedName name="Базис_32">Основа!$F$4</definedName>
    <definedName name="Базис_33">Основа!$F$5</definedName>
    <definedName name="Базис_34">Основа!$F$6</definedName>
    <definedName name="Базис_35">Основа!$F$7</definedName>
    <definedName name="Базис_36">Основа!$F$8</definedName>
    <definedName name="Базис_37">Основа!$F$9</definedName>
    <definedName name="Базис_38">Основа!$F$10</definedName>
    <definedName name="Базис_39">Основа!$F$11</definedName>
    <definedName name="Базис_4">Основа!$C$6</definedName>
    <definedName name="Базис_40">Основа!$F$12</definedName>
    <definedName name="Базис_41">Основа!$G$3</definedName>
    <definedName name="Базис_42">Основа!$G$4</definedName>
    <definedName name="Базис_43">Основа!$G$5</definedName>
    <definedName name="Базис_44">Основа!$G$6</definedName>
    <definedName name="Базис_45">Основа!$G$7</definedName>
    <definedName name="Базис_46">Основа!$G$8</definedName>
    <definedName name="Базис_47">Основа!$G$9</definedName>
    <definedName name="Базис_48">Основа!$G$10</definedName>
    <definedName name="Базис_49">Основа!$G$11</definedName>
    <definedName name="Базис_5">Основа!$C$7</definedName>
    <definedName name="Базис_50">Основа!$G$12</definedName>
    <definedName name="Базис_51">Основа!$H$3</definedName>
    <definedName name="Базис_52">Основа!$H$4</definedName>
    <definedName name="Базис_53">Основа!$H$5</definedName>
    <definedName name="Базис_54">Основа!$H$6</definedName>
    <definedName name="Базис_55">Основа!$H$7</definedName>
    <definedName name="Базис_56">Основа!$H$8</definedName>
    <definedName name="Базис_57">Основа!$H$9</definedName>
    <definedName name="Базис_58">Основа!$H$10</definedName>
    <definedName name="Базис_59">Основа!$H$11</definedName>
    <definedName name="Базис_6">Основа!$C$8</definedName>
    <definedName name="Базис_60">Основа!$H$12</definedName>
    <definedName name="Базис_61">Основа!$I$3</definedName>
    <definedName name="Базис_62">Основа!$I$4</definedName>
    <definedName name="Базис_63">Основа!$I$5</definedName>
    <definedName name="Базис_64">Основа!$I$6</definedName>
    <definedName name="Базис_65">Основа!$I$7</definedName>
    <definedName name="Базис_66">Основа!$I$8</definedName>
    <definedName name="Базис_67">Основа!$I$9</definedName>
    <definedName name="Базис_68">Основа!$I$10</definedName>
    <definedName name="Базис_69">Основа!$I$11</definedName>
    <definedName name="Базис_7">Основа!$C$9</definedName>
    <definedName name="Базис_70">Основа!$I$12</definedName>
    <definedName name="Базис_71">Основа!$J$3</definedName>
    <definedName name="Базис_72">Основа!$J$4</definedName>
    <definedName name="Базис_73">Основа!$J$5</definedName>
    <definedName name="Базис_74">Основа!$J$6</definedName>
    <definedName name="Базис_75">Основа!$J$7</definedName>
    <definedName name="Базис_76">Основа!$J$8</definedName>
    <definedName name="Базис_77">Основа!$J$9</definedName>
    <definedName name="Базис_78">Основа!$J$10</definedName>
    <definedName name="Базис_79">Основа!$J$11</definedName>
    <definedName name="Базис_8">Основа!$C$10</definedName>
    <definedName name="Базис_80">Основа!$J$12</definedName>
    <definedName name="Базис_81">Основа!$K$3</definedName>
    <definedName name="Базис_82">Основа!$K$4</definedName>
    <definedName name="Базис_83">Основа!$K$5</definedName>
    <definedName name="Базис_84">Основа!$K$6</definedName>
    <definedName name="Базис_85">Основа!$K$7</definedName>
    <definedName name="Базис_86">Основа!$K$8</definedName>
    <definedName name="Базис_87">Основа!$K$9</definedName>
    <definedName name="Базис_88">Основа!$K$10</definedName>
    <definedName name="Базис_89">Основа!$K$11</definedName>
    <definedName name="Базис_9">Основа!$C$11</definedName>
    <definedName name="Базис_90">Основа!$K$12</definedName>
    <definedName name="Базис_91">Основа!$L$3</definedName>
    <definedName name="Базис_92">Основа!$L$4</definedName>
    <definedName name="Базис_93">Основа!$L$5</definedName>
    <definedName name="Базис_94">Основа!$L$6</definedName>
    <definedName name="Базис_95">Основа!$L$7</definedName>
    <definedName name="Базис_96">Основа!$L$8</definedName>
    <definedName name="Базис_97">Основа!$L$9</definedName>
    <definedName name="Базис_98">Основа!$L$10</definedName>
    <definedName name="Базис_99">Основа!$L$11</definedName>
    <definedName name="Базис_Ж_1">Основа!$S$3</definedName>
    <definedName name="Базис_Ж_10">Основа!$S$12</definedName>
    <definedName name="Базис_Ж_100">Основа!$AB$12</definedName>
    <definedName name="Базис_Ж_101">Основа!$AC$3</definedName>
    <definedName name="Базис_Ж_102">Основа!$AC$4</definedName>
    <definedName name="Базис_Ж_103">Основа!$AC$5</definedName>
    <definedName name="Базис_Ж_104">Основа!$AC$6</definedName>
    <definedName name="Базис_Ж_105">Основа!$AC$7</definedName>
    <definedName name="Базис_Ж_106">Основа!$AC$8</definedName>
    <definedName name="Базис_Ж_107">Основа!$AC$9</definedName>
    <definedName name="Базис_Ж_108">Основа!$AC$10</definedName>
    <definedName name="Базис_Ж_109">Основа!$AC$11</definedName>
    <definedName name="Базис_Ж_11">Основа!$T$3</definedName>
    <definedName name="Базис_Ж_110">Основа!$AC$12</definedName>
    <definedName name="Базис_Ж_12">Основа!$T$4</definedName>
    <definedName name="Базис_Ж_13">Основа!$T$5</definedName>
    <definedName name="Базис_Ж_14">Основа!$T$6</definedName>
    <definedName name="Базис_Ж_15">Основа!$T$7</definedName>
    <definedName name="Базис_Ж_16">Основа!$T$8</definedName>
    <definedName name="Базис_Ж_17">Основа!$T$9</definedName>
    <definedName name="Базис_Ж_18">Основа!$T$10</definedName>
    <definedName name="Базис_Ж_19">Основа!$T$11</definedName>
    <definedName name="Базис_Ж_2">Основа!$S$4</definedName>
    <definedName name="Базис_Ж_20">Основа!$T$12</definedName>
    <definedName name="Базис_Ж_21">Основа!$U$3</definedName>
    <definedName name="Базис_Ж_22">Основа!$U$4</definedName>
    <definedName name="Базис_Ж_23">Основа!$U$5</definedName>
    <definedName name="Базис_Ж_24">Основа!$U$6</definedName>
    <definedName name="Базис_Ж_25">Основа!$U$7</definedName>
    <definedName name="Базис_Ж_26">Основа!$U$8</definedName>
    <definedName name="Базис_Ж_27">Основа!$U$9</definedName>
    <definedName name="Базис_Ж_28">Основа!$U$10</definedName>
    <definedName name="Базис_Ж_29">Основа!$U$11</definedName>
    <definedName name="Базис_Ж_3">Основа!$S$5</definedName>
    <definedName name="Базис_Ж_30">Основа!$U$12</definedName>
    <definedName name="Базис_Ж_31">Основа!$V$3</definedName>
    <definedName name="Базис_Ж_32">Основа!$V$4</definedName>
    <definedName name="Базис_Ж_33">Основа!$V$5</definedName>
    <definedName name="Базис_Ж_34">Основа!$V$6</definedName>
    <definedName name="Базис_Ж_35">Основа!$V$7</definedName>
    <definedName name="Базис_Ж_36">Основа!$V$8</definedName>
    <definedName name="Базис_Ж_37">Основа!$V$9</definedName>
    <definedName name="Базис_Ж_38">Основа!$V$10</definedName>
    <definedName name="Базис_Ж_39">Основа!$V$11</definedName>
    <definedName name="Базис_Ж_4">Основа!$S$6</definedName>
    <definedName name="Базис_Ж_40">Основа!$V$12</definedName>
    <definedName name="Базис_Ж_41">Основа!$W$3</definedName>
    <definedName name="Базис_Ж_42">Основа!$W$4</definedName>
    <definedName name="Базис_Ж_43">Основа!$W$5</definedName>
    <definedName name="Базис_Ж_44">Основа!$W$6</definedName>
    <definedName name="Базис_Ж_45">Основа!$W$7</definedName>
    <definedName name="Базис_Ж_46">Основа!$W$8</definedName>
    <definedName name="Базис_Ж_47">Основа!$W$9</definedName>
    <definedName name="Базис_Ж_48">Основа!$W$10</definedName>
    <definedName name="Базис_Ж_49">Основа!$W$11</definedName>
    <definedName name="Базис_Ж_5">Основа!$S$7</definedName>
    <definedName name="Базис_Ж_50">Основа!$W$12</definedName>
    <definedName name="Базис_Ж_51">Основа!$X$3</definedName>
    <definedName name="Базис_Ж_52">Основа!$X$4</definedName>
    <definedName name="Базис_Ж_53">Основа!$X$5</definedName>
    <definedName name="Базис_Ж_54">Основа!$X$6</definedName>
    <definedName name="Базис_Ж_55">Основа!$X$7</definedName>
    <definedName name="Базис_Ж_56">Основа!$X$8</definedName>
    <definedName name="Базис_Ж_57">Основа!$X$9</definedName>
    <definedName name="Базис_Ж_58">Основа!$X$10</definedName>
    <definedName name="Базис_Ж_59">Основа!$X$11</definedName>
    <definedName name="Базис_Ж_6">Основа!$S$8</definedName>
    <definedName name="Базис_Ж_60">Основа!$X$12</definedName>
    <definedName name="Базис_Ж_61">Основа!$Y$3</definedName>
    <definedName name="Базис_Ж_62">Основа!$Y$4</definedName>
    <definedName name="Базис_Ж_63">Основа!$Y$5</definedName>
    <definedName name="Базис_Ж_64">Основа!$Y$6</definedName>
    <definedName name="Базис_Ж_65">Основа!$Y$7</definedName>
    <definedName name="Базис_Ж_66">Основа!$Y$8</definedName>
    <definedName name="Базис_Ж_67">Основа!$Y$9</definedName>
    <definedName name="Базис_Ж_68">Основа!$Y$10</definedName>
    <definedName name="Базис_Ж_69">Основа!$Y$11</definedName>
    <definedName name="Базис_Ж_7">Основа!$S$9</definedName>
    <definedName name="Базис_Ж_70">Основа!$Y$12</definedName>
    <definedName name="Базис_Ж_71">Основа!$Z$3</definedName>
    <definedName name="Базис_Ж_72">Основа!$Z$4</definedName>
    <definedName name="Базис_Ж_73">Основа!$Z$5</definedName>
    <definedName name="Базис_Ж_74">Основа!$Z$6</definedName>
    <definedName name="Базис_Ж_75">Основа!$Z$7</definedName>
    <definedName name="Базис_Ж_76">Основа!$Z$8</definedName>
    <definedName name="Базис_Ж_77">Основа!$Z$9</definedName>
    <definedName name="Базис_Ж_78">Основа!$Z$10</definedName>
    <definedName name="Базис_Ж_79">Основа!$Z$11</definedName>
    <definedName name="Базис_Ж_8">Основа!$S$10</definedName>
    <definedName name="Базис_Ж_80">Основа!$Z$12</definedName>
    <definedName name="Базис_Ж_81">Основа!$AA$3</definedName>
    <definedName name="Базис_Ж_82">Основа!$AA$4</definedName>
    <definedName name="Базис_Ж_83">Основа!$AA$5</definedName>
    <definedName name="Базис_Ж_84">Основа!$AA$6</definedName>
    <definedName name="Базис_Ж_85">Основа!$AA$7</definedName>
    <definedName name="Базис_Ж_86">Основа!$AA$8</definedName>
    <definedName name="Базис_Ж_87">Основа!$AA$9</definedName>
    <definedName name="Базис_Ж_88">Основа!$AA$10</definedName>
    <definedName name="Базис_Ж_89">Основа!$AA$11</definedName>
    <definedName name="Базис_Ж_9">Основа!$S$11</definedName>
    <definedName name="Базис_Ж_90">Основа!$AA$12</definedName>
    <definedName name="Базис_Ж_91">Основа!$AB$3</definedName>
    <definedName name="Базис_Ж_92">Основа!$AB$4</definedName>
    <definedName name="Базис_Ж_93">Основа!$AB$5</definedName>
    <definedName name="Базис_Ж_94">Основа!$AB$6</definedName>
    <definedName name="Базис_Ж_95">Основа!$AB$7</definedName>
    <definedName name="Базис_Ж_96">Основа!$AB$8</definedName>
    <definedName name="Базис_Ж_97">Основа!$AB$9</definedName>
    <definedName name="Базис_Ж_98">Основа!$AB$10</definedName>
    <definedName name="Базис_Ж_99">Основа!$AB$11</definedName>
    <definedName name="Базис_М_1">Основа!$AI$3</definedName>
    <definedName name="Базис_М_10">Основа!$AI$12</definedName>
    <definedName name="Базис_М_100">Основа!$AR$12</definedName>
    <definedName name="Базис_М_101">Основа!$AS$3</definedName>
    <definedName name="Базис_М_102">Основа!$AS$4</definedName>
    <definedName name="Базис_М_103">Основа!$AS$5</definedName>
    <definedName name="Базис_М_104">Основа!$AS$6</definedName>
    <definedName name="Базис_М_105">Основа!$AS$7</definedName>
    <definedName name="Базис_М_106">Основа!$AS$8</definedName>
    <definedName name="Базис_М_107">Основа!$AS$9</definedName>
    <definedName name="Базис_М_108">Основа!$AS$10</definedName>
    <definedName name="Базис_М_109">Основа!$AS$11</definedName>
    <definedName name="Базис_М_11">Основа!$AJ$3</definedName>
    <definedName name="Базис_М_110">Основа!$AS$12</definedName>
    <definedName name="Базис_М_12">Основа!$AJ$4</definedName>
    <definedName name="Базис_М_13">Основа!$AJ$5</definedName>
    <definedName name="Базис_М_14">Основа!$AJ$6</definedName>
    <definedName name="Базис_М_15">Основа!$AJ$7</definedName>
    <definedName name="Базис_М_16">Основа!$AJ$8</definedName>
    <definedName name="Базис_М_17">Основа!$AJ$9</definedName>
    <definedName name="Базис_М_18">Основа!$AJ$10</definedName>
    <definedName name="Базис_М_19">Основа!$AJ$11</definedName>
    <definedName name="Базис_М_2">Основа!$AI$4</definedName>
    <definedName name="Базис_М_20">Основа!$AJ$12</definedName>
    <definedName name="Базис_М_21">Основа!$AK$3</definedName>
    <definedName name="Базис_М_22">Основа!$AK$4</definedName>
    <definedName name="Базис_М_23">Основа!$AK$5</definedName>
    <definedName name="Базис_М_24">Основа!$AK$6</definedName>
    <definedName name="Базис_М_25">Основа!$AK$7</definedName>
    <definedName name="Базис_М_26">Основа!$AK$8</definedName>
    <definedName name="Базис_М_27">Основа!$AK$9</definedName>
    <definedName name="Базис_М_28">Основа!$AK$10</definedName>
    <definedName name="Базис_М_29">Основа!$AK$11</definedName>
    <definedName name="Базис_М_3">Основа!$AI$5</definedName>
    <definedName name="Базис_М_30">Основа!$AK$12</definedName>
    <definedName name="Базис_М_31">Основа!$AL$3</definedName>
    <definedName name="Базис_М_32">Основа!$AL$4</definedName>
    <definedName name="Базис_М_33">Основа!$AL$5</definedName>
    <definedName name="Базис_М_34">Основа!$AL$6</definedName>
    <definedName name="Базис_М_35">Основа!$AL$7</definedName>
    <definedName name="Базис_М_36">Основа!$AL$8</definedName>
    <definedName name="Базис_М_37">Основа!$AL$9</definedName>
    <definedName name="Базис_М_38">Основа!$AL$10</definedName>
    <definedName name="Базис_М_39">Основа!$AL$11</definedName>
    <definedName name="Базис_М_4">Основа!$AI$6</definedName>
    <definedName name="Базис_М_40">Основа!$AL$12</definedName>
    <definedName name="Базис_М_41">Основа!$AM$3</definedName>
    <definedName name="Базис_М_42">Основа!$AM$4</definedName>
    <definedName name="Базис_М_43">Основа!$AM$5</definedName>
    <definedName name="Базис_М_44">Основа!$AM$6</definedName>
    <definedName name="Базис_М_45">Основа!$AM$7</definedName>
    <definedName name="Базис_М_46">Основа!$AM$8</definedName>
    <definedName name="Базис_М_47">Основа!$AM$9</definedName>
    <definedName name="Базис_М_48">Основа!$AM$10</definedName>
    <definedName name="Базис_М_49">Основа!$AM$11</definedName>
    <definedName name="Базис_М_5">Основа!$AI$7</definedName>
    <definedName name="Базис_М_50">Основа!$AM$12</definedName>
    <definedName name="Базис_М_51">Основа!$AN$3</definedName>
    <definedName name="Базис_М_52">Основа!$AN$4</definedName>
    <definedName name="Базис_М_53">Основа!$AN$5</definedName>
    <definedName name="Базис_М_54">Основа!$AN$6</definedName>
    <definedName name="Базис_М_55">Основа!$AN$7</definedName>
    <definedName name="Базис_М_56">Основа!$AN$8</definedName>
    <definedName name="Базис_М_57">Основа!$AN$9</definedName>
    <definedName name="Базис_М_58">Основа!$AN$10</definedName>
    <definedName name="Базис_М_59">Основа!$AN$11</definedName>
    <definedName name="Базис_М_6">Основа!$AI$8</definedName>
    <definedName name="Базис_М_60">Основа!$AN$12</definedName>
    <definedName name="Базис_М_61">Основа!$AO$3</definedName>
    <definedName name="Базис_М_62">Основа!$AO$4</definedName>
    <definedName name="Базис_М_63">Основа!$AO$5</definedName>
    <definedName name="Базис_М_64">Основа!$AO$6</definedName>
    <definedName name="Базис_М_65">Основа!$AO$7</definedName>
    <definedName name="Базис_М_66">Основа!$AO$8</definedName>
    <definedName name="Базис_М_67">Основа!$AO$9</definedName>
    <definedName name="Базис_М_68">Основа!$AO$10</definedName>
    <definedName name="Базис_М_69">Основа!$AO$11</definedName>
    <definedName name="Базис_М_7">Основа!$AI$9</definedName>
    <definedName name="Базис_М_70">Основа!$AO$12</definedName>
    <definedName name="Базис_М_71">Основа!$AP$3</definedName>
    <definedName name="Базис_М_72">Основа!$AP$4</definedName>
    <definedName name="Базис_М_73">Основа!$AP$5</definedName>
    <definedName name="Базис_М_74">Основа!$AP$6</definedName>
    <definedName name="Базис_М_75">Основа!$AP$7</definedName>
    <definedName name="Базис_М_76">Основа!$AP$8</definedName>
    <definedName name="Базис_М_77">Основа!$AP$9</definedName>
    <definedName name="Базис_М_78">Основа!$AP$10</definedName>
    <definedName name="Базис_М_79">Основа!$AP$11</definedName>
    <definedName name="Базис_М_8">Основа!$AI$10</definedName>
    <definedName name="Базис_М_80">Основа!$AP$12</definedName>
    <definedName name="Базис_М_81">Основа!$AQ$3</definedName>
    <definedName name="Базис_М_82">Основа!$AQ$4</definedName>
    <definedName name="Базис_М_83">Основа!$AQ$5</definedName>
    <definedName name="Базис_М_84">Основа!$AQ$6</definedName>
    <definedName name="Базис_М_85">Основа!$AQ$7</definedName>
    <definedName name="Базис_М_86">Основа!$AQ$8</definedName>
    <definedName name="Базис_М_87">Основа!$AQ$9</definedName>
    <definedName name="Базис_М_88">Основа!$AQ$10</definedName>
    <definedName name="Базис_М_89">Основа!$AQ$11</definedName>
    <definedName name="Базис_М_9">Основа!$AI$11</definedName>
    <definedName name="Базис_М_90">Основа!$AQ$12</definedName>
    <definedName name="Базис_М_91">Основа!$AR$3</definedName>
    <definedName name="Базис_М_92">Основа!$AR$4</definedName>
    <definedName name="Базис_М_93">Основа!$AR$5</definedName>
    <definedName name="Базис_М_94">Основа!$AR$6</definedName>
    <definedName name="Базис_М_95">Основа!$AR$7</definedName>
    <definedName name="Базис_М_96">Основа!$AR$8</definedName>
    <definedName name="Базис_М_97">Основа!$AR$9</definedName>
    <definedName name="Базис_М_98">Основа!$AR$10</definedName>
    <definedName name="Базис_М_99">Основа!$AR$11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3" i="1" l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M60" i="1"/>
  <c r="L60" i="1"/>
  <c r="K60" i="1"/>
  <c r="J60" i="1"/>
  <c r="I60" i="1"/>
  <c r="H60" i="1"/>
  <c r="G60" i="1"/>
  <c r="F60" i="1"/>
  <c r="E60" i="1"/>
  <c r="D60" i="1"/>
  <c r="M59" i="1"/>
  <c r="L59" i="1"/>
  <c r="K59" i="1"/>
  <c r="J59" i="1"/>
  <c r="I59" i="1"/>
  <c r="H59" i="1"/>
  <c r="G59" i="1"/>
  <c r="F59" i="1"/>
  <c r="E59" i="1"/>
  <c r="D59" i="1"/>
  <c r="M58" i="1"/>
  <c r="L58" i="1"/>
  <c r="K58" i="1"/>
  <c r="J58" i="1"/>
  <c r="I58" i="1"/>
  <c r="H58" i="1"/>
  <c r="G58" i="1"/>
  <c r="F58" i="1"/>
  <c r="E58" i="1"/>
  <c r="D58" i="1"/>
  <c r="M57" i="1"/>
  <c r="L57" i="1"/>
  <c r="K57" i="1"/>
  <c r="J57" i="1"/>
  <c r="I57" i="1"/>
  <c r="H57" i="1"/>
  <c r="G57" i="1"/>
  <c r="F57" i="1"/>
  <c r="E57" i="1"/>
  <c r="D57" i="1"/>
  <c r="M56" i="1"/>
  <c r="L56" i="1"/>
  <c r="K56" i="1"/>
  <c r="J56" i="1"/>
  <c r="I56" i="1"/>
  <c r="H56" i="1"/>
  <c r="G56" i="1"/>
  <c r="F56" i="1"/>
  <c r="E56" i="1"/>
  <c r="D56" i="1"/>
  <c r="M55" i="1"/>
  <c r="L55" i="1"/>
  <c r="K55" i="1"/>
  <c r="J55" i="1"/>
  <c r="I55" i="1"/>
  <c r="H55" i="1"/>
  <c r="G55" i="1"/>
  <c r="F55" i="1"/>
  <c r="E55" i="1"/>
  <c r="D55" i="1"/>
  <c r="M54" i="1"/>
  <c r="L54" i="1"/>
  <c r="K54" i="1"/>
  <c r="J54" i="1"/>
  <c r="I54" i="1"/>
  <c r="H54" i="1"/>
  <c r="G54" i="1"/>
  <c r="F54" i="1"/>
  <c r="E54" i="1"/>
  <c r="D54" i="1"/>
  <c r="M53" i="1"/>
  <c r="L53" i="1"/>
  <c r="K53" i="1"/>
  <c r="J53" i="1"/>
  <c r="I53" i="1"/>
  <c r="H53" i="1"/>
  <c r="G53" i="1"/>
  <c r="F53" i="1"/>
  <c r="E53" i="1"/>
  <c r="D53" i="1"/>
  <c r="M52" i="1"/>
  <c r="L52" i="1"/>
  <c r="K52" i="1"/>
  <c r="J52" i="1"/>
  <c r="I52" i="1"/>
  <c r="H52" i="1"/>
  <c r="G52" i="1"/>
  <c r="F52" i="1"/>
  <c r="E52" i="1"/>
  <c r="D52" i="1"/>
  <c r="M51" i="1"/>
  <c r="L51" i="1"/>
  <c r="K51" i="1"/>
  <c r="J51" i="1"/>
  <c r="I51" i="1"/>
  <c r="H51" i="1"/>
  <c r="G51" i="1"/>
  <c r="F51" i="1"/>
  <c r="E51" i="1"/>
  <c r="D51" i="1"/>
  <c r="M48" i="1"/>
  <c r="L48" i="1"/>
  <c r="K48" i="1"/>
  <c r="J48" i="1"/>
  <c r="I48" i="1"/>
  <c r="H48" i="1"/>
  <c r="G48" i="1"/>
  <c r="F48" i="1"/>
  <c r="E48" i="1"/>
  <c r="D48" i="1"/>
  <c r="M47" i="1"/>
  <c r="L47" i="1"/>
  <c r="K47" i="1"/>
  <c r="J47" i="1"/>
  <c r="I47" i="1"/>
  <c r="H47" i="1"/>
  <c r="G47" i="1"/>
  <c r="F47" i="1"/>
  <c r="E47" i="1"/>
  <c r="D47" i="1"/>
  <c r="M46" i="1"/>
  <c r="L46" i="1"/>
  <c r="K46" i="1"/>
  <c r="J46" i="1"/>
  <c r="I46" i="1"/>
  <c r="H46" i="1"/>
  <c r="G46" i="1"/>
  <c r="F46" i="1"/>
  <c r="E46" i="1"/>
  <c r="D46" i="1"/>
  <c r="M45" i="1"/>
  <c r="L45" i="1"/>
  <c r="K45" i="1"/>
  <c r="J45" i="1"/>
  <c r="I45" i="1"/>
  <c r="H45" i="1"/>
  <c r="G45" i="1"/>
  <c r="F45" i="1"/>
  <c r="E45" i="1"/>
  <c r="D45" i="1"/>
  <c r="M44" i="1"/>
  <c r="L44" i="1"/>
  <c r="K44" i="1"/>
  <c r="J44" i="1"/>
  <c r="I44" i="1"/>
  <c r="H44" i="1"/>
  <c r="G44" i="1"/>
  <c r="F44" i="1"/>
  <c r="E44" i="1"/>
  <c r="D44" i="1"/>
  <c r="M43" i="1"/>
  <c r="K43" i="1"/>
  <c r="J43" i="1"/>
  <c r="I43" i="1"/>
  <c r="H43" i="1"/>
  <c r="G43" i="1"/>
  <c r="F43" i="1"/>
  <c r="E43" i="1"/>
  <c r="D43" i="1"/>
  <c r="M42" i="1"/>
  <c r="L42" i="1"/>
  <c r="K42" i="1"/>
  <c r="J42" i="1"/>
  <c r="I42" i="1"/>
  <c r="H42" i="1"/>
  <c r="G42" i="1"/>
  <c r="F42" i="1"/>
  <c r="E42" i="1"/>
  <c r="D42" i="1"/>
  <c r="M41" i="1"/>
  <c r="L41" i="1"/>
  <c r="K41" i="1"/>
  <c r="J41" i="1"/>
  <c r="I41" i="1"/>
  <c r="H41" i="1"/>
  <c r="G41" i="1"/>
  <c r="F41" i="1"/>
  <c r="E41" i="1"/>
  <c r="D41" i="1"/>
  <c r="M40" i="1"/>
  <c r="L40" i="1"/>
  <c r="K40" i="1"/>
  <c r="J40" i="1"/>
  <c r="I40" i="1"/>
  <c r="H40" i="1"/>
  <c r="G40" i="1"/>
  <c r="F40" i="1"/>
  <c r="E40" i="1"/>
  <c r="D40" i="1"/>
  <c r="M39" i="1"/>
  <c r="L39" i="1"/>
  <c r="K39" i="1"/>
  <c r="J39" i="1"/>
  <c r="I39" i="1"/>
  <c r="H39" i="1"/>
  <c r="G39" i="1"/>
  <c r="F39" i="1"/>
  <c r="E39" i="1"/>
  <c r="D39" i="1"/>
  <c r="M36" i="1"/>
  <c r="L36" i="1"/>
  <c r="K36" i="1"/>
  <c r="J36" i="1"/>
  <c r="I36" i="1"/>
  <c r="H36" i="1"/>
  <c r="G36" i="1"/>
  <c r="F36" i="1"/>
  <c r="E36" i="1"/>
  <c r="D36" i="1"/>
  <c r="M35" i="1"/>
  <c r="L35" i="1"/>
  <c r="K35" i="1"/>
  <c r="J35" i="1"/>
  <c r="I35" i="1"/>
  <c r="H35" i="1"/>
  <c r="G35" i="1"/>
  <c r="F35" i="1"/>
  <c r="E35" i="1"/>
  <c r="D35" i="1"/>
  <c r="M34" i="1"/>
  <c r="L34" i="1"/>
  <c r="K34" i="1"/>
  <c r="J34" i="1"/>
  <c r="I34" i="1"/>
  <c r="H34" i="1"/>
  <c r="G34" i="1"/>
  <c r="F34" i="1"/>
  <c r="E34" i="1"/>
  <c r="D34" i="1"/>
  <c r="M33" i="1"/>
  <c r="L33" i="1"/>
  <c r="K33" i="1"/>
  <c r="J33" i="1"/>
  <c r="I33" i="1"/>
  <c r="H33" i="1"/>
  <c r="G33" i="1"/>
  <c r="F33" i="1"/>
  <c r="E33" i="1"/>
  <c r="D33" i="1"/>
  <c r="M32" i="1"/>
  <c r="L32" i="1"/>
  <c r="K32" i="1"/>
  <c r="J32" i="1"/>
  <c r="I32" i="1"/>
  <c r="H32" i="1"/>
  <c r="G32" i="1"/>
  <c r="F32" i="1"/>
  <c r="E32" i="1"/>
  <c r="D32" i="1"/>
  <c r="M31" i="1"/>
  <c r="L31" i="1"/>
  <c r="K31" i="1"/>
  <c r="J31" i="1"/>
  <c r="I31" i="1"/>
  <c r="H31" i="1"/>
  <c r="G31" i="1"/>
  <c r="F31" i="1"/>
  <c r="E31" i="1"/>
  <c r="D31" i="1"/>
  <c r="M30" i="1"/>
  <c r="L30" i="1"/>
  <c r="K30" i="1"/>
  <c r="J30" i="1"/>
  <c r="I30" i="1"/>
  <c r="H30" i="1"/>
  <c r="G30" i="1"/>
  <c r="F30" i="1"/>
  <c r="E30" i="1"/>
  <c r="D30" i="1"/>
  <c r="M29" i="1"/>
  <c r="L29" i="1"/>
  <c r="K29" i="1"/>
  <c r="J29" i="1"/>
  <c r="I29" i="1"/>
  <c r="H29" i="1"/>
  <c r="G29" i="1"/>
  <c r="F29" i="1"/>
  <c r="E29" i="1"/>
  <c r="D29" i="1"/>
  <c r="M28" i="1"/>
  <c r="L28" i="1"/>
  <c r="K28" i="1"/>
  <c r="J28" i="1"/>
  <c r="I28" i="1"/>
  <c r="H28" i="1"/>
  <c r="G28" i="1"/>
  <c r="F28" i="1"/>
  <c r="E28" i="1"/>
  <c r="D28" i="1"/>
  <c r="M27" i="1"/>
  <c r="L27" i="1"/>
  <c r="K27" i="1"/>
  <c r="J27" i="1"/>
  <c r="I27" i="1"/>
  <c r="H27" i="1"/>
  <c r="G27" i="1"/>
  <c r="F27" i="1"/>
  <c r="E27" i="1"/>
  <c r="D27" i="1"/>
  <c r="B3" i="6"/>
  <c r="C3" i="6" s="1"/>
  <c r="B4" i="6"/>
  <c r="D4" i="6" s="1"/>
  <c r="B5" i="6"/>
  <c r="E5" i="6" s="1"/>
  <c r="B6" i="6"/>
  <c r="F6" i="6" s="1"/>
  <c r="B7" i="6"/>
  <c r="G7" i="6" s="1"/>
  <c r="B8" i="6"/>
  <c r="H8" i="6" s="1"/>
  <c r="A8" i="7" s="1"/>
  <c r="B9" i="6"/>
  <c r="I9" i="6" s="1"/>
  <c r="B10" i="6"/>
  <c r="J10" i="6" s="1"/>
  <c r="B11" i="6"/>
  <c r="K11" i="6" s="1"/>
  <c r="B12" i="6"/>
  <c r="L12" i="6" s="1"/>
  <c r="M12" i="6" s="1"/>
  <c r="B13" i="6"/>
  <c r="E13" i="6" s="1"/>
  <c r="B14" i="6"/>
  <c r="C14" i="6" s="1"/>
  <c r="B15" i="6"/>
  <c r="C15" i="6" s="1"/>
  <c r="B16" i="6"/>
  <c r="D16" i="6" s="1"/>
  <c r="B17" i="6"/>
  <c r="E17" i="6" s="1"/>
  <c r="B18" i="6"/>
  <c r="F18" i="6" s="1"/>
  <c r="B19" i="6"/>
  <c r="G19" i="6" s="1"/>
  <c r="B20" i="6"/>
  <c r="H20" i="6" s="1"/>
  <c r="A20" i="7" s="1"/>
  <c r="B21" i="6"/>
  <c r="I21" i="6" s="1"/>
  <c r="B22" i="6"/>
  <c r="J22" i="6" s="1"/>
  <c r="B23" i="6"/>
  <c r="K23" i="6" s="1"/>
  <c r="B24" i="6"/>
  <c r="L24" i="6" s="1"/>
  <c r="M24" i="6" s="1"/>
  <c r="B25" i="6"/>
  <c r="E25" i="6" s="1"/>
  <c r="B26" i="6"/>
  <c r="C26" i="6" s="1"/>
  <c r="B2" i="6"/>
  <c r="C2" i="6" s="1"/>
  <c r="B3" i="4"/>
  <c r="C3" i="4" s="1"/>
  <c r="B4" i="4"/>
  <c r="D4" i="4" s="1"/>
  <c r="B5" i="4"/>
  <c r="E5" i="4" s="1"/>
  <c r="B6" i="4"/>
  <c r="F6" i="4" s="1"/>
  <c r="B7" i="4"/>
  <c r="G7" i="4" s="1"/>
  <c r="B8" i="4"/>
  <c r="H8" i="4" s="1"/>
  <c r="A8" i="5" s="1"/>
  <c r="B9" i="4"/>
  <c r="I9" i="4" s="1"/>
  <c r="B10" i="4"/>
  <c r="J10" i="4" s="1"/>
  <c r="B11" i="4"/>
  <c r="K11" i="4" s="1"/>
  <c r="B12" i="4"/>
  <c r="L12" i="4" s="1"/>
  <c r="M12" i="4" s="1"/>
  <c r="B13" i="4"/>
  <c r="C13" i="4" s="1"/>
  <c r="B14" i="4"/>
  <c r="C14" i="4" s="1"/>
  <c r="B15" i="4"/>
  <c r="C15" i="4" s="1"/>
  <c r="B16" i="4"/>
  <c r="D16" i="4" s="1"/>
  <c r="B17" i="4"/>
  <c r="E17" i="4" s="1"/>
  <c r="B18" i="4"/>
  <c r="F18" i="4" s="1"/>
  <c r="B19" i="4"/>
  <c r="G19" i="4" s="1"/>
  <c r="B20" i="4"/>
  <c r="H20" i="4" s="1"/>
  <c r="A20" i="5" s="1"/>
  <c r="B21" i="4"/>
  <c r="I21" i="4" s="1"/>
  <c r="B22" i="4"/>
  <c r="J22" i="4" s="1"/>
  <c r="B23" i="4"/>
  <c r="K23" i="4" s="1"/>
  <c r="B24" i="4"/>
  <c r="L24" i="4" s="1"/>
  <c r="M24" i="4" s="1"/>
  <c r="B25" i="4"/>
  <c r="C25" i="4" s="1"/>
  <c r="B26" i="4"/>
  <c r="C26" i="4" s="1"/>
  <c r="B2" i="4"/>
  <c r="C2" i="4" s="1"/>
  <c r="AV41" i="1"/>
  <c r="AF39" i="1"/>
  <c r="AF47" i="1"/>
  <c r="O43" i="1"/>
  <c r="P45" i="1"/>
  <c r="P48" i="1"/>
  <c r="AU17" i="1"/>
  <c r="AV21" i="1"/>
  <c r="AV22" i="1"/>
  <c r="AE15" i="1"/>
  <c r="AF19" i="1"/>
  <c r="AE22" i="1"/>
  <c r="AF23" i="1"/>
  <c r="N15" i="1"/>
  <c r="O15" i="1"/>
  <c r="P15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M24" i="1"/>
  <c r="L24" i="1"/>
  <c r="K24" i="1"/>
  <c r="J24" i="1"/>
  <c r="I24" i="1"/>
  <c r="H24" i="1"/>
  <c r="G24" i="1"/>
  <c r="F24" i="1"/>
  <c r="E24" i="1"/>
  <c r="D24" i="1"/>
  <c r="M23" i="1"/>
  <c r="L23" i="1"/>
  <c r="K23" i="1"/>
  <c r="J23" i="1"/>
  <c r="I23" i="1"/>
  <c r="H23" i="1"/>
  <c r="G23" i="1"/>
  <c r="F23" i="1"/>
  <c r="E23" i="1"/>
  <c r="D23" i="1"/>
  <c r="M22" i="1"/>
  <c r="L22" i="1"/>
  <c r="K22" i="1"/>
  <c r="J22" i="1"/>
  <c r="I22" i="1"/>
  <c r="H22" i="1"/>
  <c r="G22" i="1"/>
  <c r="F22" i="1"/>
  <c r="E22" i="1"/>
  <c r="D22" i="1"/>
  <c r="M21" i="1"/>
  <c r="L21" i="1"/>
  <c r="K21" i="1"/>
  <c r="J21" i="1"/>
  <c r="I21" i="1"/>
  <c r="H21" i="1"/>
  <c r="G21" i="1"/>
  <c r="F21" i="1"/>
  <c r="E21" i="1"/>
  <c r="D21" i="1"/>
  <c r="M20" i="1"/>
  <c r="L20" i="1"/>
  <c r="K20" i="1"/>
  <c r="J20" i="1"/>
  <c r="I20" i="1"/>
  <c r="H20" i="1"/>
  <c r="G20" i="1"/>
  <c r="F20" i="1"/>
  <c r="E20" i="1"/>
  <c r="D20" i="1"/>
  <c r="M19" i="1"/>
  <c r="L19" i="1"/>
  <c r="K19" i="1"/>
  <c r="J19" i="1"/>
  <c r="I19" i="1"/>
  <c r="H19" i="1"/>
  <c r="G19" i="1"/>
  <c r="F19" i="1"/>
  <c r="E19" i="1"/>
  <c r="D19" i="1"/>
  <c r="M18" i="1"/>
  <c r="L18" i="1"/>
  <c r="K18" i="1"/>
  <c r="J18" i="1"/>
  <c r="I18" i="1"/>
  <c r="H18" i="1"/>
  <c r="G18" i="1"/>
  <c r="F18" i="1"/>
  <c r="E18" i="1"/>
  <c r="D18" i="1"/>
  <c r="M17" i="1"/>
  <c r="L17" i="1"/>
  <c r="K17" i="1"/>
  <c r="J17" i="1"/>
  <c r="I17" i="1"/>
  <c r="H17" i="1"/>
  <c r="G17" i="1"/>
  <c r="F17" i="1"/>
  <c r="E17" i="1"/>
  <c r="D17" i="1"/>
  <c r="M16" i="1"/>
  <c r="L16" i="1"/>
  <c r="K16" i="1"/>
  <c r="J16" i="1"/>
  <c r="I16" i="1"/>
  <c r="H16" i="1"/>
  <c r="G16" i="1"/>
  <c r="F16" i="1"/>
  <c r="E16" i="1"/>
  <c r="D16" i="1"/>
  <c r="M15" i="1"/>
  <c r="L15" i="1"/>
  <c r="K15" i="1"/>
  <c r="J15" i="1"/>
  <c r="I15" i="1"/>
  <c r="H15" i="1"/>
  <c r="G15" i="1"/>
  <c r="F15" i="1"/>
  <c r="E15" i="1"/>
  <c r="D15" i="1"/>
  <c r="AV12" i="1"/>
  <c r="AU12" i="1"/>
  <c r="AT12" i="1"/>
  <c r="AV11" i="1"/>
  <c r="AU11" i="1"/>
  <c r="AT11" i="1"/>
  <c r="AV10" i="1"/>
  <c r="AU10" i="1"/>
  <c r="AT10" i="1"/>
  <c r="AV9" i="1"/>
  <c r="AU9" i="1"/>
  <c r="AT9" i="1"/>
  <c r="AV8" i="1"/>
  <c r="AU8" i="1"/>
  <c r="AT8" i="1"/>
  <c r="AV7" i="1"/>
  <c r="AU7" i="1"/>
  <c r="AT7" i="1"/>
  <c r="AV6" i="1"/>
  <c r="AV42" i="1" s="1"/>
  <c r="AU6" i="1"/>
  <c r="AT6" i="1"/>
  <c r="AV5" i="1"/>
  <c r="AU5" i="1"/>
  <c r="AT5" i="1"/>
  <c r="AV4" i="1"/>
  <c r="AU4" i="1"/>
  <c r="AT4" i="1"/>
  <c r="AV3" i="1"/>
  <c r="AU3" i="1"/>
  <c r="AT3" i="1"/>
  <c r="AF12" i="1"/>
  <c r="AF48" i="1" s="1"/>
  <c r="AE12" i="1"/>
  <c r="AD12" i="1"/>
  <c r="AF11" i="1"/>
  <c r="AE11" i="1"/>
  <c r="AD11" i="1"/>
  <c r="AF10" i="1"/>
  <c r="AE10" i="1"/>
  <c r="AD10" i="1"/>
  <c r="AF9" i="1"/>
  <c r="AE9" i="1"/>
  <c r="AD9" i="1"/>
  <c r="AF8" i="1"/>
  <c r="AF20" i="1" s="1"/>
  <c r="AE8" i="1"/>
  <c r="AD8" i="1"/>
  <c r="AF7" i="1"/>
  <c r="AE7" i="1"/>
  <c r="AE43" i="1" s="1"/>
  <c r="AD7" i="1"/>
  <c r="AF6" i="1"/>
  <c r="AE6" i="1"/>
  <c r="AD6" i="1"/>
  <c r="AF5" i="1"/>
  <c r="AE5" i="1"/>
  <c r="AD5" i="1"/>
  <c r="AF4" i="1"/>
  <c r="AF40" i="1" s="1"/>
  <c r="AE4" i="1"/>
  <c r="AD4" i="1"/>
  <c r="AF3" i="1"/>
  <c r="AE3" i="1"/>
  <c r="AD3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12" i="1"/>
  <c r="O12" i="1"/>
  <c r="N12" i="1"/>
  <c r="P4" i="1"/>
  <c r="O4" i="1"/>
  <c r="N4" i="1"/>
  <c r="P3" i="1"/>
  <c r="O3" i="1"/>
  <c r="N3" i="1"/>
  <c r="B32" i="6" l="1"/>
  <c r="O27" i="1"/>
  <c r="O51" i="1"/>
  <c r="P28" i="1"/>
  <c r="P52" i="1"/>
  <c r="N29" i="1"/>
  <c r="N53" i="1"/>
  <c r="N41" i="1"/>
  <c r="O54" i="1"/>
  <c r="O42" i="1"/>
  <c r="O30" i="1"/>
  <c r="P31" i="1"/>
  <c r="P55" i="1"/>
  <c r="N45" i="1"/>
  <c r="N33" i="1"/>
  <c r="N57" i="1"/>
  <c r="O58" i="1"/>
  <c r="O46" i="1"/>
  <c r="O34" i="1"/>
  <c r="P35" i="1"/>
  <c r="P59" i="1"/>
  <c r="AD52" i="1"/>
  <c r="AD40" i="1"/>
  <c r="AD28" i="1"/>
  <c r="AD16" i="1"/>
  <c r="AE53" i="1"/>
  <c r="AE29" i="1"/>
  <c r="AF54" i="1"/>
  <c r="AF30" i="1"/>
  <c r="AD56" i="1"/>
  <c r="AD44" i="1"/>
  <c r="AD32" i="1"/>
  <c r="AD20" i="1"/>
  <c r="AE57" i="1"/>
  <c r="AE33" i="1"/>
  <c r="AF58" i="1"/>
  <c r="AF34" i="1"/>
  <c r="AD60" i="1"/>
  <c r="AD48" i="1"/>
  <c r="AD36" i="1"/>
  <c r="AD24" i="1"/>
  <c r="AU51" i="1"/>
  <c r="AU27" i="1"/>
  <c r="AV52" i="1"/>
  <c r="AV28" i="1"/>
  <c r="AT54" i="1"/>
  <c r="AT42" i="1"/>
  <c r="AT30" i="1"/>
  <c r="AT18" i="1"/>
  <c r="AU55" i="1"/>
  <c r="AU31" i="1"/>
  <c r="AV56" i="1"/>
  <c r="AV32" i="1"/>
  <c r="AT58" i="1"/>
  <c r="AT46" i="1"/>
  <c r="AT34" i="1"/>
  <c r="AT22" i="1"/>
  <c r="AU59" i="1"/>
  <c r="AU35" i="1"/>
  <c r="AV60" i="1"/>
  <c r="AV36" i="1"/>
  <c r="AE24" i="1"/>
  <c r="AE20" i="1"/>
  <c r="AF17" i="1"/>
  <c r="AV19" i="1"/>
  <c r="P40" i="1"/>
  <c r="AE45" i="1"/>
  <c r="AF42" i="1"/>
  <c r="AU47" i="1"/>
  <c r="AV44" i="1"/>
  <c r="AU39" i="1"/>
  <c r="P27" i="1"/>
  <c r="P51" i="1"/>
  <c r="N36" i="1"/>
  <c r="N60" i="1"/>
  <c r="N48" i="1"/>
  <c r="O29" i="1"/>
  <c r="O53" i="1"/>
  <c r="P30" i="1"/>
  <c r="P54" i="1"/>
  <c r="N32" i="1"/>
  <c r="N56" i="1"/>
  <c r="N44" i="1"/>
  <c r="O33" i="1"/>
  <c r="O57" i="1"/>
  <c r="P34" i="1"/>
  <c r="P58" i="1"/>
  <c r="AD51" i="1"/>
  <c r="AD27" i="1"/>
  <c r="AD39" i="1"/>
  <c r="AD15" i="1"/>
  <c r="AE52" i="1"/>
  <c r="AE28" i="1"/>
  <c r="AE40" i="1"/>
  <c r="AE16" i="1"/>
  <c r="AF53" i="1"/>
  <c r="AF29" i="1"/>
  <c r="AD55" i="1"/>
  <c r="AD31" i="1"/>
  <c r="AD43" i="1"/>
  <c r="AD19" i="1"/>
  <c r="AE56" i="1"/>
  <c r="AE32" i="1"/>
  <c r="AE44" i="1"/>
  <c r="AF57" i="1"/>
  <c r="AF33" i="1"/>
  <c r="AD59" i="1"/>
  <c r="AD35" i="1"/>
  <c r="AD47" i="1"/>
  <c r="AD23" i="1"/>
  <c r="AE60" i="1"/>
  <c r="AE36" i="1"/>
  <c r="AE48" i="1"/>
  <c r="AV51" i="1"/>
  <c r="AV27" i="1"/>
  <c r="AT41" i="1"/>
  <c r="AT17" i="1"/>
  <c r="AT53" i="1"/>
  <c r="AT29" i="1"/>
  <c r="AU54" i="1"/>
  <c r="AU30" i="1"/>
  <c r="AU42" i="1"/>
  <c r="AU18" i="1"/>
  <c r="AV55" i="1"/>
  <c r="AV31" i="1"/>
  <c r="AT45" i="1"/>
  <c r="AT21" i="1"/>
  <c r="AT57" i="1"/>
  <c r="AT33" i="1"/>
  <c r="AU58" i="1"/>
  <c r="AU34" i="1"/>
  <c r="AU46" i="1"/>
  <c r="AU22" i="1"/>
  <c r="AV59" i="1"/>
  <c r="AV35" i="1"/>
  <c r="AF21" i="1"/>
  <c r="AE17" i="1"/>
  <c r="AV24" i="1"/>
  <c r="AU19" i="1"/>
  <c r="AV16" i="1"/>
  <c r="P47" i="1"/>
  <c r="O45" i="1"/>
  <c r="P42" i="1"/>
  <c r="P39" i="1"/>
  <c r="AE47" i="1"/>
  <c r="AF44" i="1"/>
  <c r="AF41" i="1"/>
  <c r="AE39" i="1"/>
  <c r="AV46" i="1"/>
  <c r="AV43" i="1"/>
  <c r="AU41" i="1"/>
  <c r="N51" i="1"/>
  <c r="N39" i="1"/>
  <c r="N27" i="1"/>
  <c r="O28" i="1"/>
  <c r="O52" i="1"/>
  <c r="O40" i="1"/>
  <c r="P36" i="1"/>
  <c r="P60" i="1"/>
  <c r="N42" i="1"/>
  <c r="N30" i="1"/>
  <c r="N54" i="1"/>
  <c r="O31" i="1"/>
  <c r="O55" i="1"/>
  <c r="P32" i="1"/>
  <c r="P56" i="1"/>
  <c r="N34" i="1"/>
  <c r="N58" i="1"/>
  <c r="N46" i="1"/>
  <c r="O35" i="1"/>
  <c r="O59" i="1"/>
  <c r="AF51" i="1"/>
  <c r="AF27" i="1"/>
  <c r="AD41" i="1"/>
  <c r="AD17" i="1"/>
  <c r="AD53" i="1"/>
  <c r="AD29" i="1"/>
  <c r="AE54" i="1"/>
  <c r="AE30" i="1"/>
  <c r="AE42" i="1"/>
  <c r="AE18" i="1"/>
  <c r="AF55" i="1"/>
  <c r="AF31" i="1"/>
  <c r="AD45" i="1"/>
  <c r="AD21" i="1"/>
  <c r="AD57" i="1"/>
  <c r="AD33" i="1"/>
  <c r="AE58" i="1"/>
  <c r="AE34" i="1"/>
  <c r="AE46" i="1"/>
  <c r="AF59" i="1"/>
  <c r="AF35" i="1"/>
  <c r="AT51" i="1"/>
  <c r="AT27" i="1"/>
  <c r="AT39" i="1"/>
  <c r="AT15" i="1"/>
  <c r="AU52" i="1"/>
  <c r="AU28" i="1"/>
  <c r="AU40" i="1"/>
  <c r="AU16" i="1"/>
  <c r="AV53" i="1"/>
  <c r="AV29" i="1"/>
  <c r="AT55" i="1"/>
  <c r="AT31" i="1"/>
  <c r="AT43" i="1"/>
  <c r="AT19" i="1"/>
  <c r="AU56" i="1"/>
  <c r="AU32" i="1"/>
  <c r="AU44" i="1"/>
  <c r="AU20" i="1"/>
  <c r="AV57" i="1"/>
  <c r="AV33" i="1"/>
  <c r="AT59" i="1"/>
  <c r="AT35" i="1"/>
  <c r="AT47" i="1"/>
  <c r="AT23" i="1"/>
  <c r="AU60" i="1"/>
  <c r="AU36" i="1"/>
  <c r="AU48" i="1"/>
  <c r="AU24" i="1"/>
  <c r="AF24" i="1"/>
  <c r="AF22" i="1"/>
  <c r="AF18" i="1"/>
  <c r="AF15" i="1"/>
  <c r="AU23" i="1"/>
  <c r="AV20" i="1"/>
  <c r="AV17" i="1"/>
  <c r="AU15" i="1"/>
  <c r="P46" i="1"/>
  <c r="P43" i="1"/>
  <c r="O41" i="1"/>
  <c r="AF45" i="1"/>
  <c r="AV47" i="1"/>
  <c r="AU45" i="1"/>
  <c r="AV39" i="1"/>
  <c r="N40" i="1"/>
  <c r="N28" i="1"/>
  <c r="N52" i="1"/>
  <c r="O36" i="1"/>
  <c r="O60" i="1"/>
  <c r="O48" i="1"/>
  <c r="P53" i="1"/>
  <c r="P29" i="1"/>
  <c r="N55" i="1"/>
  <c r="N43" i="1"/>
  <c r="N31" i="1"/>
  <c r="O32" i="1"/>
  <c r="O56" i="1"/>
  <c r="O44" i="1"/>
  <c r="P57" i="1"/>
  <c r="P33" i="1"/>
  <c r="N59" i="1"/>
  <c r="N47" i="1"/>
  <c r="N35" i="1"/>
  <c r="AE51" i="1"/>
  <c r="AE27" i="1"/>
  <c r="AF52" i="1"/>
  <c r="AF28" i="1"/>
  <c r="AD54" i="1"/>
  <c r="AD42" i="1"/>
  <c r="AD30" i="1"/>
  <c r="AD18" i="1"/>
  <c r="AE55" i="1"/>
  <c r="AE31" i="1"/>
  <c r="AF56" i="1"/>
  <c r="AF32" i="1"/>
  <c r="AD58" i="1"/>
  <c r="AD46" i="1"/>
  <c r="AD34" i="1"/>
  <c r="AD22" i="1"/>
  <c r="AE59" i="1"/>
  <c r="AE35" i="1"/>
  <c r="AF60" i="1"/>
  <c r="AF36" i="1"/>
  <c r="AT52" i="1"/>
  <c r="AT40" i="1"/>
  <c r="AT28" i="1"/>
  <c r="AT16" i="1"/>
  <c r="AU53" i="1"/>
  <c r="AU29" i="1"/>
  <c r="AV54" i="1"/>
  <c r="AV30" i="1"/>
  <c r="AT56" i="1"/>
  <c r="AT44" i="1"/>
  <c r="AT32" i="1"/>
  <c r="AT20" i="1"/>
  <c r="AU57" i="1"/>
  <c r="AU33" i="1"/>
  <c r="AV58" i="1"/>
  <c r="AV34" i="1"/>
  <c r="AT60" i="1"/>
  <c r="AT48" i="1"/>
  <c r="AT36" i="1"/>
  <c r="AT24" i="1"/>
  <c r="AE23" i="1"/>
  <c r="AE21" i="1"/>
  <c r="AE19" i="1"/>
  <c r="AF16" i="1"/>
  <c r="AV23" i="1"/>
  <c r="AU21" i="1"/>
  <c r="AV18" i="1"/>
  <c r="AV15" i="1"/>
  <c r="O47" i="1"/>
  <c r="P44" i="1"/>
  <c r="P41" i="1"/>
  <c r="O39" i="1"/>
  <c r="AF46" i="1"/>
  <c r="AF43" i="1"/>
  <c r="AE41" i="1"/>
  <c r="AV48" i="1"/>
  <c r="AV45" i="1"/>
  <c r="AU43" i="1"/>
  <c r="AV40" i="1"/>
  <c r="B31" i="6"/>
  <c r="B30" i="6"/>
  <c r="B29" i="6"/>
  <c r="G22" i="6"/>
  <c r="F19" i="6"/>
  <c r="B28" i="6"/>
  <c r="D8" i="6"/>
  <c r="C8" i="6"/>
  <c r="H22" i="6"/>
  <c r="A22" i="7" s="1"/>
  <c r="F22" i="6"/>
  <c r="L16" i="6"/>
  <c r="M16" i="6" s="1"/>
  <c r="K16" i="6"/>
  <c r="D17" i="6"/>
  <c r="J16" i="6"/>
  <c r="H10" i="6"/>
  <c r="A10" i="7" s="1"/>
  <c r="E8" i="6"/>
  <c r="E20" i="6"/>
  <c r="K4" i="6"/>
  <c r="D20" i="6"/>
  <c r="J4" i="6"/>
  <c r="L25" i="6"/>
  <c r="M25" i="6" s="1"/>
  <c r="J7" i="6"/>
  <c r="I7" i="6"/>
  <c r="D22" i="6"/>
  <c r="E7" i="6"/>
  <c r="G20" i="6"/>
  <c r="F16" i="6"/>
  <c r="D7" i="6"/>
  <c r="F20" i="6"/>
  <c r="C16" i="6"/>
  <c r="L4" i="6"/>
  <c r="M4" i="6" s="1"/>
  <c r="F15" i="6"/>
  <c r="C20" i="6"/>
  <c r="G10" i="6"/>
  <c r="G4" i="6"/>
  <c r="I19" i="6"/>
  <c r="F10" i="6"/>
  <c r="F4" i="6"/>
  <c r="B27" i="6"/>
  <c r="E15" i="6"/>
  <c r="J25" i="6"/>
  <c r="L13" i="6"/>
  <c r="M13" i="6" s="1"/>
  <c r="I25" i="6"/>
  <c r="J13" i="6"/>
  <c r="L9" i="6"/>
  <c r="M9" i="6" s="1"/>
  <c r="D25" i="6"/>
  <c r="L21" i="6"/>
  <c r="M21" i="6" s="1"/>
  <c r="I13" i="6"/>
  <c r="K9" i="6"/>
  <c r="C25" i="6"/>
  <c r="K21" i="6"/>
  <c r="J19" i="6"/>
  <c r="G16" i="6"/>
  <c r="D13" i="6"/>
  <c r="H9" i="6"/>
  <c r="A9" i="7" s="1"/>
  <c r="F7" i="6"/>
  <c r="C4" i="6"/>
  <c r="C32" i="6" s="1"/>
  <c r="K24" i="6"/>
  <c r="H21" i="6"/>
  <c r="A21" i="7" s="1"/>
  <c r="C13" i="6"/>
  <c r="F9" i="6"/>
  <c r="L3" i="6"/>
  <c r="M3" i="6" s="1"/>
  <c r="J23" i="6"/>
  <c r="F21" i="6"/>
  <c r="K12" i="6"/>
  <c r="E9" i="6"/>
  <c r="K3" i="6"/>
  <c r="H23" i="6"/>
  <c r="A23" i="7" s="1"/>
  <c r="E21" i="6"/>
  <c r="E19" i="6"/>
  <c r="L15" i="6"/>
  <c r="M15" i="6" s="1"/>
  <c r="J11" i="6"/>
  <c r="K8" i="6"/>
  <c r="C7" i="6"/>
  <c r="J3" i="6"/>
  <c r="L20" i="6"/>
  <c r="M20" i="6" s="1"/>
  <c r="D19" i="6"/>
  <c r="K15" i="6"/>
  <c r="J8" i="6"/>
  <c r="E6" i="6"/>
  <c r="I3" i="6"/>
  <c r="L22" i="6"/>
  <c r="M22" i="6" s="1"/>
  <c r="K20" i="6"/>
  <c r="C19" i="6"/>
  <c r="J15" i="6"/>
  <c r="L10" i="6"/>
  <c r="M10" i="6" s="1"/>
  <c r="G8" i="6"/>
  <c r="D5" i="6"/>
  <c r="F3" i="6"/>
  <c r="I22" i="6"/>
  <c r="J20" i="6"/>
  <c r="E18" i="6"/>
  <c r="I15" i="6"/>
  <c r="I10" i="6"/>
  <c r="F8" i="6"/>
  <c r="E3" i="6"/>
  <c r="L26" i="6"/>
  <c r="M26" i="6" s="1"/>
  <c r="K25" i="6"/>
  <c r="J24" i="6"/>
  <c r="I23" i="6"/>
  <c r="G21" i="6"/>
  <c r="D18" i="6"/>
  <c r="C17" i="6"/>
  <c r="L14" i="6"/>
  <c r="M14" i="6" s="1"/>
  <c r="K13" i="6"/>
  <c r="J12" i="6"/>
  <c r="I11" i="6"/>
  <c r="G9" i="6"/>
  <c r="D6" i="6"/>
  <c r="C5" i="6"/>
  <c r="K26" i="6"/>
  <c r="I24" i="6"/>
  <c r="C18" i="6"/>
  <c r="K14" i="6"/>
  <c r="I12" i="6"/>
  <c r="H11" i="6"/>
  <c r="A11" i="7" s="1"/>
  <c r="C6" i="6"/>
  <c r="J26" i="6"/>
  <c r="H24" i="6"/>
  <c r="A24" i="7" s="1"/>
  <c r="G23" i="6"/>
  <c r="J14" i="6"/>
  <c r="H12" i="6"/>
  <c r="A12" i="7" s="1"/>
  <c r="G11" i="6"/>
  <c r="I26" i="6"/>
  <c r="H25" i="6"/>
  <c r="A25" i="7" s="1"/>
  <c r="G24" i="6"/>
  <c r="F23" i="6"/>
  <c r="E22" i="6"/>
  <c r="D21" i="6"/>
  <c r="L17" i="6"/>
  <c r="M17" i="6" s="1"/>
  <c r="I14" i="6"/>
  <c r="H13" i="6"/>
  <c r="A13" i="7" s="1"/>
  <c r="G12" i="6"/>
  <c r="F11" i="6"/>
  <c r="E10" i="6"/>
  <c r="D9" i="6"/>
  <c r="L5" i="6"/>
  <c r="M5" i="6" s="1"/>
  <c r="H26" i="6"/>
  <c r="A26" i="7" s="1"/>
  <c r="G25" i="6"/>
  <c r="F24" i="6"/>
  <c r="E23" i="6"/>
  <c r="C21" i="6"/>
  <c r="L18" i="6"/>
  <c r="M18" i="6" s="1"/>
  <c r="K17" i="6"/>
  <c r="H14" i="6"/>
  <c r="A14" i="7" s="1"/>
  <c r="G13" i="6"/>
  <c r="F12" i="6"/>
  <c r="E11" i="6"/>
  <c r="D10" i="6"/>
  <c r="C9" i="6"/>
  <c r="L6" i="6"/>
  <c r="M6" i="6" s="1"/>
  <c r="K5" i="6"/>
  <c r="G26" i="6"/>
  <c r="F25" i="6"/>
  <c r="E24" i="6"/>
  <c r="D23" i="6"/>
  <c r="C22" i="6"/>
  <c r="L19" i="6"/>
  <c r="M19" i="6" s="1"/>
  <c r="K18" i="6"/>
  <c r="J17" i="6"/>
  <c r="I16" i="6"/>
  <c r="H15" i="6"/>
  <c r="A15" i="7" s="1"/>
  <c r="G14" i="6"/>
  <c r="F13" i="6"/>
  <c r="E12" i="6"/>
  <c r="D11" i="6"/>
  <c r="C10" i="6"/>
  <c r="L7" i="6"/>
  <c r="M7" i="6" s="1"/>
  <c r="K6" i="6"/>
  <c r="J5" i="6"/>
  <c r="I4" i="6"/>
  <c r="H3" i="6"/>
  <c r="A3" i="7" s="1"/>
  <c r="F26" i="6"/>
  <c r="D24" i="6"/>
  <c r="C23" i="6"/>
  <c r="K19" i="6"/>
  <c r="J18" i="6"/>
  <c r="I17" i="6"/>
  <c r="H16" i="6"/>
  <c r="A16" i="7" s="1"/>
  <c r="G15" i="6"/>
  <c r="F14" i="6"/>
  <c r="D12" i="6"/>
  <c r="C11" i="6"/>
  <c r="L8" i="6"/>
  <c r="M8" i="6" s="1"/>
  <c r="K7" i="6"/>
  <c r="J6" i="6"/>
  <c r="I5" i="6"/>
  <c r="H4" i="6"/>
  <c r="A4" i="7" s="1"/>
  <c r="G3" i="6"/>
  <c r="E26" i="6"/>
  <c r="C24" i="6"/>
  <c r="I18" i="6"/>
  <c r="H17" i="6"/>
  <c r="A17" i="7" s="1"/>
  <c r="E14" i="6"/>
  <c r="C12" i="6"/>
  <c r="I6" i="6"/>
  <c r="H5" i="6"/>
  <c r="A5" i="7" s="1"/>
  <c r="D26" i="6"/>
  <c r="H18" i="6"/>
  <c r="A18" i="7" s="1"/>
  <c r="G17" i="6"/>
  <c r="D14" i="6"/>
  <c r="H6" i="6"/>
  <c r="A6" i="7" s="1"/>
  <c r="G5" i="6"/>
  <c r="L23" i="6"/>
  <c r="M23" i="6" s="1"/>
  <c r="K22" i="6"/>
  <c r="J21" i="6"/>
  <c r="I20" i="6"/>
  <c r="H19" i="6"/>
  <c r="A19" i="7" s="1"/>
  <c r="G18" i="6"/>
  <c r="F17" i="6"/>
  <c r="E16" i="6"/>
  <c r="D15" i="6"/>
  <c r="L11" i="6"/>
  <c r="M11" i="6" s="1"/>
  <c r="K10" i="6"/>
  <c r="J9" i="6"/>
  <c r="I8" i="6"/>
  <c r="H7" i="6"/>
  <c r="A7" i="7" s="1"/>
  <c r="G6" i="6"/>
  <c r="F5" i="6"/>
  <c r="E4" i="6"/>
  <c r="D3" i="6"/>
  <c r="L2" i="6"/>
  <c r="K2" i="6"/>
  <c r="J2" i="6"/>
  <c r="J32" i="6" s="1"/>
  <c r="I2" i="6"/>
  <c r="H2" i="6"/>
  <c r="F2" i="6"/>
  <c r="G2" i="6"/>
  <c r="G32" i="6" s="1"/>
  <c r="E2" i="6"/>
  <c r="D2" i="6"/>
  <c r="I26" i="4"/>
  <c r="I14" i="4"/>
  <c r="I25" i="4"/>
  <c r="I13" i="4"/>
  <c r="I24" i="4"/>
  <c r="I12" i="4"/>
  <c r="I23" i="4"/>
  <c r="I11" i="4"/>
  <c r="I22" i="4"/>
  <c r="I10" i="4"/>
  <c r="I20" i="4"/>
  <c r="I8" i="4"/>
  <c r="I19" i="4"/>
  <c r="I7" i="4"/>
  <c r="I18" i="4"/>
  <c r="I6" i="4"/>
  <c r="I17" i="4"/>
  <c r="I5" i="4"/>
  <c r="I16" i="4"/>
  <c r="I4" i="4"/>
  <c r="I15" i="4"/>
  <c r="I3" i="4"/>
  <c r="I2" i="4"/>
  <c r="H2" i="4"/>
  <c r="A2" i="5" s="1"/>
  <c r="B31" i="4"/>
  <c r="B32" i="4"/>
  <c r="B30" i="4"/>
  <c r="B29" i="4"/>
  <c r="B28" i="4"/>
  <c r="K12" i="4"/>
  <c r="E26" i="4"/>
  <c r="H11" i="4"/>
  <c r="A11" i="5" s="1"/>
  <c r="L22" i="4"/>
  <c r="M22" i="4" s="1"/>
  <c r="E22" i="4"/>
  <c r="E18" i="4"/>
  <c r="L10" i="4"/>
  <c r="M10" i="4" s="1"/>
  <c r="E10" i="4"/>
  <c r="B27" i="4"/>
  <c r="G16" i="4"/>
  <c r="H23" i="4"/>
  <c r="A23" i="5" s="1"/>
  <c r="G11" i="4"/>
  <c r="G23" i="4"/>
  <c r="F22" i="4"/>
  <c r="H10" i="4"/>
  <c r="A10" i="5" s="1"/>
  <c r="K21" i="4"/>
  <c r="C10" i="4"/>
  <c r="F19" i="4"/>
  <c r="H9" i="4"/>
  <c r="A9" i="5" s="1"/>
  <c r="H21" i="4"/>
  <c r="A21" i="5" s="1"/>
  <c r="F16" i="4"/>
  <c r="F9" i="4"/>
  <c r="J5" i="4"/>
  <c r="G21" i="4"/>
  <c r="C16" i="4"/>
  <c r="E9" i="4"/>
  <c r="H5" i="4"/>
  <c r="A5" i="5" s="1"/>
  <c r="K26" i="4"/>
  <c r="F21" i="4"/>
  <c r="L17" i="4"/>
  <c r="M17" i="4" s="1"/>
  <c r="K14" i="4"/>
  <c r="K8" i="4"/>
  <c r="G5" i="4"/>
  <c r="J26" i="4"/>
  <c r="E21" i="4"/>
  <c r="J17" i="4"/>
  <c r="J14" i="4"/>
  <c r="J8" i="4"/>
  <c r="D5" i="4"/>
  <c r="K20" i="4"/>
  <c r="H17" i="4"/>
  <c r="A17" i="5" s="1"/>
  <c r="E14" i="4"/>
  <c r="G8" i="4"/>
  <c r="C5" i="4"/>
  <c r="L5" i="4"/>
  <c r="M5" i="4" s="1"/>
  <c r="D26" i="4"/>
  <c r="H22" i="4"/>
  <c r="A22" i="5" s="1"/>
  <c r="J20" i="4"/>
  <c r="G17" i="4"/>
  <c r="D14" i="4"/>
  <c r="G10" i="4"/>
  <c r="F8" i="4"/>
  <c r="L4" i="4"/>
  <c r="M4" i="4" s="1"/>
  <c r="L25" i="4"/>
  <c r="M25" i="4" s="1"/>
  <c r="G22" i="4"/>
  <c r="G20" i="4"/>
  <c r="D17" i="4"/>
  <c r="L13" i="4"/>
  <c r="M13" i="4" s="1"/>
  <c r="F10" i="4"/>
  <c r="E8" i="4"/>
  <c r="K4" i="4"/>
  <c r="F20" i="4"/>
  <c r="C17" i="4"/>
  <c r="D8" i="4"/>
  <c r="D25" i="4"/>
  <c r="E20" i="4"/>
  <c r="L16" i="4"/>
  <c r="M16" i="4" s="1"/>
  <c r="C8" i="4"/>
  <c r="G4" i="4"/>
  <c r="K24" i="4"/>
  <c r="C22" i="4"/>
  <c r="D20" i="4"/>
  <c r="K16" i="4"/>
  <c r="J11" i="4"/>
  <c r="L9" i="4"/>
  <c r="M9" i="4" s="1"/>
  <c r="E6" i="4"/>
  <c r="F4" i="4"/>
  <c r="J23" i="4"/>
  <c r="L21" i="4"/>
  <c r="M21" i="4" s="1"/>
  <c r="C20" i="4"/>
  <c r="K9" i="4"/>
  <c r="C4" i="4"/>
  <c r="F7" i="4"/>
  <c r="L26" i="4"/>
  <c r="M26" i="4" s="1"/>
  <c r="K25" i="4"/>
  <c r="J24" i="4"/>
  <c r="E19" i="4"/>
  <c r="D18" i="4"/>
  <c r="L14" i="4"/>
  <c r="M14" i="4" s="1"/>
  <c r="K13" i="4"/>
  <c r="J12" i="4"/>
  <c r="G9" i="4"/>
  <c r="E7" i="4"/>
  <c r="D6" i="4"/>
  <c r="J25" i="4"/>
  <c r="D19" i="4"/>
  <c r="C18" i="4"/>
  <c r="L15" i="4"/>
  <c r="M15" i="4" s="1"/>
  <c r="J13" i="4"/>
  <c r="D7" i="4"/>
  <c r="C6" i="4"/>
  <c r="L3" i="4"/>
  <c r="M3" i="4" s="1"/>
  <c r="C19" i="4"/>
  <c r="K15" i="4"/>
  <c r="C7" i="4"/>
  <c r="K3" i="4"/>
  <c r="H24" i="4"/>
  <c r="A24" i="5" s="1"/>
  <c r="H25" i="4"/>
  <c r="A25" i="5" s="1"/>
  <c r="G24" i="4"/>
  <c r="F23" i="4"/>
  <c r="D21" i="4"/>
  <c r="J15" i="4"/>
  <c r="H13" i="4"/>
  <c r="A13" i="5" s="1"/>
  <c r="G12" i="4"/>
  <c r="F11" i="4"/>
  <c r="D9" i="4"/>
  <c r="J3" i="4"/>
  <c r="H26" i="4"/>
  <c r="A26" i="5" s="1"/>
  <c r="G25" i="4"/>
  <c r="F24" i="4"/>
  <c r="E23" i="4"/>
  <c r="D22" i="4"/>
  <c r="C21" i="4"/>
  <c r="L18" i="4"/>
  <c r="M18" i="4" s="1"/>
  <c r="K17" i="4"/>
  <c r="J16" i="4"/>
  <c r="H14" i="4"/>
  <c r="A14" i="5" s="1"/>
  <c r="G13" i="4"/>
  <c r="F12" i="4"/>
  <c r="E11" i="4"/>
  <c r="D10" i="4"/>
  <c r="C9" i="4"/>
  <c r="L6" i="4"/>
  <c r="M6" i="4" s="1"/>
  <c r="K5" i="4"/>
  <c r="J4" i="4"/>
  <c r="H12" i="4"/>
  <c r="A12" i="5" s="1"/>
  <c r="G26" i="4"/>
  <c r="F25" i="4"/>
  <c r="E24" i="4"/>
  <c r="D23" i="4"/>
  <c r="L19" i="4"/>
  <c r="M19" i="4" s="1"/>
  <c r="K18" i="4"/>
  <c r="H15" i="4"/>
  <c r="A15" i="5" s="1"/>
  <c r="G14" i="4"/>
  <c r="F13" i="4"/>
  <c r="E12" i="4"/>
  <c r="D11" i="4"/>
  <c r="L7" i="4"/>
  <c r="M7" i="4" s="1"/>
  <c r="K6" i="4"/>
  <c r="H3" i="4"/>
  <c r="A3" i="5" s="1"/>
  <c r="F26" i="4"/>
  <c r="E25" i="4"/>
  <c r="D24" i="4"/>
  <c r="C23" i="4"/>
  <c r="L20" i="4"/>
  <c r="M20" i="4" s="1"/>
  <c r="K19" i="4"/>
  <c r="J18" i="4"/>
  <c r="H16" i="4"/>
  <c r="A16" i="5" s="1"/>
  <c r="G15" i="4"/>
  <c r="F14" i="4"/>
  <c r="E13" i="4"/>
  <c r="D12" i="4"/>
  <c r="C11" i="4"/>
  <c r="L8" i="4"/>
  <c r="M8" i="4" s="1"/>
  <c r="K7" i="4"/>
  <c r="J6" i="4"/>
  <c r="H4" i="4"/>
  <c r="A4" i="5" s="1"/>
  <c r="G3" i="4"/>
  <c r="C24" i="4"/>
  <c r="J19" i="4"/>
  <c r="F15" i="4"/>
  <c r="D13" i="4"/>
  <c r="C12" i="4"/>
  <c r="J7" i="4"/>
  <c r="F3" i="4"/>
  <c r="H18" i="4"/>
  <c r="A18" i="5" s="1"/>
  <c r="E15" i="4"/>
  <c r="H6" i="4"/>
  <c r="A6" i="5" s="1"/>
  <c r="E3" i="4"/>
  <c r="L23" i="4"/>
  <c r="M23" i="4" s="1"/>
  <c r="K22" i="4"/>
  <c r="J21" i="4"/>
  <c r="H19" i="4"/>
  <c r="A19" i="5" s="1"/>
  <c r="G18" i="4"/>
  <c r="F17" i="4"/>
  <c r="E16" i="4"/>
  <c r="D15" i="4"/>
  <c r="L11" i="4"/>
  <c r="M11" i="4" s="1"/>
  <c r="K10" i="4"/>
  <c r="J9" i="4"/>
  <c r="H7" i="4"/>
  <c r="A7" i="5" s="1"/>
  <c r="G6" i="4"/>
  <c r="F5" i="4"/>
  <c r="E4" i="4"/>
  <c r="D3" i="4"/>
  <c r="L2" i="4"/>
  <c r="K2" i="4"/>
  <c r="J2" i="4"/>
  <c r="G2" i="4"/>
  <c r="F2" i="4"/>
  <c r="E2" i="4"/>
  <c r="D2" i="4"/>
  <c r="F32" i="6" l="1"/>
  <c r="K32" i="6"/>
  <c r="D32" i="6"/>
  <c r="A2" i="7"/>
  <c r="H32" i="6"/>
  <c r="L32" i="6"/>
  <c r="E32" i="6"/>
  <c r="I32" i="6"/>
  <c r="I31" i="6"/>
  <c r="I30" i="6"/>
  <c r="I29" i="6"/>
  <c r="I28" i="6"/>
  <c r="C31" i="6"/>
  <c r="C30" i="6"/>
  <c r="C29" i="6"/>
  <c r="J31" i="6"/>
  <c r="J30" i="6"/>
  <c r="J29" i="6"/>
  <c r="J28" i="6"/>
  <c r="K31" i="6"/>
  <c r="K30" i="6"/>
  <c r="K29" i="6"/>
  <c r="K28" i="6"/>
  <c r="L31" i="6"/>
  <c r="L30" i="6"/>
  <c r="L29" i="6"/>
  <c r="L28" i="6"/>
  <c r="H31" i="6"/>
  <c r="H30" i="6"/>
  <c r="H29" i="6"/>
  <c r="H28" i="6"/>
  <c r="D29" i="6"/>
  <c r="D28" i="6"/>
  <c r="D30" i="6"/>
  <c r="D31" i="6"/>
  <c r="E30" i="6"/>
  <c r="E29" i="6"/>
  <c r="E28" i="6"/>
  <c r="E31" i="6"/>
  <c r="G31" i="6"/>
  <c r="G30" i="6"/>
  <c r="G29" i="6"/>
  <c r="G28" i="6"/>
  <c r="F31" i="6"/>
  <c r="F30" i="6"/>
  <c r="F29" i="6"/>
  <c r="F28" i="6"/>
  <c r="C28" i="6"/>
  <c r="C27" i="6"/>
  <c r="D27" i="6"/>
  <c r="E27" i="6"/>
  <c r="G27" i="6"/>
  <c r="F27" i="6"/>
  <c r="H27" i="6"/>
  <c r="I27" i="6"/>
  <c r="J27" i="6"/>
  <c r="K27" i="6"/>
  <c r="M2" i="6"/>
  <c r="L27" i="6"/>
  <c r="H32" i="4"/>
  <c r="H31" i="4"/>
  <c r="H30" i="4"/>
  <c r="J32" i="4"/>
  <c r="J31" i="4"/>
  <c r="J30" i="4"/>
  <c r="K32" i="4"/>
  <c r="K31" i="4"/>
  <c r="K30" i="4"/>
  <c r="L32" i="4"/>
  <c r="L31" i="4"/>
  <c r="L30" i="4"/>
  <c r="D30" i="4"/>
  <c r="D32" i="4"/>
  <c r="D31" i="4"/>
  <c r="C32" i="4"/>
  <c r="C31" i="4"/>
  <c r="I32" i="4"/>
  <c r="I31" i="4"/>
  <c r="I30" i="4"/>
  <c r="E31" i="4"/>
  <c r="E30" i="4"/>
  <c r="E32" i="4"/>
  <c r="F31" i="4"/>
  <c r="F30" i="4"/>
  <c r="F32" i="4"/>
  <c r="G32" i="4"/>
  <c r="G31" i="4"/>
  <c r="G30" i="4"/>
  <c r="C30" i="4"/>
  <c r="E29" i="4"/>
  <c r="C29" i="4"/>
  <c r="F29" i="4"/>
  <c r="H29" i="4"/>
  <c r="J29" i="4"/>
  <c r="G29" i="4"/>
  <c r="K29" i="4"/>
  <c r="L29" i="4"/>
  <c r="I29" i="4"/>
  <c r="D29" i="4"/>
  <c r="D28" i="4"/>
  <c r="C28" i="4"/>
  <c r="F28" i="4"/>
  <c r="H28" i="4"/>
  <c r="I28" i="4"/>
  <c r="K28" i="4"/>
  <c r="G28" i="4"/>
  <c r="J28" i="4"/>
  <c r="E28" i="4"/>
  <c r="L28" i="4"/>
  <c r="C27" i="4"/>
  <c r="F27" i="4"/>
  <c r="E27" i="4"/>
  <c r="I27" i="4"/>
  <c r="G27" i="4"/>
  <c r="D27" i="4"/>
  <c r="H27" i="4"/>
  <c r="J27" i="4"/>
  <c r="K27" i="4"/>
  <c r="M2" i="4"/>
  <c r="L2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student</author>
  </authors>
  <commentList>
    <comment ref="B14" authorId="0" shapeId="0" xr:uid="{DF7C670A-B270-4EE7-9574-6CCDEF7E8A33}">
      <text>
        <r>
          <rPr>
            <b/>
            <sz val="9"/>
            <color indexed="81"/>
            <rFont val="Tahoma"/>
            <family val="2"/>
            <charset val="204"/>
          </rPr>
          <t>student:
темп роста цепной
T=Y(i)/Y(i-1)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14" authorId="0" shapeId="0" xr:uid="{AD468A4C-83D2-42A5-B018-EE2C0096E0F3}">
      <text>
        <r>
          <rPr>
            <b/>
            <sz val="9"/>
            <color indexed="81"/>
            <rFont val="Tahoma"/>
            <family val="2"/>
            <charset val="204"/>
          </rPr>
          <t>student:
темп роста цепной
T=Y(i)/Y(i-1)</t>
        </r>
      </text>
    </comment>
    <comment ref="AH14" authorId="0" shapeId="0" xr:uid="{B31A7083-A7C5-41B8-AE40-D82498AE592F}">
      <text/>
    </comment>
    <comment ref="B26" authorId="0" shapeId="0" xr:uid="{518CA030-EBD7-40B5-82F2-2F4C86ED8BB7}">
      <text>
        <r>
          <rPr>
            <b/>
            <sz val="9"/>
            <color indexed="81"/>
            <rFont val="Tahoma"/>
            <family val="2"/>
            <charset val="204"/>
          </rPr>
          <t>student:</t>
        </r>
        <r>
          <rPr>
            <sz val="9"/>
            <color indexed="81"/>
            <rFont val="Tahoma"/>
            <family val="2"/>
            <charset val="204"/>
          </rPr>
          <t xml:space="preserve">
темп роста базисный
T=Y(i)/Y(б)</t>
        </r>
      </text>
    </comment>
    <comment ref="R26" authorId="0" shapeId="0" xr:uid="{7F01CC37-CD05-4AD6-8F93-BD8E98DDE6C6}">
      <text>
        <r>
          <rPr>
            <b/>
            <sz val="9"/>
            <color indexed="81"/>
            <rFont val="Tahoma"/>
            <family val="2"/>
            <charset val="204"/>
          </rPr>
          <t>student:
темп роста базисный
T=Y(i)/Y(б)</t>
        </r>
      </text>
    </comment>
    <comment ref="AH26" authorId="0" shapeId="0" xr:uid="{32D563A5-1965-45A1-A8A2-33E0EA86AF5B}">
      <text>
        <r>
          <rPr>
            <b/>
            <sz val="9"/>
            <color indexed="81"/>
            <rFont val="Tahoma"/>
            <family val="2"/>
            <charset val="204"/>
          </rPr>
          <t>student:
темп роста базисный
T=Y(i)/Y(б)</t>
        </r>
      </text>
    </comment>
    <comment ref="B38" authorId="0" shapeId="0" xr:uid="{8A6D010C-9F9A-471D-BCE1-6E65925D7C28}">
      <text>
        <r>
          <rPr>
            <b/>
            <sz val="9"/>
            <color indexed="81"/>
            <rFont val="Tahoma"/>
            <family val="2"/>
            <charset val="204"/>
          </rPr>
          <t>темп прироста цепной
T=(Y(I) - Y(i-1)) / Y(i-1)</t>
        </r>
      </text>
    </comment>
    <comment ref="R38" authorId="0" shapeId="0" xr:uid="{9B120B1D-811D-4504-8EDC-DBE25C3860AC}">
      <text>
        <r>
          <rPr>
            <b/>
            <sz val="9"/>
            <color indexed="81"/>
            <rFont val="Tahoma"/>
            <family val="2"/>
            <charset val="204"/>
          </rPr>
          <t>темп прироста цепной
T=(Y(I) - Y(i-1)) / Y(i-1)</t>
        </r>
      </text>
    </comment>
    <comment ref="AH38" authorId="0" shapeId="0" xr:uid="{5DE083E4-4CB8-426B-B3C0-ABFFBBB72E32}">
      <text>
        <r>
          <rPr>
            <b/>
            <sz val="9"/>
            <color indexed="81"/>
            <rFont val="Tahoma"/>
            <family val="2"/>
            <charset val="204"/>
          </rPr>
          <t>темп прироста цепной
T=(Y(I) - Y(i-1)) / Y(i-1)</t>
        </r>
      </text>
    </comment>
    <comment ref="B50" authorId="0" shapeId="0" xr:uid="{65FB0884-0D75-4180-BB6F-8E3C114A70CF}">
      <text>
        <r>
          <rPr>
            <b/>
            <sz val="9"/>
            <color indexed="81"/>
            <rFont val="Tahoma"/>
            <family val="2"/>
            <charset val="204"/>
          </rPr>
          <t>student:</t>
        </r>
        <r>
          <rPr>
            <sz val="9"/>
            <color indexed="81"/>
            <rFont val="Tahoma"/>
            <family val="2"/>
            <charset val="204"/>
          </rPr>
          <t xml:space="preserve">
темп прирсота базисный
T=(Y(i) - Y(б)) / Y(б)
</t>
        </r>
      </text>
    </comment>
    <comment ref="R50" authorId="0" shapeId="0" xr:uid="{0CD421CC-E1AD-4A8C-B395-10D85BEB4674}">
      <text>
        <r>
          <rPr>
            <b/>
            <sz val="9"/>
            <color indexed="81"/>
            <rFont val="Tahoma"/>
            <family val="2"/>
            <charset val="204"/>
          </rPr>
          <t>student:
темп прирсота базисный
T=(Y(i) - Y(б)) / Y(б)</t>
        </r>
      </text>
    </comment>
    <comment ref="AH50" authorId="0" shapeId="0" xr:uid="{F459ABE4-D2BE-46ED-ABB9-FE5F009EE8DE}">
      <text>
        <r>
          <rPr>
            <b/>
            <sz val="9"/>
            <color indexed="81"/>
            <rFont val="Tahoma"/>
            <family val="2"/>
            <charset val="204"/>
          </rPr>
          <t>student:
темп прирсота базисный
T=(Y(i) - Y(б)) / Y(б)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<sst xmlns="http://schemas.openxmlformats.org/spreadsheetml/2006/main" count="214" uniqueCount="42">
  <si>
    <t>Наименование показателей</t>
  </si>
  <si>
    <t>Кыргызская Республика</t>
  </si>
  <si>
    <t>Баткенская область</t>
  </si>
  <si>
    <t>Джалал-Абадская область</t>
  </si>
  <si>
    <t xml:space="preserve">Иссык-Кульская область </t>
  </si>
  <si>
    <t>Нарынская Область</t>
  </si>
  <si>
    <t>Ошская область</t>
  </si>
  <si>
    <t>Таласская область</t>
  </si>
  <si>
    <t>Чуйская область</t>
  </si>
  <si>
    <t>г.Бишкек</t>
  </si>
  <si>
    <t>г.Ош</t>
  </si>
  <si>
    <t>Минимум</t>
  </si>
  <si>
    <t>МИН</t>
  </si>
  <si>
    <t>СРЗНАЧ</t>
  </si>
  <si>
    <t>МАКС</t>
  </si>
  <si>
    <t>Женщины</t>
  </si>
  <si>
    <t>Иссык-Кульская область</t>
  </si>
  <si>
    <t>Нарынская область</t>
  </si>
  <si>
    <t>г. Ош</t>
  </si>
  <si>
    <t>Мужчины</t>
  </si>
  <si>
    <t xml:space="preserve">Темп роста Цепной  </t>
  </si>
  <si>
    <t xml:space="preserve">Темп роста базисный </t>
  </si>
  <si>
    <t>Темп прироста цепной</t>
  </si>
  <si>
    <t>Темп прироста базисный</t>
  </si>
  <si>
    <t>Максимум</t>
  </si>
  <si>
    <t>количество чисел больших 150</t>
  </si>
  <si>
    <t>сумма чисел, меньших 130</t>
  </si>
  <si>
    <t>Сумма</t>
  </si>
  <si>
    <t>Среднее</t>
  </si>
  <si>
    <t>X</t>
  </si>
  <si>
    <t>Sin(x)</t>
  </si>
  <si>
    <t>Cos(x)</t>
  </si>
  <si>
    <t>Tan(x)</t>
  </si>
  <si>
    <t>Ln(x)</t>
  </si>
  <si>
    <t>Log(x)</t>
  </si>
  <si>
    <t>Остаток</t>
  </si>
  <si>
    <t>Корень</t>
  </si>
  <si>
    <t>Нечет</t>
  </si>
  <si>
    <t>Округ</t>
  </si>
  <si>
    <t>Отбр</t>
  </si>
  <si>
    <t>Римское</t>
  </si>
  <si>
    <t>Если()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</si>
</sst>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_₽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0"/>
      <name val="Arial Cyr"/>
      <charset val="204"/>
    </font>
    <font>
      <sz val="10"/>
      <name val="NTHarmonica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 Cyr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 applyBorder="0"/>
    <xf numFmtId="0" fontId="3" fillId="0" borderId="0"/>
    <xf numFmtId="0" fontId="8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4" borderId="1" xfId="0" applyFont="1" applyFill="1" applyBorder="1"/>
    <xf numFmtId="0" fontId="6" fillId="4" borderId="1" xfId="0" applyFont="1" applyFill="1" applyBorder="1"/>
    <xf numFmtId="3" fontId="7" fillId="4" borderId="1" xfId="1" applyNumberFormat="1" applyFont="1" applyFill="1" applyBorder="1"/>
    <xf numFmtId="0" fontId="7" fillId="4" borderId="1" xfId="2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5" fillId="5" borderId="1" xfId="1" applyFont="1" applyFill="1" applyBorder="1" applyAlignment="1">
      <alignment horizontal="left" wrapText="1" indent="2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9" fillId="0" borderId="0" xfId="0" applyFont="1"/>
    <xf numFmtId="0" fontId="10" fillId="5" borderId="1" xfId="1" applyFont="1" applyFill="1" applyBorder="1" applyAlignment="1">
      <alignment horizontal="left" vertical="center" wrapText="1" indent="1"/>
    </xf>
    <xf numFmtId="0" fontId="10" fillId="7" borderId="1" xfId="1" applyFont="1" applyFill="1" applyBorder="1" applyAlignment="1">
      <alignment horizontal="left" indent="1"/>
    </xf>
    <xf numFmtId="1" fontId="7" fillId="5" borderId="1" xfId="1" applyNumberFormat="1" applyFont="1" applyFill="1" applyBorder="1"/>
    <xf numFmtId="3" fontId="7" fillId="5" borderId="1" xfId="3" applyNumberFormat="1" applyFont="1" applyFill="1" applyBorder="1"/>
    <xf numFmtId="0" fontId="7" fillId="5" borderId="1" xfId="1" applyFont="1" applyFill="1" applyBorder="1"/>
    <xf numFmtId="0" fontId="5" fillId="7" borderId="1" xfId="1" applyFont="1" applyFill="1" applyBorder="1" applyAlignment="1">
      <alignment horizontal="left" indent="2"/>
    </xf>
    <xf numFmtId="3" fontId="7" fillId="7" borderId="1" xfId="2" applyNumberFormat="1" applyFont="1" applyFill="1" applyBorder="1" applyAlignment="1">
      <alignment vertical="center" wrapText="1"/>
    </xf>
    <xf numFmtId="0" fontId="7" fillId="5" borderId="1" xfId="4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2" fillId="9" borderId="1" xfId="0" applyFont="1" applyFill="1" applyBorder="1"/>
    <xf numFmtId="0" fontId="1" fillId="9" borderId="1" xfId="0" applyFont="1" applyFill="1" applyBorder="1"/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5" fontId="0" fillId="4" borderId="1" xfId="0" applyNumberFormat="1" applyFill="1" applyBorder="1"/>
    <xf numFmtId="165" fontId="0" fillId="5" borderId="1" xfId="0" applyNumberFormat="1" applyFill="1" applyBorder="1"/>
    <xf numFmtId="165" fontId="0" fillId="7" borderId="1" xfId="0" applyNumberFormat="1" applyFill="1" applyBorder="1"/>
  </cellXfs>
  <cellStyles count="5">
    <cellStyle name="Обычный" xfId="0" builtinId="0"/>
    <cellStyle name="Обычный 2" xfId="1" xr:uid="{C344E5CA-6595-4EBC-ADDB-3EB5ABBA1BBB}"/>
    <cellStyle name="Обычный_1070013" xfId="2" xr:uid="{87A5EEF7-2B53-48B7-A0C0-0CC384D01841}"/>
    <cellStyle name="Обычный_Urbezobl" xfId="4" xr:uid="{348DD748-EAD4-47E5-9943-C023225E5502}"/>
    <cellStyle name="Обычный_ПО полу и терр." xfId="3" xr:uid="{42268ABE-5802-413A-B273-BB75D9838D46}"/>
  </cellStyles>
  <dxfs count="6">
    <dxf>
      <fill>
        <patternFill>
          <bgColor rgb="FF0070C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</dxf>
    <dxf>
      <fill>
        <patternFill>
          <bgColor rgb="FF0070C0"/>
        </patternFill>
      </fill>
    </dxf>
    <dxf>
      <font>
        <color rgb="FFFF0000"/>
      </font>
      <border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371475</xdr:colOff>
      <xdr:row>13</xdr:row>
      <xdr:rowOff>14287</xdr:rowOff>
    </xdr:from>
    <xdr:ext cx="854786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F2EA200-7C25-7F47-73AC-95866457DD3A}"/>
                </a:ext>
              </a:extLst>
            </xdr:cNvPr>
            <xdr:cNvSpPr txBox="1"/>
          </xdr:nvSpPr>
          <xdr:spPr>
            <a:xfrm>
              <a:off x="6686550" y="2490787"/>
              <a:ext cx="854786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рц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F2EA200-7C25-7F47-73AC-95866457DD3A}"/>
                </a:ext>
              </a:extLst>
            </xdr:cNvPr>
            <xdr:cNvSpPr txBox="1"/>
          </xdr:nvSpPr>
          <xdr:spPr>
            <a:xfrm>
              <a:off x="6686550" y="2490787"/>
              <a:ext cx="854786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рц</a:t>
              </a:r>
              <a:r>
                <a:rPr lang="ru-RU" sz="1100" i="0">
                  <a:latin typeface="Cambria Math" panose="02040503050406030204" pitchFamily="18" charset="0"/>
                </a:rPr>
                <a:t>=𝑦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𝑖∕𝑦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ru-RU" sz="1100" i="0">
                  <a:latin typeface="Cambria Math" panose="02040503050406030204" pitchFamily="18" charset="0"/>
                </a:rPr>
                <a:t>𝑖−1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428625</xdr:colOff>
      <xdr:row>25</xdr:row>
      <xdr:rowOff>14287</xdr:rowOff>
    </xdr:from>
    <xdr:ext cx="7330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841D28D-606D-B810-E4E8-2BE6BD24FF01}"/>
                </a:ext>
              </a:extLst>
            </xdr:cNvPr>
            <xdr:cNvSpPr txBox="1"/>
          </xdr:nvSpPr>
          <xdr:spPr>
            <a:xfrm>
              <a:off x="6743700" y="4776787"/>
              <a:ext cx="7330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тб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b="0" i="0">
                                <a:latin typeface="Cambria Math" panose="02040503050406030204" pitchFamily="18" charset="0"/>
                              </a:rPr>
                              <m:t>б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841D28D-606D-B810-E4E8-2BE6BD24FF01}"/>
                </a:ext>
              </a:extLst>
            </xdr:cNvPr>
            <xdr:cNvSpPr txBox="1"/>
          </xdr:nvSpPr>
          <xdr:spPr>
            <a:xfrm>
              <a:off x="6743700" y="4776787"/>
              <a:ext cx="7330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тб</a:t>
              </a:r>
              <a:r>
                <a:rPr lang="ru-RU" sz="1100" i="0">
                  <a:latin typeface="Cambria Math" panose="02040503050406030204" pitchFamily="18" charset="0"/>
                </a:rPr>
                <a:t>=𝑦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𝑖∕𝑦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б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476250</xdr:colOff>
      <xdr:row>37</xdr:row>
      <xdr:rowOff>14287</xdr:rowOff>
    </xdr:from>
    <xdr:ext cx="1143455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F79F61-AA4C-E987-B3D6-44A06F5DC295}"/>
                </a:ext>
              </a:extLst>
            </xdr:cNvPr>
            <xdr:cNvSpPr txBox="1"/>
          </xdr:nvSpPr>
          <xdr:spPr>
            <a:xfrm>
              <a:off x="6791325" y="7062787"/>
              <a:ext cx="1143455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прц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ru-RU" sz="1100" i="0">
                        <a:latin typeface="Cambria Math" panose="02040503050406030204" pitchFamily="18" charset="0"/>
                      </a:rPr>
                      <m:t>Δ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ц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  <m:r>
                      <a:rPr lang="ru-RU" sz="1100" i="0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F79F61-AA4C-E987-B3D6-44A06F5DC295}"/>
                </a:ext>
              </a:extLst>
            </xdr:cNvPr>
            <xdr:cNvSpPr txBox="1"/>
          </xdr:nvSpPr>
          <xdr:spPr>
            <a:xfrm>
              <a:off x="6791325" y="7062787"/>
              <a:ext cx="1143455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прц</a:t>
              </a:r>
              <a:r>
                <a:rPr lang="ru-RU" sz="1100" i="0">
                  <a:latin typeface="Cambria Math" panose="02040503050406030204" pitchFamily="18" charset="0"/>
                </a:rPr>
                <a:t>=Δ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ru-RU" sz="1100" i="0">
                  <a:latin typeface="Cambria Math" panose="02040503050406030204" pitchFamily="18" charset="0"/>
                </a:rPr>
                <a:t>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ц∕</a:t>
              </a:r>
              <a:r>
                <a:rPr lang="ru-RU" sz="1100" i="0">
                  <a:latin typeface="Cambria Math" panose="02040503050406030204" pitchFamily="18" charset="0"/>
                </a:rPr>
                <a:t>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𝑖 −1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504825</xdr:colOff>
      <xdr:row>49</xdr:row>
      <xdr:rowOff>14287</xdr:rowOff>
    </xdr:from>
    <xdr:ext cx="752194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A792FDA-8872-7B55-7ACE-B136860CCB77}"/>
                </a:ext>
              </a:extLst>
            </xdr:cNvPr>
            <xdr:cNvSpPr txBox="1"/>
          </xdr:nvSpPr>
          <xdr:spPr>
            <a:xfrm>
              <a:off x="6819900" y="9348787"/>
              <a:ext cx="75219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прб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  <m:t>б</m:t>
                        </m:r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б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A792FDA-8872-7B55-7ACE-B136860CCB77}"/>
                </a:ext>
              </a:extLst>
            </xdr:cNvPr>
            <xdr:cNvSpPr txBox="1"/>
          </xdr:nvSpPr>
          <xdr:spPr>
            <a:xfrm>
              <a:off x="6819900" y="9348787"/>
              <a:ext cx="75219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прб</a:t>
              </a:r>
              <a:r>
                <a:rPr lang="ru-RU" sz="1100" i="0">
                  <a:latin typeface="Cambria Math" panose="02040503050406030204" pitchFamily="18" charset="0"/>
                </a:rPr>
                <a:t>=</a:t>
              </a:r>
              <a:r>
                <a:rPr lang="ru-RU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б∕</a:t>
              </a:r>
              <a:r>
                <a:rPr lang="ru-RU" sz="1100" i="0">
                  <a:latin typeface="Cambria Math" panose="02040503050406030204" pitchFamily="18" charset="0"/>
                </a:rPr>
                <a:t>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б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24</xdr:col>
      <xdr:colOff>428625</xdr:colOff>
      <xdr:row>25</xdr:row>
      <xdr:rowOff>14287</xdr:rowOff>
    </xdr:from>
    <xdr:ext cx="7330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4D7F9D3-5DB6-42A5-882D-E8F5958B980C}"/>
                </a:ext>
              </a:extLst>
            </xdr:cNvPr>
            <xdr:cNvSpPr txBox="1"/>
          </xdr:nvSpPr>
          <xdr:spPr>
            <a:xfrm>
              <a:off x="6743700" y="4776787"/>
              <a:ext cx="7330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тб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b="0" i="0">
                                <a:latin typeface="Cambria Math" panose="02040503050406030204" pitchFamily="18" charset="0"/>
                              </a:rPr>
                              <m:t>б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4D7F9D3-5DB6-42A5-882D-E8F5958B980C}"/>
                </a:ext>
              </a:extLst>
            </xdr:cNvPr>
            <xdr:cNvSpPr txBox="1"/>
          </xdr:nvSpPr>
          <xdr:spPr>
            <a:xfrm>
              <a:off x="6743700" y="4776787"/>
              <a:ext cx="7330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тб</a:t>
              </a:r>
              <a:r>
                <a:rPr lang="ru-RU" sz="1100" i="0">
                  <a:latin typeface="Cambria Math" panose="02040503050406030204" pitchFamily="18" charset="0"/>
                </a:rPr>
                <a:t>=𝑦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𝑖∕𝑦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б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40</xdr:col>
      <xdr:colOff>428625</xdr:colOff>
      <xdr:row>25</xdr:row>
      <xdr:rowOff>14287</xdr:rowOff>
    </xdr:from>
    <xdr:ext cx="7330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7AB79FD-B670-4761-81BB-578624E4A8AB}"/>
                </a:ext>
              </a:extLst>
            </xdr:cNvPr>
            <xdr:cNvSpPr txBox="1"/>
          </xdr:nvSpPr>
          <xdr:spPr>
            <a:xfrm>
              <a:off x="6743700" y="4776787"/>
              <a:ext cx="7330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тб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b="0" i="0">
                                <a:latin typeface="Cambria Math" panose="02040503050406030204" pitchFamily="18" charset="0"/>
                              </a:rPr>
                              <m:t>б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7AB79FD-B670-4761-81BB-578624E4A8AB}"/>
                </a:ext>
              </a:extLst>
            </xdr:cNvPr>
            <xdr:cNvSpPr txBox="1"/>
          </xdr:nvSpPr>
          <xdr:spPr>
            <a:xfrm>
              <a:off x="6743700" y="4776787"/>
              <a:ext cx="7330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тб</a:t>
              </a:r>
              <a:r>
                <a:rPr lang="ru-RU" sz="1100" i="0">
                  <a:latin typeface="Cambria Math" panose="02040503050406030204" pitchFamily="18" charset="0"/>
                </a:rPr>
                <a:t>=𝑦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𝑖∕𝑦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б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24</xdr:col>
      <xdr:colOff>371475</xdr:colOff>
      <xdr:row>13</xdr:row>
      <xdr:rowOff>14287</xdr:rowOff>
    </xdr:from>
    <xdr:ext cx="854786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1A7B554-28E3-4511-944E-BE2E66FB0CDC}"/>
                </a:ext>
              </a:extLst>
            </xdr:cNvPr>
            <xdr:cNvSpPr txBox="1"/>
          </xdr:nvSpPr>
          <xdr:spPr>
            <a:xfrm>
              <a:off x="6686550" y="2490787"/>
              <a:ext cx="854786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рц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1A7B554-28E3-4511-944E-BE2E66FB0CDC}"/>
                </a:ext>
              </a:extLst>
            </xdr:cNvPr>
            <xdr:cNvSpPr txBox="1"/>
          </xdr:nvSpPr>
          <xdr:spPr>
            <a:xfrm>
              <a:off x="6686550" y="2490787"/>
              <a:ext cx="854786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рц</a:t>
              </a:r>
              <a:r>
                <a:rPr lang="ru-RU" sz="1100" i="0">
                  <a:latin typeface="Cambria Math" panose="02040503050406030204" pitchFamily="18" charset="0"/>
                </a:rPr>
                <a:t>=𝑦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𝑖∕𝑦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ru-RU" sz="1100" i="0">
                  <a:latin typeface="Cambria Math" panose="02040503050406030204" pitchFamily="18" charset="0"/>
                </a:rPr>
                <a:t>𝑖−1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40</xdr:col>
      <xdr:colOff>371475</xdr:colOff>
      <xdr:row>13</xdr:row>
      <xdr:rowOff>14287</xdr:rowOff>
    </xdr:from>
    <xdr:ext cx="854786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D9A0504-10D1-4A92-98D3-FC9A164964F8}"/>
                </a:ext>
              </a:extLst>
            </xdr:cNvPr>
            <xdr:cNvSpPr txBox="1"/>
          </xdr:nvSpPr>
          <xdr:spPr>
            <a:xfrm>
              <a:off x="6686550" y="2490787"/>
              <a:ext cx="854786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рц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D9A0504-10D1-4A92-98D3-FC9A164964F8}"/>
                </a:ext>
              </a:extLst>
            </xdr:cNvPr>
            <xdr:cNvSpPr txBox="1"/>
          </xdr:nvSpPr>
          <xdr:spPr>
            <a:xfrm>
              <a:off x="6686550" y="2490787"/>
              <a:ext cx="854786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рц</a:t>
              </a:r>
              <a:r>
                <a:rPr lang="ru-RU" sz="1100" i="0">
                  <a:latin typeface="Cambria Math" panose="02040503050406030204" pitchFamily="18" charset="0"/>
                </a:rPr>
                <a:t>=𝑦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𝑖∕𝑦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ru-RU" sz="1100" i="0">
                  <a:latin typeface="Cambria Math" panose="02040503050406030204" pitchFamily="18" charset="0"/>
                </a:rPr>
                <a:t>𝑖−1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24</xdr:col>
      <xdr:colOff>476250</xdr:colOff>
      <xdr:row>37</xdr:row>
      <xdr:rowOff>14287</xdr:rowOff>
    </xdr:from>
    <xdr:ext cx="1143455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BA9D58F-2BC4-442B-A4BA-696189C4D820}"/>
                </a:ext>
              </a:extLst>
            </xdr:cNvPr>
            <xdr:cNvSpPr txBox="1"/>
          </xdr:nvSpPr>
          <xdr:spPr>
            <a:xfrm>
              <a:off x="6791325" y="7062787"/>
              <a:ext cx="1143455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прц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ru-RU" sz="1100" i="0">
                        <a:latin typeface="Cambria Math" panose="02040503050406030204" pitchFamily="18" charset="0"/>
                      </a:rPr>
                      <m:t>Δ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ц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  <m:r>
                      <a:rPr lang="ru-RU" sz="1100" i="0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BA9D58F-2BC4-442B-A4BA-696189C4D820}"/>
                </a:ext>
              </a:extLst>
            </xdr:cNvPr>
            <xdr:cNvSpPr txBox="1"/>
          </xdr:nvSpPr>
          <xdr:spPr>
            <a:xfrm>
              <a:off x="6791325" y="7062787"/>
              <a:ext cx="1143455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прц</a:t>
              </a:r>
              <a:r>
                <a:rPr lang="ru-RU" sz="1100" i="0">
                  <a:latin typeface="Cambria Math" panose="02040503050406030204" pitchFamily="18" charset="0"/>
                </a:rPr>
                <a:t>=Δ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ru-RU" sz="1100" i="0">
                  <a:latin typeface="Cambria Math" panose="02040503050406030204" pitchFamily="18" charset="0"/>
                </a:rPr>
                <a:t>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ц∕</a:t>
              </a:r>
              <a:r>
                <a:rPr lang="ru-RU" sz="1100" i="0">
                  <a:latin typeface="Cambria Math" panose="02040503050406030204" pitchFamily="18" charset="0"/>
                </a:rPr>
                <a:t>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𝑖 −1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40</xdr:col>
      <xdr:colOff>371475</xdr:colOff>
      <xdr:row>37</xdr:row>
      <xdr:rowOff>4762</xdr:rowOff>
    </xdr:from>
    <xdr:ext cx="1143455" cy="1847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B7BD323-125E-486A-98B0-60C369B0B40C}"/>
                </a:ext>
              </a:extLst>
            </xdr:cNvPr>
            <xdr:cNvSpPr txBox="1"/>
          </xdr:nvSpPr>
          <xdr:spPr>
            <a:xfrm>
              <a:off x="29165550" y="7053262"/>
              <a:ext cx="1143455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прц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ru-RU" sz="1100" i="0">
                        <a:latin typeface="Cambria Math" panose="02040503050406030204" pitchFamily="18" charset="0"/>
                      </a:rPr>
                      <m:t>Δ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ц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  <m:r>
                      <a:rPr lang="ru-RU" sz="1100" i="0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B7BD323-125E-486A-98B0-60C369B0B40C}"/>
                </a:ext>
              </a:extLst>
            </xdr:cNvPr>
            <xdr:cNvSpPr txBox="1"/>
          </xdr:nvSpPr>
          <xdr:spPr>
            <a:xfrm>
              <a:off x="29165550" y="7053262"/>
              <a:ext cx="1143455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прц</a:t>
              </a:r>
              <a:r>
                <a:rPr lang="ru-RU" sz="1100" i="0">
                  <a:latin typeface="Cambria Math" panose="02040503050406030204" pitchFamily="18" charset="0"/>
                </a:rPr>
                <a:t>=Δ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ru-RU" sz="1100" i="0">
                  <a:latin typeface="Cambria Math" panose="02040503050406030204" pitchFamily="18" charset="0"/>
                </a:rPr>
                <a:t>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ц∕</a:t>
              </a:r>
              <a:r>
                <a:rPr lang="ru-RU" sz="1100" i="0">
                  <a:latin typeface="Cambria Math" panose="02040503050406030204" pitchFamily="18" charset="0"/>
                </a:rPr>
                <a:t>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𝑖 −1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24</xdr:col>
      <xdr:colOff>504825</xdr:colOff>
      <xdr:row>49</xdr:row>
      <xdr:rowOff>14287</xdr:rowOff>
    </xdr:from>
    <xdr:ext cx="752194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C21DD1A-613F-4475-96A7-7FB5C2F5E960}"/>
                </a:ext>
              </a:extLst>
            </xdr:cNvPr>
            <xdr:cNvSpPr txBox="1"/>
          </xdr:nvSpPr>
          <xdr:spPr>
            <a:xfrm>
              <a:off x="6819900" y="9348787"/>
              <a:ext cx="75219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прб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  <m:t>б</m:t>
                        </m:r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б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C21DD1A-613F-4475-96A7-7FB5C2F5E960}"/>
                </a:ext>
              </a:extLst>
            </xdr:cNvPr>
            <xdr:cNvSpPr txBox="1"/>
          </xdr:nvSpPr>
          <xdr:spPr>
            <a:xfrm>
              <a:off x="6819900" y="9348787"/>
              <a:ext cx="75219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прб</a:t>
              </a:r>
              <a:r>
                <a:rPr lang="ru-RU" sz="1100" i="0">
                  <a:latin typeface="Cambria Math" panose="02040503050406030204" pitchFamily="18" charset="0"/>
                </a:rPr>
                <a:t>=</a:t>
              </a:r>
              <a:r>
                <a:rPr lang="ru-RU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б∕</a:t>
              </a:r>
              <a:r>
                <a:rPr lang="ru-RU" sz="1100" i="0">
                  <a:latin typeface="Cambria Math" panose="02040503050406030204" pitchFamily="18" charset="0"/>
                </a:rPr>
                <a:t>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б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40</xdr:col>
      <xdr:colOff>504825</xdr:colOff>
      <xdr:row>49</xdr:row>
      <xdr:rowOff>14287</xdr:rowOff>
    </xdr:from>
    <xdr:ext cx="752194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21AC574-6607-43E7-8764-810DB2DD7621}"/>
                </a:ext>
              </a:extLst>
            </xdr:cNvPr>
            <xdr:cNvSpPr txBox="1"/>
          </xdr:nvSpPr>
          <xdr:spPr>
            <a:xfrm>
              <a:off x="6819900" y="9348787"/>
              <a:ext cx="75219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прб</m:t>
                        </m:r>
                      </m:sub>
                    </m:sSub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  <m:t>б</m:t>
                        </m:r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б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21AC574-6607-43E7-8764-810DB2DD7621}"/>
                </a:ext>
              </a:extLst>
            </xdr:cNvPr>
            <xdr:cNvSpPr txBox="1"/>
          </xdr:nvSpPr>
          <xdr:spPr>
            <a:xfrm>
              <a:off x="6819900" y="9348787"/>
              <a:ext cx="75219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𝑇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прб</a:t>
              </a:r>
              <a:r>
                <a:rPr lang="ru-RU" sz="1100" i="0">
                  <a:latin typeface="Cambria Math" panose="02040503050406030204" pitchFamily="18" charset="0"/>
                </a:rPr>
                <a:t>=</a:t>
              </a:r>
              <a:r>
                <a:rPr lang="ru-RU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б∕</a:t>
              </a:r>
              <a:r>
                <a:rPr lang="ru-RU" sz="1100" i="0">
                  <a:latin typeface="Cambria Math" panose="02040503050406030204" pitchFamily="18" charset="0"/>
                </a:rPr>
                <a:t>𝑦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б 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/>
  <dimension ref="B1:AV60"/>
  <sheetViews>
    <sheetView topLeftCell="C13" workbookViewId="0">
      <selection activeCell="B26" sqref="B26:P26"/>
    </sheetView>
  </sheetViews>
  <sheetFormatPr defaultRowHeight="15"/>
  <cols>
    <col min="2" max="2" width="30.7109375" style="1" customWidth="1"/>
    <col min="15" max="15" width="9.85546875" bestFit="1" customWidth="1"/>
    <col min="18" max="18" width="30.7109375" customWidth="1"/>
    <col min="31" max="31" width="9.85546875" bestFit="1" customWidth="1"/>
    <col min="34" max="34" width="30.7109375" customWidth="1"/>
    <col min="47" max="47" width="9.85546875" bestFit="1" customWidth="1"/>
  </cols>
  <sheetData>
    <row r="1" spans="2:48">
      <c r="R1" t="s">
        <v>15</v>
      </c>
      <c r="AH1" t="s">
        <v>19</v>
      </c>
    </row>
    <row r="2" spans="2:48">
      <c r="B2" s="2" t="s">
        <v>0</v>
      </c>
      <c r="C2" s="3">
        <v>2014</v>
      </c>
      <c r="D2" s="3">
        <v>2015</v>
      </c>
      <c r="E2" s="3">
        <v>2016</v>
      </c>
      <c r="F2" s="3">
        <v>2017</v>
      </c>
      <c r="G2" s="3">
        <v>2018</v>
      </c>
      <c r="H2" s="3">
        <v>2019</v>
      </c>
      <c r="I2" s="3">
        <v>2020</v>
      </c>
      <c r="J2" s="3">
        <v>2021</v>
      </c>
      <c r="K2" s="3">
        <v>2022</v>
      </c>
      <c r="L2" s="3">
        <v>2023</v>
      </c>
      <c r="M2" s="3">
        <v>2024</v>
      </c>
      <c r="N2" s="2" t="s">
        <v>12</v>
      </c>
      <c r="O2" s="2" t="s">
        <v>13</v>
      </c>
      <c r="P2" s="2" t="s">
        <v>14</v>
      </c>
      <c r="Q2" s="13"/>
      <c r="R2" s="8" t="s">
        <v>0</v>
      </c>
      <c r="S2" s="9">
        <v>2014</v>
      </c>
      <c r="T2" s="9">
        <v>2015</v>
      </c>
      <c r="U2" s="9">
        <v>2016</v>
      </c>
      <c r="V2" s="9">
        <v>2017</v>
      </c>
      <c r="W2" s="9">
        <v>2018</v>
      </c>
      <c r="X2" s="9">
        <v>2019</v>
      </c>
      <c r="Y2" s="9">
        <v>2020</v>
      </c>
      <c r="Z2" s="9">
        <v>2021</v>
      </c>
      <c r="AA2" s="9">
        <v>2022</v>
      </c>
      <c r="AB2" s="9">
        <v>2023</v>
      </c>
      <c r="AC2" s="9">
        <v>2024</v>
      </c>
      <c r="AD2" s="8" t="s">
        <v>12</v>
      </c>
      <c r="AE2" s="8" t="s">
        <v>13</v>
      </c>
      <c r="AF2" s="8" t="s">
        <v>14</v>
      </c>
      <c r="AG2" s="13"/>
      <c r="AH2" s="11" t="s">
        <v>0</v>
      </c>
      <c r="AI2" s="12">
        <v>2014</v>
      </c>
      <c r="AJ2" s="12">
        <v>2015</v>
      </c>
      <c r="AK2" s="12">
        <v>2016</v>
      </c>
      <c r="AL2" s="12">
        <v>2017</v>
      </c>
      <c r="AM2" s="12">
        <v>2018</v>
      </c>
      <c r="AN2" s="12">
        <v>2019</v>
      </c>
      <c r="AO2" s="12">
        <v>2020</v>
      </c>
      <c r="AP2" s="12">
        <v>2021</v>
      </c>
      <c r="AQ2" s="12">
        <v>2022</v>
      </c>
      <c r="AR2" s="12">
        <v>2023</v>
      </c>
      <c r="AS2" s="12">
        <v>2024</v>
      </c>
      <c r="AT2" s="11" t="s">
        <v>12</v>
      </c>
      <c r="AU2" s="11" t="s">
        <v>13</v>
      </c>
      <c r="AV2" s="11" t="s">
        <v>14</v>
      </c>
    </row>
    <row r="3" spans="2:48">
      <c r="B3" s="4" t="s">
        <v>1</v>
      </c>
      <c r="C3" s="6">
        <v>58246</v>
      </c>
      <c r="D3" s="6">
        <v>56010</v>
      </c>
      <c r="E3" s="6">
        <v>55579</v>
      </c>
      <c r="F3" s="6">
        <v>57578</v>
      </c>
      <c r="G3" s="6">
        <v>70869</v>
      </c>
      <c r="H3" s="6">
        <v>76101</v>
      </c>
      <c r="I3" s="6">
        <v>76652</v>
      </c>
      <c r="J3" s="6">
        <v>75970</v>
      </c>
      <c r="K3" s="6">
        <v>74683</v>
      </c>
      <c r="L3" s="6">
        <v>67603</v>
      </c>
      <c r="M3" s="6">
        <v>50854</v>
      </c>
      <c r="N3" s="6">
        <f>MIN(Базис_1:Базис_101)</f>
        <v>50854</v>
      </c>
      <c r="O3" s="7">
        <f>AVERAGE(Базис_1:Базис_101)</f>
        <v>65467.727272727272</v>
      </c>
      <c r="P3" s="6">
        <f>MAX(Базис_1:Базис_101)</f>
        <v>76652</v>
      </c>
      <c r="Q3" s="13"/>
      <c r="R3" s="14" t="s">
        <v>1</v>
      </c>
      <c r="S3" s="16">
        <v>30330</v>
      </c>
      <c r="T3" s="17">
        <v>29747</v>
      </c>
      <c r="U3" s="17">
        <v>29473</v>
      </c>
      <c r="V3" s="18">
        <v>29282</v>
      </c>
      <c r="W3" s="18">
        <v>35359</v>
      </c>
      <c r="X3" s="18">
        <v>36819</v>
      </c>
      <c r="Y3" s="18">
        <v>35904</v>
      </c>
      <c r="Z3" s="21">
        <v>34302</v>
      </c>
      <c r="AA3" s="21">
        <v>33077</v>
      </c>
      <c r="AB3" s="21">
        <v>29798</v>
      </c>
      <c r="AC3" s="21">
        <v>22978</v>
      </c>
      <c r="AD3" s="18">
        <f>MIN(Базис_Ж_1:Базис_Ж_101)</f>
        <v>22978</v>
      </c>
      <c r="AE3" s="18">
        <f>AVERAGE(Базис_Ж_1:Базис_Ж_101)</f>
        <v>31551.727272727272</v>
      </c>
      <c r="AF3" s="18">
        <f>MAX(Базис_Ж_1:Базис_Ж_101)</f>
        <v>36819</v>
      </c>
      <c r="AG3" s="13"/>
      <c r="AH3" s="15" t="s">
        <v>1</v>
      </c>
      <c r="AI3" s="20">
        <v>27916</v>
      </c>
      <c r="AJ3" s="20">
        <v>26263</v>
      </c>
      <c r="AK3" s="20">
        <v>26106</v>
      </c>
      <c r="AL3" s="20">
        <v>28296</v>
      </c>
      <c r="AM3" s="20">
        <v>35510</v>
      </c>
      <c r="AN3" s="20">
        <v>39282</v>
      </c>
      <c r="AO3" s="20">
        <v>40748</v>
      </c>
      <c r="AP3" s="20">
        <v>41668</v>
      </c>
      <c r="AQ3" s="20">
        <v>41606</v>
      </c>
      <c r="AR3" s="20">
        <v>37805</v>
      </c>
      <c r="AS3" s="20">
        <v>27876</v>
      </c>
      <c r="AT3" s="20">
        <f>MIN(Базис_М_1:Базис_М_101)</f>
        <v>26106</v>
      </c>
      <c r="AU3" s="20">
        <f>AVERAGE(Базис_М_1:Базис_М_101)</f>
        <v>33916</v>
      </c>
      <c r="AV3" s="20">
        <f>MAX(Базис_М_1:Базис_М_101)</f>
        <v>41668</v>
      </c>
    </row>
    <row r="4" spans="2:48">
      <c r="B4" s="5" t="s">
        <v>2</v>
      </c>
      <c r="C4" s="6">
        <v>6045</v>
      </c>
      <c r="D4" s="6">
        <v>5910</v>
      </c>
      <c r="E4" s="6">
        <v>4988</v>
      </c>
      <c r="F4" s="6">
        <v>6267</v>
      </c>
      <c r="G4" s="6">
        <v>8954</v>
      </c>
      <c r="H4" s="6">
        <v>10926</v>
      </c>
      <c r="I4" s="7">
        <v>9950</v>
      </c>
      <c r="J4" s="6">
        <v>9902</v>
      </c>
      <c r="K4" s="6">
        <v>13490</v>
      </c>
      <c r="L4" s="6">
        <v>14080</v>
      </c>
      <c r="M4" s="6">
        <v>8557</v>
      </c>
      <c r="N4" s="6">
        <f>MIN(Базис_2:Базис_102)</f>
        <v>4988</v>
      </c>
      <c r="O4" s="7">
        <f>AVERAGE(Базис_2:Базис_102)</f>
        <v>9006.2727272727279</v>
      </c>
      <c r="P4" s="6">
        <f>MAX(Базис_2:Базис_102)</f>
        <v>14080</v>
      </c>
      <c r="Q4" s="13"/>
      <c r="R4" s="10" t="s">
        <v>2</v>
      </c>
      <c r="S4" s="16">
        <v>2095</v>
      </c>
      <c r="T4" s="17">
        <v>2229</v>
      </c>
      <c r="U4" s="17">
        <v>1835</v>
      </c>
      <c r="V4" s="18">
        <v>2024</v>
      </c>
      <c r="W4" s="18">
        <v>3607</v>
      </c>
      <c r="X4" s="18">
        <v>5139</v>
      </c>
      <c r="Y4" s="18">
        <v>4501</v>
      </c>
      <c r="Z4" s="18">
        <v>4247</v>
      </c>
      <c r="AA4" s="18">
        <v>5572</v>
      </c>
      <c r="AB4" s="18">
        <v>5834</v>
      </c>
      <c r="AC4" s="18">
        <v>3492</v>
      </c>
      <c r="AD4" s="18">
        <f>MIN(Базис_Ж_2:Базис_Ж_102)</f>
        <v>1835</v>
      </c>
      <c r="AE4" s="18">
        <f>AVERAGE(Базис_Ж_2:Базис_Ж_102)</f>
        <v>3688.6363636363635</v>
      </c>
      <c r="AF4" s="18">
        <f>MAX(Базис_Ж_2:Базис_Ж_102)</f>
        <v>5834</v>
      </c>
      <c r="AG4" s="13"/>
      <c r="AH4" s="19" t="s">
        <v>2</v>
      </c>
      <c r="AI4" s="20">
        <v>3950</v>
      </c>
      <c r="AJ4" s="20">
        <v>3681</v>
      </c>
      <c r="AK4" s="20">
        <v>3153</v>
      </c>
      <c r="AL4" s="20">
        <v>4243</v>
      </c>
      <c r="AM4" s="20">
        <v>5347</v>
      </c>
      <c r="AN4" s="20">
        <v>5787</v>
      </c>
      <c r="AO4" s="20">
        <v>5449</v>
      </c>
      <c r="AP4" s="20">
        <v>5655</v>
      </c>
      <c r="AQ4" s="20">
        <v>7918</v>
      </c>
      <c r="AR4" s="20">
        <v>8246</v>
      </c>
      <c r="AS4" s="20">
        <v>5065</v>
      </c>
      <c r="AT4" s="20">
        <f>MIN(Базис_М_2:Базис_М_102)</f>
        <v>3153</v>
      </c>
      <c r="AU4" s="20">
        <f>AVERAGE(Базис_М_2:Базис_М_102)</f>
        <v>5317.636363636364</v>
      </c>
      <c r="AV4" s="20">
        <f>MAX(Базис_М_2:Базис_М_102)</f>
        <v>8246</v>
      </c>
    </row>
    <row r="5" spans="2:48">
      <c r="B5" s="5" t="s">
        <v>3</v>
      </c>
      <c r="C5" s="6">
        <v>12801</v>
      </c>
      <c r="D5" s="6">
        <v>12318</v>
      </c>
      <c r="E5" s="6">
        <v>13775</v>
      </c>
      <c r="F5" s="6">
        <v>16811</v>
      </c>
      <c r="G5" s="6">
        <v>23471</v>
      </c>
      <c r="H5" s="6">
        <v>22723</v>
      </c>
      <c r="I5" s="7">
        <v>22479</v>
      </c>
      <c r="J5" s="6">
        <v>21711</v>
      </c>
      <c r="K5" s="6">
        <v>19744</v>
      </c>
      <c r="L5" s="6">
        <v>17218</v>
      </c>
      <c r="M5" s="6">
        <v>12384</v>
      </c>
      <c r="N5" s="6">
        <f>MIN(Базис_3:Базис_103)</f>
        <v>12318</v>
      </c>
      <c r="O5" s="7">
        <f>AVERAGE(Базис_3:Базис_103)</f>
        <v>17766.81818181818</v>
      </c>
      <c r="P5" s="6">
        <f>MAX(Базис_3:Базис_103)</f>
        <v>23471</v>
      </c>
      <c r="Q5" s="13"/>
      <c r="R5" s="10" t="s">
        <v>3</v>
      </c>
      <c r="S5" s="16">
        <v>7215</v>
      </c>
      <c r="T5" s="17">
        <v>6854</v>
      </c>
      <c r="U5" s="17">
        <v>7332</v>
      </c>
      <c r="V5" s="18">
        <v>8034</v>
      </c>
      <c r="W5" s="18">
        <v>10838</v>
      </c>
      <c r="X5" s="18">
        <v>9885</v>
      </c>
      <c r="Y5" s="18">
        <v>9123</v>
      </c>
      <c r="Z5" s="18">
        <v>8504</v>
      </c>
      <c r="AA5" s="18">
        <v>7645</v>
      </c>
      <c r="AB5" s="18">
        <v>6382</v>
      </c>
      <c r="AC5" s="18">
        <v>4865</v>
      </c>
      <c r="AD5" s="18">
        <f>MIN(Базис_Ж_3:Базис_Ж_103)</f>
        <v>4865</v>
      </c>
      <c r="AE5" s="18">
        <f>AVERAGE(Базис_Ж_3:Базис_Ж_103)</f>
        <v>7879.727272727273</v>
      </c>
      <c r="AF5" s="18">
        <f>MAX(Базис_Ж_3:Базис_Ж_103)</f>
        <v>10838</v>
      </c>
      <c r="AG5" s="13"/>
      <c r="AH5" s="19" t="s">
        <v>3</v>
      </c>
      <c r="AI5" s="20">
        <v>5586</v>
      </c>
      <c r="AJ5" s="20">
        <v>5464</v>
      </c>
      <c r="AK5" s="20">
        <v>6443</v>
      </c>
      <c r="AL5" s="20">
        <v>8777</v>
      </c>
      <c r="AM5" s="20">
        <v>12633</v>
      </c>
      <c r="AN5" s="20">
        <v>12838</v>
      </c>
      <c r="AO5" s="20">
        <v>13356</v>
      </c>
      <c r="AP5" s="20">
        <v>13207</v>
      </c>
      <c r="AQ5" s="20">
        <v>12099</v>
      </c>
      <c r="AR5" s="20">
        <v>10836</v>
      </c>
      <c r="AS5" s="20">
        <v>7519</v>
      </c>
      <c r="AT5" s="20">
        <f>MIN(Базис_М_3:Базис_М_103)</f>
        <v>5464</v>
      </c>
      <c r="AU5" s="20">
        <f>AVERAGE(Базис_М_3:Базис_М_103)</f>
        <v>9887.0909090909099</v>
      </c>
      <c r="AV5" s="20">
        <f>MAX(Базис_М_3:Базис_М_103)</f>
        <v>13356</v>
      </c>
    </row>
    <row r="6" spans="2:48">
      <c r="B6" s="5" t="s">
        <v>4</v>
      </c>
      <c r="C6" s="6">
        <v>4281</v>
      </c>
      <c r="D6" s="6">
        <v>4510</v>
      </c>
      <c r="E6" s="6">
        <v>4660</v>
      </c>
      <c r="F6" s="6">
        <v>4197</v>
      </c>
      <c r="G6" s="6">
        <v>4202</v>
      </c>
      <c r="H6" s="6">
        <v>4320</v>
      </c>
      <c r="I6" s="7">
        <v>4491</v>
      </c>
      <c r="J6" s="6">
        <v>4241</v>
      </c>
      <c r="K6" s="6">
        <v>3733</v>
      </c>
      <c r="L6" s="6">
        <v>2761</v>
      </c>
      <c r="M6" s="6">
        <v>2245</v>
      </c>
      <c r="N6" s="6">
        <f>MIN(Базис_4:Базис_104)</f>
        <v>2245</v>
      </c>
      <c r="O6" s="7">
        <f>AVERAGE(Базис_4:Базис_104)</f>
        <v>3967.3636363636365</v>
      </c>
      <c r="P6" s="6">
        <f>MAX(Базис_4:Базис_104)</f>
        <v>4660</v>
      </c>
      <c r="Q6" s="13"/>
      <c r="R6" s="10" t="s">
        <v>16</v>
      </c>
      <c r="S6" s="16">
        <v>2236</v>
      </c>
      <c r="T6" s="17">
        <v>2287</v>
      </c>
      <c r="U6" s="17">
        <v>2390</v>
      </c>
      <c r="V6" s="18">
        <v>2347</v>
      </c>
      <c r="W6" s="18">
        <v>2305</v>
      </c>
      <c r="X6" s="18">
        <v>2306</v>
      </c>
      <c r="Y6" s="18">
        <v>2366</v>
      </c>
      <c r="Z6" s="18">
        <v>2282</v>
      </c>
      <c r="AA6" s="18">
        <v>1973</v>
      </c>
      <c r="AB6" s="18">
        <v>1542</v>
      </c>
      <c r="AC6" s="18">
        <v>1178</v>
      </c>
      <c r="AD6" s="18">
        <f>MIN(Базис_Ж_4:Базис_Ж_104)</f>
        <v>1178</v>
      </c>
      <c r="AE6" s="18">
        <f>AVERAGE(Базис_Ж_4:Базис_Ж_104)</f>
        <v>2110.181818181818</v>
      </c>
      <c r="AF6" s="18">
        <f>MAX(Базис_Ж_4:Базис_Ж_104)</f>
        <v>2390</v>
      </c>
      <c r="AG6" s="13"/>
      <c r="AH6" s="19" t="s">
        <v>16</v>
      </c>
      <c r="AI6" s="20">
        <v>2045</v>
      </c>
      <c r="AJ6" s="20">
        <v>2223</v>
      </c>
      <c r="AK6" s="20">
        <v>2270</v>
      </c>
      <c r="AL6" s="20">
        <v>1850</v>
      </c>
      <c r="AM6" s="20">
        <v>1897</v>
      </c>
      <c r="AN6" s="20">
        <v>2014</v>
      </c>
      <c r="AO6" s="20">
        <v>2125</v>
      </c>
      <c r="AP6" s="20">
        <v>1959</v>
      </c>
      <c r="AQ6" s="20">
        <v>1760</v>
      </c>
      <c r="AR6" s="20">
        <v>1219</v>
      </c>
      <c r="AS6" s="20">
        <v>1067</v>
      </c>
      <c r="AT6" s="20">
        <f>MIN(Базис_М_4:Базис_М_104)</f>
        <v>1067</v>
      </c>
      <c r="AU6" s="20">
        <f>AVERAGE(Базис_М_4:Базис_М_104)</f>
        <v>1857.1818181818182</v>
      </c>
      <c r="AV6" s="20">
        <f>MAX(Базис_М_4:Базис_М_104)</f>
        <v>2270</v>
      </c>
    </row>
    <row r="7" spans="2:48">
      <c r="B7" s="5" t="s">
        <v>5</v>
      </c>
      <c r="C7" s="6">
        <v>6148</v>
      </c>
      <c r="D7" s="6">
        <v>5426</v>
      </c>
      <c r="E7" s="6">
        <v>5442</v>
      </c>
      <c r="F7" s="6">
        <v>4087</v>
      </c>
      <c r="G7" s="6">
        <v>4068</v>
      </c>
      <c r="H7" s="6">
        <v>2878</v>
      </c>
      <c r="I7" s="7">
        <v>2853</v>
      </c>
      <c r="J7" s="6">
        <v>2781</v>
      </c>
      <c r="K7" s="6">
        <v>2482</v>
      </c>
      <c r="L7" s="6">
        <v>1977</v>
      </c>
      <c r="M7" s="6">
        <v>1560</v>
      </c>
      <c r="N7" s="6">
        <f>MIN(Базис_5:Базис_105)</f>
        <v>1560</v>
      </c>
      <c r="O7" s="7">
        <f>AVERAGE(Базис_5:Базис_105)</f>
        <v>3609.2727272727275</v>
      </c>
      <c r="P7" s="6">
        <f>MAX(Базис_5:Базис_105)</f>
        <v>6148</v>
      </c>
      <c r="Q7" s="13"/>
      <c r="R7" s="10" t="s">
        <v>17</v>
      </c>
      <c r="S7" s="16">
        <v>3367</v>
      </c>
      <c r="T7" s="17">
        <v>3140</v>
      </c>
      <c r="U7" s="17">
        <v>3221</v>
      </c>
      <c r="V7" s="18">
        <v>2549</v>
      </c>
      <c r="W7" s="18">
        <v>2182</v>
      </c>
      <c r="X7" s="18">
        <v>1420</v>
      </c>
      <c r="Y7" s="18">
        <v>1402</v>
      </c>
      <c r="Z7" s="18">
        <v>1385</v>
      </c>
      <c r="AA7" s="18">
        <v>1229</v>
      </c>
      <c r="AB7" s="18">
        <v>995</v>
      </c>
      <c r="AC7" s="18">
        <v>793</v>
      </c>
      <c r="AD7" s="18">
        <f>MIN(Базис_Ж_5:Базис_Ж_105)</f>
        <v>793</v>
      </c>
      <c r="AE7" s="18">
        <f>AVERAGE(Базис_Ж_5:Базис_Ж_105)</f>
        <v>1971.1818181818182</v>
      </c>
      <c r="AF7" s="18">
        <f>MAX(Базис_Ж_5:Базис_Ж_105)</f>
        <v>3367</v>
      </c>
      <c r="AG7" s="13"/>
      <c r="AH7" s="19" t="s">
        <v>17</v>
      </c>
      <c r="AI7" s="20">
        <v>2781</v>
      </c>
      <c r="AJ7" s="20">
        <v>2286</v>
      </c>
      <c r="AK7" s="20">
        <v>2221</v>
      </c>
      <c r="AL7" s="20">
        <v>1538</v>
      </c>
      <c r="AM7" s="20">
        <v>1886</v>
      </c>
      <c r="AN7" s="20">
        <v>1458</v>
      </c>
      <c r="AO7" s="20">
        <v>1451</v>
      </c>
      <c r="AP7" s="20">
        <v>1396</v>
      </c>
      <c r="AQ7" s="20">
        <v>1253</v>
      </c>
      <c r="AR7" s="20">
        <v>982</v>
      </c>
      <c r="AS7" s="20">
        <v>767</v>
      </c>
      <c r="AT7" s="20">
        <f>MIN(Базис_М_5:Базис_М_105)</f>
        <v>767</v>
      </c>
      <c r="AU7" s="20">
        <f>AVERAGE(Базис_М_5:Базис_М_105)</f>
        <v>1638.090909090909</v>
      </c>
      <c r="AV7" s="20">
        <f>MAX(Базис_М_5:Базис_М_105)</f>
        <v>2781</v>
      </c>
    </row>
    <row r="8" spans="2:48">
      <c r="B8" s="5" t="s">
        <v>6</v>
      </c>
      <c r="C8" s="6">
        <v>11894</v>
      </c>
      <c r="D8" s="6">
        <v>11165</v>
      </c>
      <c r="E8" s="6">
        <v>10971</v>
      </c>
      <c r="F8" s="6">
        <v>11724</v>
      </c>
      <c r="G8" s="6">
        <v>15564</v>
      </c>
      <c r="H8" s="6">
        <v>19479</v>
      </c>
      <c r="I8" s="7">
        <v>19977</v>
      </c>
      <c r="J8" s="6">
        <v>19444</v>
      </c>
      <c r="K8" s="6">
        <v>17556</v>
      </c>
      <c r="L8" s="6">
        <v>16376</v>
      </c>
      <c r="M8" s="6">
        <v>14010</v>
      </c>
      <c r="N8" s="6">
        <f>MIN(Базис_6:Базис_106)</f>
        <v>10971</v>
      </c>
      <c r="O8" s="7">
        <f>AVERAGE(Базис_6:Базис_106)</f>
        <v>15287.272727272728</v>
      </c>
      <c r="P8" s="6">
        <f>MAX(Базис_6:Базис_106)</f>
        <v>19977</v>
      </c>
      <c r="Q8" s="13"/>
      <c r="R8" s="10" t="s">
        <v>6</v>
      </c>
      <c r="S8" s="16">
        <v>4975</v>
      </c>
      <c r="T8" s="17">
        <v>4888</v>
      </c>
      <c r="U8" s="17">
        <v>5127</v>
      </c>
      <c r="V8" s="18">
        <v>5396</v>
      </c>
      <c r="W8" s="18">
        <v>7501</v>
      </c>
      <c r="X8" s="18">
        <v>8642</v>
      </c>
      <c r="Y8" s="18">
        <v>8747</v>
      </c>
      <c r="Z8" s="18">
        <v>8089</v>
      </c>
      <c r="AA8" s="18">
        <v>7166</v>
      </c>
      <c r="AB8" s="18">
        <v>6709</v>
      </c>
      <c r="AC8" s="18">
        <v>5701</v>
      </c>
      <c r="AD8" s="18">
        <f>MIN(Базис_Ж_6:Базис_Ж_106)</f>
        <v>4888</v>
      </c>
      <c r="AE8" s="18">
        <f>AVERAGE(Базис_Ж_6:Базис_Ж_106)</f>
        <v>6631</v>
      </c>
      <c r="AF8" s="18">
        <f>MAX(Базис_Ж_6:Базис_Ж_106)</f>
        <v>8747</v>
      </c>
      <c r="AG8" s="13"/>
      <c r="AH8" s="19" t="s">
        <v>6</v>
      </c>
      <c r="AI8" s="20">
        <v>6919</v>
      </c>
      <c r="AJ8" s="20">
        <v>6277</v>
      </c>
      <c r="AK8" s="20">
        <v>5844</v>
      </c>
      <c r="AL8" s="20">
        <v>6328</v>
      </c>
      <c r="AM8" s="20">
        <v>8063</v>
      </c>
      <c r="AN8" s="20">
        <v>10837</v>
      </c>
      <c r="AO8" s="20">
        <v>11230</v>
      </c>
      <c r="AP8" s="20">
        <v>11355</v>
      </c>
      <c r="AQ8" s="20">
        <v>10390</v>
      </c>
      <c r="AR8" s="20">
        <v>9667</v>
      </c>
      <c r="AS8" s="20">
        <v>8309</v>
      </c>
      <c r="AT8" s="20">
        <f>MIN(Базис_М_6:Базис_М_106)</f>
        <v>5844</v>
      </c>
      <c r="AU8" s="20">
        <f>AVERAGE(Базис_М_6:Базис_М_106)</f>
        <v>8656.2727272727279</v>
      </c>
      <c r="AV8" s="20">
        <f>MAX(Базис_М_6:Базис_М_106)</f>
        <v>11355</v>
      </c>
    </row>
    <row r="9" spans="2:48">
      <c r="B9" s="5" t="s">
        <v>7</v>
      </c>
      <c r="C9" s="6">
        <v>2033</v>
      </c>
      <c r="D9" s="6">
        <v>2043</v>
      </c>
      <c r="E9" s="6">
        <v>2288</v>
      </c>
      <c r="F9" s="6">
        <v>2280</v>
      </c>
      <c r="G9" s="6">
        <v>2823</v>
      </c>
      <c r="H9" s="6">
        <v>3019</v>
      </c>
      <c r="I9" s="7">
        <v>3050</v>
      </c>
      <c r="J9" s="6">
        <v>3115</v>
      </c>
      <c r="K9" s="6">
        <v>3185</v>
      </c>
      <c r="L9" s="6">
        <v>3274</v>
      </c>
      <c r="M9" s="6">
        <v>2637</v>
      </c>
      <c r="N9" s="6">
        <f>MIN(Базис_7:Базис_107)</f>
        <v>2033</v>
      </c>
      <c r="O9" s="7">
        <f>AVERAGE(Базис_7:Базис_107)</f>
        <v>2704.2727272727275</v>
      </c>
      <c r="P9" s="6">
        <f>MAX(Базис_7:Базис_107)</f>
        <v>3274</v>
      </c>
      <c r="Q9" s="13"/>
      <c r="R9" s="10" t="s">
        <v>7</v>
      </c>
      <c r="S9" s="16">
        <v>1253</v>
      </c>
      <c r="T9" s="17">
        <v>1377</v>
      </c>
      <c r="U9" s="17">
        <v>1510</v>
      </c>
      <c r="V9" s="18">
        <v>1555</v>
      </c>
      <c r="W9" s="18">
        <v>1780</v>
      </c>
      <c r="X9" s="18">
        <v>1808</v>
      </c>
      <c r="Y9" s="18">
        <v>1680</v>
      </c>
      <c r="Z9" s="18">
        <v>1595</v>
      </c>
      <c r="AA9" s="18">
        <v>1557</v>
      </c>
      <c r="AB9" s="18">
        <v>1607</v>
      </c>
      <c r="AC9" s="18">
        <v>1289</v>
      </c>
      <c r="AD9" s="18">
        <f>MIN(Базис_Ж_7:Базис_Ж_107)</f>
        <v>1253</v>
      </c>
      <c r="AE9" s="18">
        <f>AVERAGE(Базис_Ж_7:Базис_Ж_107)</f>
        <v>1546.4545454545455</v>
      </c>
      <c r="AF9" s="18">
        <f>MAX(Базис_Ж_7:Базис_Ж_107)</f>
        <v>1808</v>
      </c>
      <c r="AG9" s="13"/>
      <c r="AH9" s="19" t="s">
        <v>7</v>
      </c>
      <c r="AI9" s="20">
        <v>780</v>
      </c>
      <c r="AJ9" s="20">
        <v>666</v>
      </c>
      <c r="AK9" s="20">
        <v>778</v>
      </c>
      <c r="AL9" s="20">
        <v>725</v>
      </c>
      <c r="AM9" s="20">
        <v>1043</v>
      </c>
      <c r="AN9" s="20">
        <v>1211</v>
      </c>
      <c r="AO9" s="20">
        <v>1370</v>
      </c>
      <c r="AP9" s="20">
        <v>1520</v>
      </c>
      <c r="AQ9" s="20">
        <v>1628</v>
      </c>
      <c r="AR9" s="20">
        <v>1667</v>
      </c>
      <c r="AS9" s="20">
        <v>1348</v>
      </c>
      <c r="AT9" s="20">
        <f>MIN(Базис_М_7:Базис_М_107)</f>
        <v>666</v>
      </c>
      <c r="AU9" s="20">
        <f>AVERAGE(Базис_М_7:Базис_М_107)</f>
        <v>1157.8181818181818</v>
      </c>
      <c r="AV9" s="20">
        <f>MAX(Базис_М_7:Базис_М_107)</f>
        <v>1667</v>
      </c>
    </row>
    <row r="10" spans="2:48">
      <c r="B10" s="5" t="s">
        <v>8</v>
      </c>
      <c r="C10" s="6">
        <v>5529</v>
      </c>
      <c r="D10" s="6">
        <v>5297</v>
      </c>
      <c r="E10" s="6">
        <v>5114</v>
      </c>
      <c r="F10" s="6">
        <v>4864</v>
      </c>
      <c r="G10" s="6">
        <v>4400</v>
      </c>
      <c r="H10" s="6">
        <v>4155</v>
      </c>
      <c r="I10" s="7">
        <v>4829</v>
      </c>
      <c r="J10" s="6">
        <v>5416</v>
      </c>
      <c r="K10" s="6">
        <v>5155</v>
      </c>
      <c r="L10" s="6">
        <v>3659</v>
      </c>
      <c r="M10" s="6">
        <v>2197</v>
      </c>
      <c r="N10" s="6">
        <f>MIN(Базис_8:Базис_108)</f>
        <v>2197</v>
      </c>
      <c r="O10" s="7">
        <f>AVERAGE(Базис_8:Базис_108)</f>
        <v>4601.363636363636</v>
      </c>
      <c r="P10" s="6">
        <f>MAX(Базис_8:Базис_108)</f>
        <v>5529</v>
      </c>
      <c r="Q10" s="13"/>
      <c r="R10" s="10" t="s">
        <v>8</v>
      </c>
      <c r="S10" s="18">
        <v>3431</v>
      </c>
      <c r="T10" s="17">
        <v>3215</v>
      </c>
      <c r="U10" s="17">
        <v>2982</v>
      </c>
      <c r="V10" s="18">
        <v>2882</v>
      </c>
      <c r="W10" s="18">
        <v>2577</v>
      </c>
      <c r="X10" s="18">
        <v>2241</v>
      </c>
      <c r="Y10" s="18">
        <v>2571</v>
      </c>
      <c r="Z10" s="18">
        <v>2821</v>
      </c>
      <c r="AA10" s="18">
        <v>2583</v>
      </c>
      <c r="AB10" s="18">
        <v>1957</v>
      </c>
      <c r="AC10" s="18">
        <v>1303</v>
      </c>
      <c r="AD10" s="18">
        <f>MIN(Базис_Ж_8:Базис_Ж_108)</f>
        <v>1303</v>
      </c>
      <c r="AE10" s="18">
        <f>AVERAGE(Базис_Ж_8:Базис_Ж_108)</f>
        <v>2596.6363636363635</v>
      </c>
      <c r="AF10" s="18">
        <f>MAX(Базис_Ж_8:Базис_Ж_108)</f>
        <v>3431</v>
      </c>
      <c r="AG10" s="13"/>
      <c r="AH10" s="19" t="s">
        <v>8</v>
      </c>
      <c r="AI10" s="20">
        <v>2098</v>
      </c>
      <c r="AJ10" s="20">
        <v>2082</v>
      </c>
      <c r="AK10" s="20">
        <v>2132</v>
      </c>
      <c r="AL10" s="20">
        <v>1982</v>
      </c>
      <c r="AM10" s="20">
        <v>1823</v>
      </c>
      <c r="AN10" s="20">
        <v>1914</v>
      </c>
      <c r="AO10" s="20">
        <v>2258</v>
      </c>
      <c r="AP10" s="20">
        <v>2595</v>
      </c>
      <c r="AQ10" s="20">
        <v>2572</v>
      </c>
      <c r="AR10" s="20">
        <v>1702</v>
      </c>
      <c r="AS10" s="20">
        <v>894</v>
      </c>
      <c r="AT10" s="20">
        <f>MIN(Базис_М_8:Базис_М_108)</f>
        <v>894</v>
      </c>
      <c r="AU10" s="20">
        <f>AVERAGE(Базис_М_8:Базис_М_108)</f>
        <v>2004.7272727272727</v>
      </c>
      <c r="AV10" s="20">
        <f>MAX(Базис_М_8:Базис_М_108)</f>
        <v>2595</v>
      </c>
    </row>
    <row r="11" spans="2:48">
      <c r="B11" s="5" t="s">
        <v>9</v>
      </c>
      <c r="C11" s="6">
        <v>7316</v>
      </c>
      <c r="D11" s="6">
        <v>6894</v>
      </c>
      <c r="E11" s="6">
        <v>5927</v>
      </c>
      <c r="F11" s="6">
        <v>5078</v>
      </c>
      <c r="G11" s="6">
        <v>5059</v>
      </c>
      <c r="H11" s="6">
        <v>5938</v>
      </c>
      <c r="I11" s="7">
        <v>5932</v>
      </c>
      <c r="J11" s="6">
        <v>6004</v>
      </c>
      <c r="K11" s="6">
        <v>6273</v>
      </c>
      <c r="L11" s="6">
        <v>5330</v>
      </c>
      <c r="M11" s="6">
        <v>4310</v>
      </c>
      <c r="N11" s="6">
        <f>MIN(Базис_9:Базис_109)</f>
        <v>4310</v>
      </c>
      <c r="O11" s="7">
        <f>AVERAGE(Базис_9:Базис_109)</f>
        <v>5823.727272727273</v>
      </c>
      <c r="P11" s="6">
        <f>MAX(Базис_9:Базис_109)</f>
        <v>7316</v>
      </c>
      <c r="Q11" s="13"/>
      <c r="R11" s="10" t="s">
        <v>9</v>
      </c>
      <c r="S11" s="16">
        <v>4737</v>
      </c>
      <c r="T11" s="17">
        <v>4604</v>
      </c>
      <c r="U11" s="17">
        <v>3910</v>
      </c>
      <c r="V11" s="18">
        <v>3403</v>
      </c>
      <c r="W11" s="18">
        <v>3396</v>
      </c>
      <c r="X11" s="18">
        <v>3841</v>
      </c>
      <c r="Y11" s="18">
        <v>3828</v>
      </c>
      <c r="Z11" s="18">
        <v>3703</v>
      </c>
      <c r="AA11" s="18">
        <v>3895</v>
      </c>
      <c r="AB11" s="18">
        <v>3340</v>
      </c>
      <c r="AC11" s="18">
        <v>2758</v>
      </c>
      <c r="AD11" s="18">
        <f>MIN(Базис_Ж_9:Базис_Ж_109)</f>
        <v>2758</v>
      </c>
      <c r="AE11" s="18">
        <f>AVERAGE(Базис_Ж_9:Базис_Ж_109)</f>
        <v>3765</v>
      </c>
      <c r="AF11" s="18">
        <f>MAX(Базис_Ж_9:Базис_Ж_109)</f>
        <v>4737</v>
      </c>
      <c r="AG11" s="13"/>
      <c r="AH11" s="19" t="s">
        <v>9</v>
      </c>
      <c r="AI11" s="20">
        <v>2579</v>
      </c>
      <c r="AJ11" s="20">
        <v>2290</v>
      </c>
      <c r="AK11" s="20">
        <v>2017</v>
      </c>
      <c r="AL11" s="20">
        <v>1675</v>
      </c>
      <c r="AM11" s="20">
        <v>1663</v>
      </c>
      <c r="AN11" s="20">
        <v>2097</v>
      </c>
      <c r="AO11" s="20">
        <v>2104</v>
      </c>
      <c r="AP11" s="20">
        <v>2301</v>
      </c>
      <c r="AQ11" s="20">
        <v>2378</v>
      </c>
      <c r="AR11" s="20">
        <v>1990</v>
      </c>
      <c r="AS11" s="20">
        <v>1552</v>
      </c>
      <c r="AT11" s="20">
        <f>MIN(Базис_М_9:Базис_М_109)</f>
        <v>1552</v>
      </c>
      <c r="AU11" s="20">
        <f>AVERAGE(Базис_М_9:Базис_М_109)</f>
        <v>2058.7272727272725</v>
      </c>
      <c r="AV11" s="20">
        <f>MAX(Базис_М_9:Базис_М_109)</f>
        <v>2579</v>
      </c>
    </row>
    <row r="12" spans="2:48">
      <c r="B12" s="5" t="s">
        <v>10</v>
      </c>
      <c r="C12" s="6">
        <v>2199</v>
      </c>
      <c r="D12" s="6">
        <v>2447</v>
      </c>
      <c r="E12" s="6">
        <v>2414</v>
      </c>
      <c r="F12" s="6">
        <v>2270</v>
      </c>
      <c r="G12" s="6">
        <v>2328</v>
      </c>
      <c r="H12" s="6">
        <v>2663</v>
      </c>
      <c r="I12" s="7">
        <v>3091</v>
      </c>
      <c r="J12" s="6">
        <v>3356</v>
      </c>
      <c r="K12" s="6">
        <v>3065</v>
      </c>
      <c r="L12" s="6">
        <v>2928</v>
      </c>
      <c r="M12" s="6">
        <v>2954</v>
      </c>
      <c r="N12" s="6">
        <f>MIN(Базис_10:Базис_110)</f>
        <v>2199</v>
      </c>
      <c r="O12" s="7">
        <f>AVERAGE(Базис_10:Базис_110)</f>
        <v>2701.3636363636365</v>
      </c>
      <c r="P12" s="6">
        <f>MAX(Базис_10:Базис_110)</f>
        <v>3356</v>
      </c>
      <c r="Q12" s="13"/>
      <c r="R12" s="10" t="s">
        <v>18</v>
      </c>
      <c r="S12" s="16">
        <v>1021</v>
      </c>
      <c r="T12" s="17">
        <v>1153</v>
      </c>
      <c r="U12" s="17">
        <v>1166</v>
      </c>
      <c r="V12" s="16">
        <v>1092</v>
      </c>
      <c r="W12" s="17">
        <v>1173</v>
      </c>
      <c r="X12" s="17">
        <v>1537</v>
      </c>
      <c r="Y12" s="16">
        <v>1686</v>
      </c>
      <c r="Z12" s="17">
        <v>1676</v>
      </c>
      <c r="AA12" s="17">
        <v>1457</v>
      </c>
      <c r="AB12" s="16">
        <v>1432</v>
      </c>
      <c r="AC12" s="17">
        <v>1599</v>
      </c>
      <c r="AD12" s="18">
        <f>MIN(Базис_Ж_10:Базис_Ж_110)</f>
        <v>1021</v>
      </c>
      <c r="AE12" s="18">
        <f>AVERAGE(Базис_Ж_10:Базис_Ж_110)</f>
        <v>1362.909090909091</v>
      </c>
      <c r="AF12" s="18">
        <f>MAX(Базис_Ж_10:Базис_Ж_110)</f>
        <v>1686</v>
      </c>
      <c r="AG12" s="13"/>
      <c r="AH12" s="19" t="s">
        <v>18</v>
      </c>
      <c r="AI12" s="20">
        <v>1178</v>
      </c>
      <c r="AJ12" s="20">
        <v>1294</v>
      </c>
      <c r="AK12" s="20">
        <v>1248</v>
      </c>
      <c r="AL12" s="20">
        <v>1178</v>
      </c>
      <c r="AM12" s="20">
        <v>1155</v>
      </c>
      <c r="AN12" s="20">
        <v>1126</v>
      </c>
      <c r="AO12" s="20">
        <v>1405</v>
      </c>
      <c r="AP12" s="20">
        <v>1680</v>
      </c>
      <c r="AQ12" s="20">
        <v>1608</v>
      </c>
      <c r="AR12" s="20">
        <v>1496</v>
      </c>
      <c r="AS12" s="20">
        <v>1355</v>
      </c>
      <c r="AT12" s="20">
        <f>MIN(Базис_М_10:Базис_М_110)</f>
        <v>1126</v>
      </c>
      <c r="AU12" s="20">
        <f>AVERAGE(Базис_М_10:Базис_М_110)</f>
        <v>1338.4545454545455</v>
      </c>
      <c r="AV12" s="20">
        <f>MAX(Базис_М_10:Базис_М_110)</f>
        <v>1680</v>
      </c>
    </row>
    <row r="14" spans="2:48">
      <c r="B14" s="33" t="s">
        <v>20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R14" s="38" t="s">
        <v>20</v>
      </c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H14" s="37" t="s">
        <v>20</v>
      </c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</row>
    <row r="15" spans="2:48">
      <c r="B15" s="4" t="s">
        <v>1</v>
      </c>
      <c r="C15" s="22"/>
      <c r="D15" s="39">
        <f>Базис_11/Базис_1</f>
        <v>0.96161109775778597</v>
      </c>
      <c r="E15" s="39">
        <f>Базис_21/Базис_11</f>
        <v>0.99230494554543835</v>
      </c>
      <c r="F15" s="39">
        <f>Базис_31/Базис_21</f>
        <v>1.0359668220011156</v>
      </c>
      <c r="G15" s="39">
        <f>Базис_41/Базис_31</f>
        <v>1.2308346938066623</v>
      </c>
      <c r="H15" s="39">
        <f>Базис_51/Базис_41</f>
        <v>1.0738263556703214</v>
      </c>
      <c r="I15" s="39">
        <f>Базис_61/Базис_51</f>
        <v>1.0072403779188184</v>
      </c>
      <c r="J15" s="39">
        <f>Базис_71/Базис_61</f>
        <v>0.99110264572352968</v>
      </c>
      <c r="K15" s="39">
        <f>Базис_81/Базис_71</f>
        <v>0.98305910227721471</v>
      </c>
      <c r="L15" s="39">
        <f>Базис_91/Базис_81</f>
        <v>0.90519930907971025</v>
      </c>
      <c r="M15" s="39">
        <f>Базис_101/Базис_91</f>
        <v>0.75224472286732835</v>
      </c>
      <c r="N15" s="39">
        <f>Базис_11/Базис_1</f>
        <v>0.96161109775778597</v>
      </c>
      <c r="O15" s="39">
        <f>Базис_21/Базис_11</f>
        <v>0.99230494554543835</v>
      </c>
      <c r="P15" s="39">
        <f>Базис_31/Базис_21</f>
        <v>1.0359668220011156</v>
      </c>
      <c r="R15" s="14" t="s">
        <v>1</v>
      </c>
      <c r="S15" s="23"/>
      <c r="T15" s="40">
        <f>Базис_Ж_11/Базис_Ж_1</f>
        <v>0.98077810748433891</v>
      </c>
      <c r="U15" s="40">
        <f>Базис_Ж_21/Базис_Ж_11</f>
        <v>0.99078898712475205</v>
      </c>
      <c r="V15" s="40">
        <f>Базис_Ж_31/Базис_Ж_21</f>
        <v>0.99351949241678827</v>
      </c>
      <c r="W15" s="40">
        <f>Базис_Ж_41/Базис_Ж_31</f>
        <v>1.2075336384126767</v>
      </c>
      <c r="X15" s="40">
        <f>Базис_Ж_51/Базис_Ж_41</f>
        <v>1.0412907604853079</v>
      </c>
      <c r="Y15" s="40">
        <f>Базис_Ж_61/Базис_Ж_51</f>
        <v>0.97514870039925039</v>
      </c>
      <c r="Z15" s="40">
        <f>Базис_Ж_71/Базис_Ж_61</f>
        <v>0.9553810160427807</v>
      </c>
      <c r="AA15" s="40">
        <f>Базис_Ж_81/Базис_Ж_71</f>
        <v>0.96428779662993414</v>
      </c>
      <c r="AB15" s="40">
        <f>Базис_Ж_91/Базис_Ж_81</f>
        <v>0.90086767240076182</v>
      </c>
      <c r="AC15" s="40">
        <f>Базис_Ж_101/Базис_Ж_91</f>
        <v>0.77112557889791267</v>
      </c>
      <c r="AD15" s="40">
        <f>AD3/Базис_Ж_101</f>
        <v>1</v>
      </c>
      <c r="AE15" s="40">
        <f t="shared" ref="AE15:AF15" si="0">AE3/AD3</f>
        <v>1.3731276557022922</v>
      </c>
      <c r="AF15" s="40">
        <f t="shared" si="0"/>
        <v>1.1669408676660837</v>
      </c>
      <c r="AH15" s="15" t="s">
        <v>1</v>
      </c>
      <c r="AI15" s="24"/>
      <c r="AJ15" s="41">
        <f>Базис_М_11/Базис_М_1</f>
        <v>0.94078664565123948</v>
      </c>
      <c r="AK15" s="41">
        <f>Базис_М_21/Базис_М_11</f>
        <v>0.99402200814834563</v>
      </c>
      <c r="AL15" s="41">
        <f>Базис_М_31/Базис_М_21</f>
        <v>1.0838887612043209</v>
      </c>
      <c r="AM15" s="41">
        <f>Базис_М_41/Базис_М_31</f>
        <v>1.2549476957873904</v>
      </c>
      <c r="AN15" s="41">
        <f>Базис_М_51/Базис_М_41</f>
        <v>1.106223598986201</v>
      </c>
      <c r="AO15" s="41">
        <f>Базис_М_61/Базис_М_51</f>
        <v>1.0373198920625222</v>
      </c>
      <c r="AP15" s="41">
        <f>Базис_М_71/Базис_М_61</f>
        <v>1.0225777952292137</v>
      </c>
      <c r="AQ15" s="41">
        <f>Базис_М_81/Базис_М_71</f>
        <v>0.99851204761447632</v>
      </c>
      <c r="AR15" s="41">
        <f>Базис_М_91/Базис_М_81</f>
        <v>0.90864298418497336</v>
      </c>
      <c r="AS15" s="41">
        <f>Базис_М_101/Базис_М_91</f>
        <v>0.73736278270070099</v>
      </c>
      <c r="AT15" s="41">
        <f>AT3/Базис_М_101</f>
        <v>0.93650452001721907</v>
      </c>
      <c r="AU15" s="41">
        <f>AU3/AT3</f>
        <v>1.2991649429249981</v>
      </c>
      <c r="AV15" s="41">
        <f t="shared" ref="AV15" si="1">AV3/AU3</f>
        <v>1.2285646892322208</v>
      </c>
    </row>
    <row r="16" spans="2:48">
      <c r="B16" s="5" t="s">
        <v>2</v>
      </c>
      <c r="C16" s="22"/>
      <c r="D16" s="39">
        <f>Базис_12/Базис_2</f>
        <v>0.97766749379652607</v>
      </c>
      <c r="E16" s="39">
        <f>Базис_22/Базис_12</f>
        <v>0.84399323181049068</v>
      </c>
      <c r="F16" s="39">
        <f>Базис_32/Базис_22</f>
        <v>1.2564153969526866</v>
      </c>
      <c r="G16" s="39">
        <f>Базис_42/Базис_32</f>
        <v>1.4287537896920377</v>
      </c>
      <c r="H16" s="39">
        <f>Базис_52/Базис_42</f>
        <v>1.2202367656913111</v>
      </c>
      <c r="I16" s="39">
        <f>Базис_62/Базис_52</f>
        <v>0.91067179205564708</v>
      </c>
      <c r="J16" s="39">
        <f>Базис_72/Базис_62</f>
        <v>0.99517587939698493</v>
      </c>
      <c r="K16" s="39">
        <f>Базис_82/Базис_72</f>
        <v>1.3623510401939003</v>
      </c>
      <c r="L16" s="39">
        <f>Базис_92/Базис_82</f>
        <v>1.0437361008154189</v>
      </c>
      <c r="M16" s="39">
        <f>Базис_102/Базис_92</f>
        <v>0.60774147727272732</v>
      </c>
      <c r="N16" s="39">
        <f>Базис_12/Базис_2</f>
        <v>0.97766749379652607</v>
      </c>
      <c r="O16" s="39">
        <f>Базис_22/Базис_12</f>
        <v>0.84399323181049068</v>
      </c>
      <c r="P16" s="39">
        <f>Базис_32/Базис_22</f>
        <v>1.2564153969526866</v>
      </c>
      <c r="R16" s="10" t="s">
        <v>2</v>
      </c>
      <c r="S16" s="23"/>
      <c r="T16" s="40">
        <f>Базис_Ж_12/Базис_Ж_2</f>
        <v>1.063961813842482</v>
      </c>
      <c r="U16" s="40">
        <f>Базис_Ж_22/Базис_Ж_12</f>
        <v>0.82323912068192018</v>
      </c>
      <c r="V16" s="40">
        <f>Базис_Ж_32/Базис_Ж_22</f>
        <v>1.1029972752043598</v>
      </c>
      <c r="W16" s="40">
        <f>Базис_Ж_42/Базис_Ж_32</f>
        <v>1.7821146245059289</v>
      </c>
      <c r="X16" s="40">
        <f>Базис_Ж_52/Базис_Ж_42</f>
        <v>1.4247296922650401</v>
      </c>
      <c r="Y16" s="40">
        <f>Базис_Ж_62/Базис_Ж_52</f>
        <v>0.87585133294415252</v>
      </c>
      <c r="Z16" s="40">
        <f>Базис_Ж_72/Базис_Ж_62</f>
        <v>0.94356809597867142</v>
      </c>
      <c r="AA16" s="40">
        <f>Базис_Ж_82/Базис_Ж_72</f>
        <v>1.3119849305392042</v>
      </c>
      <c r="AB16" s="40">
        <f>Базис_Ж_92/Базис_Ж_82</f>
        <v>1.0470208183776022</v>
      </c>
      <c r="AC16" s="40">
        <f>Базис_Ж_102/Базис_Ж_92</f>
        <v>0.59856016455262251</v>
      </c>
      <c r="AD16" s="40">
        <f>AD4/Базис_Ж_102</f>
        <v>0.52548682703321881</v>
      </c>
      <c r="AE16" s="40">
        <f t="shared" ref="AE16:AF16" si="2">AE4/AD4</f>
        <v>2.0101560564775824</v>
      </c>
      <c r="AF16" s="40">
        <f t="shared" si="2"/>
        <v>1.5816142945163278</v>
      </c>
      <c r="AH16" s="19" t="s">
        <v>2</v>
      </c>
      <c r="AI16" s="24"/>
      <c r="AJ16" s="41">
        <f>Базис_М_12/Базис_М_2</f>
        <v>0.93189873417721514</v>
      </c>
      <c r="AK16" s="41">
        <f>Базис_М_22/Базис_М_12</f>
        <v>0.85656071719641402</v>
      </c>
      <c r="AL16" s="41">
        <f>Базис_М_32/Базис_М_22</f>
        <v>1.3457025055502696</v>
      </c>
      <c r="AM16" s="41">
        <f>Базис_М_42/Базис_М_32</f>
        <v>1.2601932594862126</v>
      </c>
      <c r="AN16" s="41">
        <f>Базис_М_52/Базис_М_42</f>
        <v>1.0822891340938845</v>
      </c>
      <c r="AO16" s="41">
        <f>Базис_М_62/Базис_М_52</f>
        <v>0.94159322619664765</v>
      </c>
      <c r="AP16" s="41">
        <f>Базис_М_72/Базис_М_62</f>
        <v>1.037805101853551</v>
      </c>
      <c r="AQ16" s="41">
        <f>Базис_М_82/Базис_М_72</f>
        <v>1.4001768346595933</v>
      </c>
      <c r="AR16" s="41">
        <f>Базис_М_92/Базис_М_82</f>
        <v>1.0414246021722657</v>
      </c>
      <c r="AS16" s="41">
        <f>Базис_М_102/Базис_М_92</f>
        <v>0.61423720591802089</v>
      </c>
      <c r="AT16" s="41">
        <f>AT4/Базис_М_102</f>
        <v>0.62250740375123392</v>
      </c>
      <c r="AU16" s="41">
        <f>AU4/AT4</f>
        <v>1.6865323068938674</v>
      </c>
      <c r="AV16" s="41">
        <f t="shared" ref="AV16" si="3">AV4/AU4</f>
        <v>1.5506889595514068</v>
      </c>
    </row>
    <row r="17" spans="2:48">
      <c r="B17" s="5" t="s">
        <v>3</v>
      </c>
      <c r="C17" s="22"/>
      <c r="D17" s="39">
        <f>Базис_13/Базис_3</f>
        <v>0.96226857276775257</v>
      </c>
      <c r="E17" s="39">
        <f>Базис_23/Базис_13</f>
        <v>1.1182821886669914</v>
      </c>
      <c r="F17" s="39">
        <f>Базис_33/Базис_23</f>
        <v>1.220399274047187</v>
      </c>
      <c r="G17" s="39">
        <f>Базис_43/Базис_33</f>
        <v>1.3961691749449765</v>
      </c>
      <c r="H17" s="39">
        <f>Базис_53/Базис_43</f>
        <v>0.96813088492181842</v>
      </c>
      <c r="I17" s="39">
        <f>Базис_63/Базис_53</f>
        <v>0.98926198125247544</v>
      </c>
      <c r="J17" s="39">
        <f>Базис_73/Базис_63</f>
        <v>0.96583477912718541</v>
      </c>
      <c r="K17" s="39">
        <f>Базис_83/Базис_73</f>
        <v>0.90940076458937869</v>
      </c>
      <c r="L17" s="39">
        <f>Базис_93/Базис_83</f>
        <v>0.87206239870340352</v>
      </c>
      <c r="M17" s="39">
        <f>Базис_103/Базис_93</f>
        <v>0.71924729933790221</v>
      </c>
      <c r="N17" s="39">
        <f>Базис_13/Базис_3</f>
        <v>0.96226857276775257</v>
      </c>
      <c r="O17" s="39">
        <f>Базис_23/Базис_13</f>
        <v>1.1182821886669914</v>
      </c>
      <c r="P17" s="39">
        <f>Базис_33/Базис_23</f>
        <v>1.220399274047187</v>
      </c>
      <c r="R17" s="10" t="s">
        <v>3</v>
      </c>
      <c r="S17" s="23"/>
      <c r="T17" s="40">
        <f>Базис_Ж_13/Базис_Ж_3</f>
        <v>0.94996534996534998</v>
      </c>
      <c r="U17" s="40">
        <f>Базис_Ж_23/Базис_Ж_13</f>
        <v>1.0697402976364168</v>
      </c>
      <c r="V17" s="40">
        <f>Базис_Ж_33/Базис_Ж_23</f>
        <v>1.0957446808510638</v>
      </c>
      <c r="W17" s="40">
        <f>Базис_Ж_43/Базис_Ж_33</f>
        <v>1.3490166791137665</v>
      </c>
      <c r="X17" s="40">
        <f>Базис_Ж_53/Базис_Ж_43</f>
        <v>0.91206864735190996</v>
      </c>
      <c r="Y17" s="40">
        <f>Базис_Ж_63/Базис_Ж_53</f>
        <v>0.92291350531107741</v>
      </c>
      <c r="Z17" s="40">
        <f>Базис_Ж_73/Базис_Ж_63</f>
        <v>0.93214951222185682</v>
      </c>
      <c r="AA17" s="40">
        <f>Базис_Ж_83/Базис_Ж_73</f>
        <v>0.89898871119473189</v>
      </c>
      <c r="AB17" s="40">
        <f>Базис_Ж_93/Базис_Ж_83</f>
        <v>0.83479398299542185</v>
      </c>
      <c r="AC17" s="40">
        <f>Базис_Ж_103/Базис_Ж_93</f>
        <v>0.76230021936696957</v>
      </c>
      <c r="AD17" s="40">
        <f>AD5/Базис_Ж_103</f>
        <v>1</v>
      </c>
      <c r="AE17" s="40">
        <f t="shared" ref="AE17:AF17" si="4">AE5/AD5</f>
        <v>1.6196767261515463</v>
      </c>
      <c r="AF17" s="40">
        <f t="shared" si="4"/>
        <v>1.3754283143163699</v>
      </c>
      <c r="AH17" s="19" t="s">
        <v>3</v>
      </c>
      <c r="AI17" s="24"/>
      <c r="AJ17" s="41">
        <f>Базис_М_13/Базис_М_3</f>
        <v>0.97815968492660221</v>
      </c>
      <c r="AK17" s="41">
        <f>Базис_М_23/Базис_М_13</f>
        <v>1.1791727672035139</v>
      </c>
      <c r="AL17" s="41">
        <f>Базис_М_33/Базис_М_23</f>
        <v>1.3622536085674375</v>
      </c>
      <c r="AM17" s="41">
        <f>Базис_М_43/Базис_М_33</f>
        <v>1.4393300672211462</v>
      </c>
      <c r="AN17" s="41">
        <f>Базис_М_53/Базис_М_43</f>
        <v>1.016227341090794</v>
      </c>
      <c r="AO17" s="41">
        <f>Базис_М_63/Базис_М_53</f>
        <v>1.0403489640130861</v>
      </c>
      <c r="AP17" s="41">
        <f>Базис_М_73/Базис_М_63</f>
        <v>0.9888439652590596</v>
      </c>
      <c r="AQ17" s="41">
        <f>Базис_М_83/Базис_М_73</f>
        <v>0.91610509578253951</v>
      </c>
      <c r="AR17" s="41">
        <f>Базис_М_93/Базис_М_83</f>
        <v>0.89561120753781309</v>
      </c>
      <c r="AS17" s="41">
        <f>Базис_М_103/Базис_М_93</f>
        <v>0.693890734588409</v>
      </c>
      <c r="AT17" s="41">
        <f>AT5/Базис_М_103</f>
        <v>0.7266923793057587</v>
      </c>
      <c r="AU17" s="41">
        <f t="shared" ref="AU17:AV17" si="5">AU5/AT5</f>
        <v>1.8094968720883804</v>
      </c>
      <c r="AV17" s="41">
        <f t="shared" si="5"/>
        <v>1.3508523510914139</v>
      </c>
    </row>
    <row r="18" spans="2:48">
      <c r="B18" s="5" t="s">
        <v>4</v>
      </c>
      <c r="C18" s="22"/>
      <c r="D18" s="39">
        <f>Базис_14/Базис_4</f>
        <v>1.0534921747255315</v>
      </c>
      <c r="E18" s="39">
        <f>Базис_24/Базис_14</f>
        <v>1.0332594235033259</v>
      </c>
      <c r="F18" s="39">
        <f>Базис_34/Базис_24</f>
        <v>0.90064377682403429</v>
      </c>
      <c r="G18" s="39">
        <f>Базис_44/Базис_34</f>
        <v>1.0011913271384323</v>
      </c>
      <c r="H18" s="39">
        <f>Базис_54/Базис_44</f>
        <v>1.0280818657782009</v>
      </c>
      <c r="I18" s="39">
        <f>Базис_64/Базис_54</f>
        <v>1.0395833333333333</v>
      </c>
      <c r="J18" s="39">
        <f>Базис_74/Базис_64</f>
        <v>0.94433311066577597</v>
      </c>
      <c r="K18" s="39">
        <f>Базис_84/Базис_74</f>
        <v>0.88021692996934686</v>
      </c>
      <c r="L18" s="39">
        <f>Базис_94/Базис_84</f>
        <v>0.73961960889365119</v>
      </c>
      <c r="M18" s="39">
        <f>Базис_104/Базис_94</f>
        <v>0.81311119159724743</v>
      </c>
      <c r="N18" s="39">
        <f>Базис_14/Базис_4</f>
        <v>1.0534921747255315</v>
      </c>
      <c r="O18" s="39">
        <f>Базис_24/Базис_14</f>
        <v>1.0332594235033259</v>
      </c>
      <c r="P18" s="39">
        <f>Базис_34/Базис_24</f>
        <v>0.90064377682403429</v>
      </c>
      <c r="R18" s="10" t="s">
        <v>16</v>
      </c>
      <c r="S18" s="23"/>
      <c r="T18" s="40">
        <f>Базис_Ж_14/Базис_Ж_4</f>
        <v>1.0228085867620751</v>
      </c>
      <c r="U18" s="40">
        <f>Базис_Ж_24/Базис_Ж_14</f>
        <v>1.045037166593791</v>
      </c>
      <c r="V18" s="40">
        <f>Базис_Ж_34/Базис_Ж_24</f>
        <v>0.98200836820083681</v>
      </c>
      <c r="W18" s="40">
        <f>Базис_Ж_44/Базис_Ж_34</f>
        <v>0.98210481465700894</v>
      </c>
      <c r="X18" s="40">
        <f>Базис_Ж_54/Базис_Ж_44</f>
        <v>1.0004338394793926</v>
      </c>
      <c r="Y18" s="40">
        <f>Базис_Ж_64/Базис_Ж_54</f>
        <v>1.02601908065915</v>
      </c>
      <c r="Z18" s="40">
        <f>Базис_Ж_74/Базис_Ж_64</f>
        <v>0.96449704142011838</v>
      </c>
      <c r="AA18" s="40">
        <f>Базис_Ж_84/Базис_Ж_74</f>
        <v>0.86459246275197199</v>
      </c>
      <c r="AB18" s="40">
        <f>Базис_Ж_94/Базис_Ж_84</f>
        <v>0.78155093765838823</v>
      </c>
      <c r="AC18" s="40">
        <f>Базис_Ж_104/Базис_Ж_94</f>
        <v>0.76394293125810631</v>
      </c>
      <c r="AD18" s="40">
        <f>AD6/Базис_Ж_104</f>
        <v>1</v>
      </c>
      <c r="AE18" s="40">
        <f t="shared" ref="AE18:AF18" si="6">AE6/AD6</f>
        <v>1.7913258218860935</v>
      </c>
      <c r="AF18" s="40">
        <f t="shared" si="6"/>
        <v>1.1326038256074444</v>
      </c>
      <c r="AH18" s="19" t="s">
        <v>16</v>
      </c>
      <c r="AI18" s="24"/>
      <c r="AJ18" s="41">
        <f>Базис_М_14/Базис_М_4</f>
        <v>1.0870415647921761</v>
      </c>
      <c r="AK18" s="41">
        <f>Базис_М_24/Базис_М_14</f>
        <v>1.0211426000899686</v>
      </c>
      <c r="AL18" s="41">
        <f>Базис_М_34/Базис_М_24</f>
        <v>0.81497797356828194</v>
      </c>
      <c r="AM18" s="41">
        <f>Базис_М_44/Базис_М_34</f>
        <v>1.0254054054054054</v>
      </c>
      <c r="AN18" s="41">
        <f>Базис_М_54/Базис_М_44</f>
        <v>1.0616763310490247</v>
      </c>
      <c r="AO18" s="41">
        <f>Базис_М_64/Базис_М_54</f>
        <v>1.0551142005958292</v>
      </c>
      <c r="AP18" s="41">
        <f>Базис_М_74/Базис_М_64</f>
        <v>0.92188235294117649</v>
      </c>
      <c r="AQ18" s="41">
        <f>Базис_М_84/Базис_М_74</f>
        <v>0.89841755997958139</v>
      </c>
      <c r="AR18" s="41">
        <f>Базис_М_94/Базис_М_84</f>
        <v>0.69261363636363638</v>
      </c>
      <c r="AS18" s="41">
        <f>Базис_М_104/Базис_М_94</f>
        <v>0.87530762920426575</v>
      </c>
      <c r="AT18" s="41">
        <f>AT6/Базис_М_104</f>
        <v>1</v>
      </c>
      <c r="AU18" s="41">
        <f t="shared" ref="AU18:AV18" si="7">AU6/AT6</f>
        <v>1.7405640282866151</v>
      </c>
      <c r="AV18" s="41">
        <f t="shared" si="7"/>
        <v>1.2222820500269225</v>
      </c>
    </row>
    <row r="19" spans="2:48">
      <c r="B19" s="5" t="s">
        <v>5</v>
      </c>
      <c r="C19" s="22"/>
      <c r="D19" s="39">
        <f>Базис_15/Базис_5</f>
        <v>0.88256343526350034</v>
      </c>
      <c r="E19" s="39">
        <f>Базис_25/Базис_15</f>
        <v>1.0029487652045705</v>
      </c>
      <c r="F19" s="39">
        <f>Базис_35/Базис_25</f>
        <v>0.75101065784637999</v>
      </c>
      <c r="G19" s="39">
        <f>Базис_45/Базис_35</f>
        <v>0.99535111328602888</v>
      </c>
      <c r="H19" s="39">
        <f>Базис_55/Базис_45</f>
        <v>0.70747295968534907</v>
      </c>
      <c r="I19" s="39">
        <f>Базис_65/Базис_55</f>
        <v>0.99131341209173041</v>
      </c>
      <c r="J19" s="39">
        <f>Базис_75/Базис_65</f>
        <v>0.97476340694006314</v>
      </c>
      <c r="K19" s="39">
        <f>Базис_85/Базис_75</f>
        <v>0.89248471772743621</v>
      </c>
      <c r="L19" s="39">
        <f>Базис_95/Базис_85</f>
        <v>0.79653505237711519</v>
      </c>
      <c r="M19" s="39">
        <f>Базис_105/Базис_95</f>
        <v>0.7890743550834598</v>
      </c>
      <c r="N19" s="39">
        <f>Базис_15/Базис_5</f>
        <v>0.88256343526350034</v>
      </c>
      <c r="O19" s="39">
        <f>Базис_25/Базис_15</f>
        <v>1.0029487652045705</v>
      </c>
      <c r="P19" s="39">
        <f>Базис_35/Базис_25</f>
        <v>0.75101065784637999</v>
      </c>
      <c r="R19" s="10" t="s">
        <v>17</v>
      </c>
      <c r="S19" s="23"/>
      <c r="T19" s="40">
        <f>Базис_Ж_15/Базис_Ж_5</f>
        <v>0.93258093258093255</v>
      </c>
      <c r="U19" s="40">
        <f>Базис_Ж_25/Базис_Ж_15</f>
        <v>1.0257961783439491</v>
      </c>
      <c r="V19" s="40">
        <f>Базис_Ж_35/Базис_Ж_25</f>
        <v>0.79136914001862779</v>
      </c>
      <c r="W19" s="40">
        <f>Базис_Ж_45/Базис_Ж_35</f>
        <v>0.8560219693997646</v>
      </c>
      <c r="X19" s="40">
        <f>Базис_Ж_55/Базис_Ж_45</f>
        <v>0.65077910174152154</v>
      </c>
      <c r="Y19" s="40">
        <f>Базис_Ж_65/Базис_Ж_55</f>
        <v>0.98732394366197185</v>
      </c>
      <c r="Z19" s="40">
        <f>Базис_Ж_75/Базис_Ж_65</f>
        <v>0.98787446504992871</v>
      </c>
      <c r="AA19" s="40">
        <f>Базис_Ж_85/Базис_Ж_75</f>
        <v>0.88736462093862811</v>
      </c>
      <c r="AB19" s="40">
        <f>Базис_Ж_95/Базис_Ж_85</f>
        <v>0.80960130187144019</v>
      </c>
      <c r="AC19" s="40">
        <f>Базис_Ж_105/Базис_Ж_95</f>
        <v>0.79698492462311554</v>
      </c>
      <c r="AD19" s="40">
        <f>AD7/Базис_Ж_105</f>
        <v>1</v>
      </c>
      <c r="AE19" s="40">
        <f t="shared" ref="AE19:AF19" si="8">AE7/AD7</f>
        <v>2.4857273873667318</v>
      </c>
      <c r="AF19" s="40">
        <f t="shared" si="8"/>
        <v>1.7081123460775722</v>
      </c>
      <c r="AH19" s="19" t="s">
        <v>17</v>
      </c>
      <c r="AI19" s="24"/>
      <c r="AJ19" s="41">
        <f>Базис_М_15/Базис_М_5</f>
        <v>0.82200647249190939</v>
      </c>
      <c r="AK19" s="41">
        <f>Базис_М_25/Базис_М_15</f>
        <v>0.97156605424321962</v>
      </c>
      <c r="AL19" s="41">
        <f>Базис_М_35/Базис_М_25</f>
        <v>0.69248086447546153</v>
      </c>
      <c r="AM19" s="41">
        <f>Базис_М_45/Базис_М_35</f>
        <v>1.2262678803641092</v>
      </c>
      <c r="AN19" s="41">
        <f>Базис_М_55/Базис_М_45</f>
        <v>0.77306468716861076</v>
      </c>
      <c r="AO19" s="41">
        <f>Базис_М_65/Базис_М_55</f>
        <v>0.99519890260631005</v>
      </c>
      <c r="AP19" s="41">
        <f>Базис_М_75/Базис_М_65</f>
        <v>0.9620951068228808</v>
      </c>
      <c r="AQ19" s="41">
        <f>Базис_М_85/Базис_М_75</f>
        <v>0.89756446991404015</v>
      </c>
      <c r="AR19" s="41">
        <f>Базис_М_95/Базис_М_85</f>
        <v>0.78371907422186748</v>
      </c>
      <c r="AS19" s="41">
        <f>Базис_М_105/Базис_М_95</f>
        <v>0.78105906313645623</v>
      </c>
      <c r="AT19" s="41">
        <f>AT7/Базис_М_105</f>
        <v>1</v>
      </c>
      <c r="AU19" s="41">
        <f t="shared" ref="AU19:AV19" si="9">AU7/AT7</f>
        <v>2.1357117458812374</v>
      </c>
      <c r="AV19" s="41">
        <f t="shared" si="9"/>
        <v>1.6977079749153672</v>
      </c>
    </row>
    <row r="20" spans="2:48">
      <c r="B20" s="5" t="s">
        <v>6</v>
      </c>
      <c r="C20" s="22"/>
      <c r="D20" s="39">
        <f>Базис_16/Базис_6</f>
        <v>0.93870859256768113</v>
      </c>
      <c r="E20" s="39">
        <f>Базис_26/Базис_16</f>
        <v>0.98262427227944471</v>
      </c>
      <c r="F20" s="39">
        <f>Базис_36/Базис_26</f>
        <v>1.0686354935739677</v>
      </c>
      <c r="G20" s="39">
        <f>Базис_46/Базис_36</f>
        <v>1.3275332650972365</v>
      </c>
      <c r="H20" s="39">
        <f>Базис_56/Базис_46</f>
        <v>1.2515420200462606</v>
      </c>
      <c r="I20" s="39">
        <f>Базис_66/Базис_56</f>
        <v>1.0255659941475435</v>
      </c>
      <c r="J20" s="39">
        <f>Базис_76/Базис_66</f>
        <v>0.97331931721479703</v>
      </c>
      <c r="K20" s="39">
        <f>Базис_86/Базис_76</f>
        <v>0.90290063772886242</v>
      </c>
      <c r="L20" s="39">
        <f>Базис_96/Базис_86</f>
        <v>0.93278651173388016</v>
      </c>
      <c r="M20" s="39">
        <f>Базис_106/Базис_96</f>
        <v>0.85552027357107963</v>
      </c>
      <c r="N20" s="39">
        <f>Базис_16/Базис_6</f>
        <v>0.93870859256768113</v>
      </c>
      <c r="O20" s="39">
        <f>Базис_26/Базис_16</f>
        <v>0.98262427227944471</v>
      </c>
      <c r="P20" s="39">
        <f>Базис_36/Базис_26</f>
        <v>1.0686354935739677</v>
      </c>
      <c r="R20" s="10" t="s">
        <v>6</v>
      </c>
      <c r="S20" s="23"/>
      <c r="T20" s="40">
        <f>Базис_Ж_16/Базис_Ж_6</f>
        <v>0.9825125628140704</v>
      </c>
      <c r="U20" s="40">
        <f>Базис_Ж_26/Базис_Ж_16</f>
        <v>1.0488952536824878</v>
      </c>
      <c r="V20" s="40">
        <f>Базис_Ж_36/Базис_Ж_26</f>
        <v>1.0524673298225082</v>
      </c>
      <c r="W20" s="40">
        <f>Базис_Ж_46/Базис_Ж_36</f>
        <v>1.3901037805782062</v>
      </c>
      <c r="X20" s="40">
        <f>Базис_Ж_56/Базис_Ж_46</f>
        <v>1.1521130515931208</v>
      </c>
      <c r="Y20" s="40">
        <f>Базис_Ж_66/Базис_Ж_56</f>
        <v>1.0121499652858135</v>
      </c>
      <c r="Z20" s="40">
        <f>Базис_Ж_76/Базис_Ж_66</f>
        <v>0.92477420829998858</v>
      </c>
      <c r="AA20" s="40">
        <f>Базис_Ж_86/Базис_Ж_76</f>
        <v>0.88589442452713563</v>
      </c>
      <c r="AB20" s="40">
        <f>Базис_Ж_96/Базис_Ж_86</f>
        <v>0.93622662573262627</v>
      </c>
      <c r="AC20" s="40">
        <f>Базис_Ж_106/Базис_Ж_96</f>
        <v>0.84975406170815326</v>
      </c>
      <c r="AD20" s="40">
        <f>AD8/Базис_Ж_106</f>
        <v>0.85739343974741278</v>
      </c>
      <c r="AE20" s="40">
        <f t="shared" ref="AE20:AF20" si="10">AE8/AD8</f>
        <v>1.3565875613747955</v>
      </c>
      <c r="AF20" s="40">
        <f t="shared" si="10"/>
        <v>1.3191072236465089</v>
      </c>
      <c r="AH20" s="19" t="s">
        <v>6</v>
      </c>
      <c r="AI20" s="24"/>
      <c r="AJ20" s="41">
        <f>Базис_М_16/Базис_М_6</f>
        <v>0.9072120248590837</v>
      </c>
      <c r="AK20" s="41">
        <f>Базис_М_26/Базис_М_16</f>
        <v>0.93101800223036479</v>
      </c>
      <c r="AL20" s="41">
        <f>Базис_М_36/Базис_М_26</f>
        <v>1.0828199863107462</v>
      </c>
      <c r="AM20" s="41">
        <f>Базис_М_46/Базис_М_36</f>
        <v>1.2741782553729457</v>
      </c>
      <c r="AN20" s="41">
        <f>Базис_М_56/Базис_М_46</f>
        <v>1.3440406796477737</v>
      </c>
      <c r="AO20" s="41">
        <f>Базис_М_66/Базис_М_56</f>
        <v>1.0362646488880687</v>
      </c>
      <c r="AP20" s="41">
        <f>Базис_М_76/Базис_М_66</f>
        <v>1.0111308993766697</v>
      </c>
      <c r="AQ20" s="41">
        <f>Базис_М_86/Базис_М_76</f>
        <v>0.91501541171290179</v>
      </c>
      <c r="AR20" s="41">
        <f>Базис_М_96/Базис_М_86</f>
        <v>0.93041385948026945</v>
      </c>
      <c r="AS20" s="41">
        <f>Базис_М_106/Базис_М_96</f>
        <v>0.85952208544532949</v>
      </c>
      <c r="AT20" s="41">
        <f>AT8/Базис_М_106</f>
        <v>0.70333373450475389</v>
      </c>
      <c r="AU20" s="41">
        <f t="shared" ref="AU20:AV20" si="11">AU8/AT8</f>
        <v>1.4812239437496113</v>
      </c>
      <c r="AV20" s="41">
        <f t="shared" si="11"/>
        <v>1.3117655089845512</v>
      </c>
    </row>
    <row r="21" spans="2:48">
      <c r="B21" s="5" t="s">
        <v>7</v>
      </c>
      <c r="C21" s="22"/>
      <c r="D21" s="39">
        <f>Базис_17/Базис_7</f>
        <v>1.0049188391539596</v>
      </c>
      <c r="E21" s="39">
        <f>Базис_27/Базис_17</f>
        <v>1.1199216837983357</v>
      </c>
      <c r="F21" s="39">
        <f>Базис_37/Базис_27</f>
        <v>0.99650349650349646</v>
      </c>
      <c r="G21" s="39">
        <f>Базис_47/Базис_37</f>
        <v>1.2381578947368421</v>
      </c>
      <c r="H21" s="39">
        <f>Базис_57/Базис_47</f>
        <v>1.069429684732554</v>
      </c>
      <c r="I21" s="39">
        <f>Базис_67/Базис_57</f>
        <v>1.0102683007618416</v>
      </c>
      <c r="J21" s="39">
        <f>Базис_77/Базис_67</f>
        <v>1.021311475409836</v>
      </c>
      <c r="K21" s="39">
        <f>Базис_87/Базис_77</f>
        <v>1.0224719101123596</v>
      </c>
      <c r="L21" s="39">
        <f>Базис_97/Базис_87</f>
        <v>1.0279434850863423</v>
      </c>
      <c r="M21" s="39">
        <f>Базис_107/Базис_97</f>
        <v>0.80543677458766039</v>
      </c>
      <c r="N21" s="39">
        <f>Базис_17/Базис_7</f>
        <v>1.0049188391539596</v>
      </c>
      <c r="O21" s="39">
        <f>Базис_27/Базис_17</f>
        <v>1.1199216837983357</v>
      </c>
      <c r="P21" s="39">
        <f>Базис_37/Базис_27</f>
        <v>0.99650349650349646</v>
      </c>
      <c r="R21" s="10" t="s">
        <v>7</v>
      </c>
      <c r="S21" s="23"/>
      <c r="T21" s="40">
        <f>Базис_Ж_17/Базис_Ж_7</f>
        <v>1.0989624900239425</v>
      </c>
      <c r="U21" s="40">
        <f>Базис_Ж_27/Базис_Ж_17</f>
        <v>1.0965867828612927</v>
      </c>
      <c r="V21" s="40">
        <f>Базис_Ж_37/Базис_Ж_27</f>
        <v>1.0298013245033113</v>
      </c>
      <c r="W21" s="40">
        <f>Базис_Ж_47/Базис_Ж_37</f>
        <v>1.144694533762058</v>
      </c>
      <c r="X21" s="40">
        <f>Базис_Ж_57/Базис_Ж_47</f>
        <v>1.0157303370786517</v>
      </c>
      <c r="Y21" s="40">
        <f>Базис_Ж_67/Базис_Ж_57</f>
        <v>0.92920353982300885</v>
      </c>
      <c r="Z21" s="40">
        <f>Базис_Ж_77/Базис_Ж_67</f>
        <v>0.94940476190476186</v>
      </c>
      <c r="AA21" s="40">
        <f>Базис_Ж_87/Базис_Ж_77</f>
        <v>0.97617554858934175</v>
      </c>
      <c r="AB21" s="40">
        <f>Базис_Ж_97/Базис_Ж_87</f>
        <v>1.0321130378933847</v>
      </c>
      <c r="AC21" s="40">
        <f>Базис_Ж_107/Базис_Ж_97</f>
        <v>0.80211574362165527</v>
      </c>
      <c r="AD21" s="40">
        <f>AD9/Базис_Ж_107</f>
        <v>0.97207137315748637</v>
      </c>
      <c r="AE21" s="40">
        <f t="shared" ref="AE21:AF21" si="12">AE9/AD9</f>
        <v>1.2342015526373069</v>
      </c>
      <c r="AF21" s="40">
        <f t="shared" si="12"/>
        <v>1.1691258597378167</v>
      </c>
      <c r="AH21" s="19" t="s">
        <v>7</v>
      </c>
      <c r="AI21" s="24"/>
      <c r="AJ21" s="41">
        <f>Базис_М_17/Базис_М_7</f>
        <v>0.85384615384615381</v>
      </c>
      <c r="AK21" s="41">
        <f>Базис_М_27/Базис_М_17</f>
        <v>1.1681681681681682</v>
      </c>
      <c r="AL21" s="41">
        <f>Базис_М_37/Базис_М_27</f>
        <v>0.93187660668380468</v>
      </c>
      <c r="AM21" s="41">
        <f>Базис_М_47/Базис_М_37</f>
        <v>1.4386206896551723</v>
      </c>
      <c r="AN21" s="41">
        <f>Базис_М_57/Базис_М_47</f>
        <v>1.1610738255033557</v>
      </c>
      <c r="AO21" s="41">
        <f>Базис_М_67/Базис_М_57</f>
        <v>1.1312964492155244</v>
      </c>
      <c r="AP21" s="41">
        <f>Базис_М_77/Базис_М_67</f>
        <v>1.1094890510948905</v>
      </c>
      <c r="AQ21" s="41">
        <f>Базис_М_87/Базис_М_77</f>
        <v>1.0710526315789475</v>
      </c>
      <c r="AR21" s="41">
        <f>Базис_М_97/Базис_М_87</f>
        <v>1.0239557739557739</v>
      </c>
      <c r="AS21" s="41">
        <f>Базис_М_107/Базис_М_97</f>
        <v>0.80863827234553087</v>
      </c>
      <c r="AT21" s="41">
        <f>AT9/Базис_М_107</f>
        <v>0.49406528189910981</v>
      </c>
      <c r="AU21" s="41">
        <f t="shared" ref="AU21:AV21" si="13">AU9/AT9</f>
        <v>1.7384657384657383</v>
      </c>
      <c r="AV21" s="41">
        <f t="shared" si="13"/>
        <v>1.4397770100502514</v>
      </c>
    </row>
    <row r="22" spans="2:48">
      <c r="B22" s="5" t="s">
        <v>8</v>
      </c>
      <c r="C22" s="22"/>
      <c r="D22" s="39">
        <f>Базис_18/Базис_8</f>
        <v>0.95803942846807744</v>
      </c>
      <c r="E22" s="39">
        <f>Базис_28/Базис_18</f>
        <v>0.96545214272229563</v>
      </c>
      <c r="F22" s="39">
        <f>Базис_38/Базис_28</f>
        <v>0.95111458740711774</v>
      </c>
      <c r="G22" s="39">
        <f>Базис_48/Базис_38</f>
        <v>0.90460526315789469</v>
      </c>
      <c r="H22" s="39">
        <f>Базис_58/Базис_48</f>
        <v>0.94431818181818183</v>
      </c>
      <c r="I22" s="39">
        <f>Базис_68/Базис_58</f>
        <v>1.162214199759326</v>
      </c>
      <c r="J22" s="39">
        <f>Базис_78/Базис_68</f>
        <v>1.1215572582315179</v>
      </c>
      <c r="K22" s="39">
        <f>Базис_88/Базис_78</f>
        <v>0.9518094534711965</v>
      </c>
      <c r="L22" s="39">
        <f>Базис_98/Базис_88</f>
        <v>0.70979631425800194</v>
      </c>
      <c r="M22" s="39">
        <f>Базис_108/Базис_98</f>
        <v>0.60043727794479362</v>
      </c>
      <c r="N22" s="39">
        <f>Базис_18/Базис_8</f>
        <v>0.95803942846807744</v>
      </c>
      <c r="O22" s="39">
        <f>Базис_28/Базис_18</f>
        <v>0.96545214272229563</v>
      </c>
      <c r="P22" s="39">
        <f>Базис_38/Базис_28</f>
        <v>0.95111458740711774</v>
      </c>
      <c r="R22" s="10" t="s">
        <v>8</v>
      </c>
      <c r="S22" s="23"/>
      <c r="T22" s="40">
        <f>Базис_Ж_18/Базис_Ж_8</f>
        <v>0.93704459341299917</v>
      </c>
      <c r="U22" s="40">
        <f>Базис_Ж_28/Базис_Ж_18</f>
        <v>0.92752721617418354</v>
      </c>
      <c r="V22" s="40">
        <f>Базис_Ж_38/Базис_Ж_28</f>
        <v>0.96646545942320594</v>
      </c>
      <c r="W22" s="40">
        <f>Базис_Ж_48/Базис_Ж_38</f>
        <v>0.89417071478140175</v>
      </c>
      <c r="X22" s="40">
        <f>Базис_Ж_58/Базис_Ж_48</f>
        <v>0.86961583236321305</v>
      </c>
      <c r="Y22" s="40">
        <f>Базис_Ж_68/Базис_Ж_58</f>
        <v>1.1472556894243642</v>
      </c>
      <c r="Z22" s="40">
        <f>Базис_Ж_78/Базис_Ж_68</f>
        <v>1.0972384286269934</v>
      </c>
      <c r="AA22" s="40">
        <f>Базис_Ж_88/Базис_Ж_78</f>
        <v>0.91563275434243174</v>
      </c>
      <c r="AB22" s="40">
        <f>Базис_Ж_98/Базис_Ж_88</f>
        <v>0.75764614789005036</v>
      </c>
      <c r="AC22" s="40">
        <f>Базис_Ж_108/Базис_Ж_98</f>
        <v>0.66581502299437911</v>
      </c>
      <c r="AD22" s="40">
        <f>AD10/Базис_Ж_108</f>
        <v>1</v>
      </c>
      <c r="AE22" s="40">
        <f t="shared" ref="AE22:AF22" si="14">AE10/AD10</f>
        <v>1.9928137863671247</v>
      </c>
      <c r="AF22" s="40">
        <f t="shared" si="14"/>
        <v>1.3213247908132899</v>
      </c>
      <c r="AH22" s="19" t="s">
        <v>8</v>
      </c>
      <c r="AI22" s="24"/>
      <c r="AJ22" s="41">
        <f>Базис_М_18/Базис_М_8</f>
        <v>0.99237368922783609</v>
      </c>
      <c r="AK22" s="41">
        <f>Базис_М_28/Базис_М_18</f>
        <v>1.0240153698366954</v>
      </c>
      <c r="AL22" s="41">
        <f>Базис_М_38/Базис_М_28</f>
        <v>0.92964352720450283</v>
      </c>
      <c r="AM22" s="41">
        <f>Базис_М_48/Базис_М_38</f>
        <v>0.91977800201816351</v>
      </c>
      <c r="AN22" s="41">
        <f>Базис_М_58/Базис_М_48</f>
        <v>1.049917718047175</v>
      </c>
      <c r="AO22" s="41">
        <f>Базис_М_68/Базис_М_58</f>
        <v>1.179728317659352</v>
      </c>
      <c r="AP22" s="41">
        <f>Базис_М_78/Базис_М_68</f>
        <v>1.1492471213463242</v>
      </c>
      <c r="AQ22" s="41">
        <f>Базис_М_88/Базис_М_78</f>
        <v>0.9911368015414258</v>
      </c>
      <c r="AR22" s="41">
        <f>Базис_М_98/Базис_М_88</f>
        <v>0.66174183514774498</v>
      </c>
      <c r="AS22" s="41">
        <f>Базис_М_108/Базис_М_98</f>
        <v>0.52526439482961218</v>
      </c>
      <c r="AT22" s="41">
        <f>AT10/Базис_М_108</f>
        <v>1</v>
      </c>
      <c r="AU22" s="41">
        <f t="shared" ref="AU22:AV22" si="15">AU10/AT10</f>
        <v>2.2424242424242427</v>
      </c>
      <c r="AV22" s="41">
        <f t="shared" si="15"/>
        <v>1.2944404135679304</v>
      </c>
    </row>
    <row r="23" spans="2:48">
      <c r="B23" s="5" t="s">
        <v>9</v>
      </c>
      <c r="C23" s="22"/>
      <c r="D23" s="39">
        <f>Базис_19/Базис_9</f>
        <v>0.94231820667031163</v>
      </c>
      <c r="E23" s="39">
        <f>Базис_29/Базис_19</f>
        <v>0.85973310124746161</v>
      </c>
      <c r="F23" s="39">
        <f>Базис_39/Базис_29</f>
        <v>0.85675721275518812</v>
      </c>
      <c r="G23" s="39">
        <f>Базис_49/Базис_39</f>
        <v>0.99625836943678614</v>
      </c>
      <c r="H23" s="39">
        <f>Базис_59/Базис_49</f>
        <v>1.173749752915596</v>
      </c>
      <c r="I23" s="39">
        <f>Базис_69/Базис_59</f>
        <v>0.99898955877399798</v>
      </c>
      <c r="J23" s="39">
        <f>Базис_79/Базис_69</f>
        <v>1.012137559002023</v>
      </c>
      <c r="K23" s="39">
        <f>Базис_89/Базис_79</f>
        <v>1.0448034643570954</v>
      </c>
      <c r="L23" s="39">
        <f>Базис_99/Базис_89</f>
        <v>0.84967320261437906</v>
      </c>
      <c r="M23" s="39">
        <f>Базис_109/Базис_99</f>
        <v>0.8086303939962477</v>
      </c>
      <c r="N23" s="39">
        <f>Базис_19/Базис_9</f>
        <v>0.94231820667031163</v>
      </c>
      <c r="O23" s="39">
        <f>Базис_29/Базис_19</f>
        <v>0.85973310124746161</v>
      </c>
      <c r="P23" s="39">
        <f>Базис_39/Базис_29</f>
        <v>0.85675721275518812</v>
      </c>
      <c r="R23" s="10" t="s">
        <v>9</v>
      </c>
      <c r="S23" s="23"/>
      <c r="T23" s="40">
        <f>Базис_Ж_19/Базис_Ж_9</f>
        <v>0.97192315811695162</v>
      </c>
      <c r="U23" s="40">
        <f>Базис_Ж_29/Базис_Ж_19</f>
        <v>0.84926151172893138</v>
      </c>
      <c r="V23" s="40">
        <f>Базис_Ж_39/Базис_Ж_29</f>
        <v>0.8703324808184143</v>
      </c>
      <c r="W23" s="40">
        <f>Базис_Ж_49/Базис_Ж_39</f>
        <v>0.9979429914781075</v>
      </c>
      <c r="X23" s="40">
        <f>Базис_Ж_59/Базис_Ж_49</f>
        <v>1.1310365135453475</v>
      </c>
      <c r="Y23" s="40">
        <f>Базис_Ж_69/Базис_Ж_59</f>
        <v>0.99661546472272844</v>
      </c>
      <c r="Z23" s="40">
        <f>Базис_Ж_79/Базис_Ж_69</f>
        <v>0.9673458725182863</v>
      </c>
      <c r="AA23" s="40">
        <f>Базис_Ж_89/Базис_Ж_79</f>
        <v>1.0518498514717796</v>
      </c>
      <c r="AB23" s="40">
        <f>Базис_Ж_99/Базис_Ж_89</f>
        <v>0.85750962772785622</v>
      </c>
      <c r="AC23" s="40">
        <f>Базис_Ж_109/Базис_Ж_99</f>
        <v>0.82574850299401192</v>
      </c>
      <c r="AD23" s="40">
        <f>AD11/Базис_Ж_109</f>
        <v>1</v>
      </c>
      <c r="AE23" s="40">
        <f t="shared" ref="AE23:AF23" si="16">AE11/AD11</f>
        <v>1.3651196519216824</v>
      </c>
      <c r="AF23" s="40">
        <f t="shared" si="16"/>
        <v>1.2581673306772909</v>
      </c>
      <c r="AH23" s="19" t="s">
        <v>9</v>
      </c>
      <c r="AI23" s="24"/>
      <c r="AJ23" s="41">
        <f>Базис_М_19/Базис_М_9</f>
        <v>0.88794106242729742</v>
      </c>
      <c r="AK23" s="41">
        <f>Базис_М_29/Базис_М_19</f>
        <v>0.88078602620087332</v>
      </c>
      <c r="AL23" s="41">
        <f>Базис_М_39/Базис_М_29</f>
        <v>0.83044124938026775</v>
      </c>
      <c r="AM23" s="41">
        <f>Базис_М_49/Базис_М_39</f>
        <v>0.99283582089552236</v>
      </c>
      <c r="AN23" s="41">
        <f>Базис_М_59/Базис_М_49</f>
        <v>1.2609741431148527</v>
      </c>
      <c r="AO23" s="41">
        <f>Базис_М_69/Базис_М_59</f>
        <v>1.0033381020505483</v>
      </c>
      <c r="AP23" s="41">
        <f>Базис_М_79/Базис_М_69</f>
        <v>1.0936311787072244</v>
      </c>
      <c r="AQ23" s="41">
        <f>Базис_М_89/Базис_М_79</f>
        <v>1.0334637114298131</v>
      </c>
      <c r="AR23" s="41">
        <f>Базис_М_99/Базис_М_89</f>
        <v>0.83683767872161485</v>
      </c>
      <c r="AS23" s="41">
        <f>Базис_М_109/Базис_М_99</f>
        <v>0.77989949748743714</v>
      </c>
      <c r="AT23" s="41">
        <f>AT11/Базис_М_109</f>
        <v>1</v>
      </c>
      <c r="AU23" s="41">
        <f t="shared" ref="AU23:AV23" si="17">AU11/AT11</f>
        <v>1.3264995313964385</v>
      </c>
      <c r="AV23" s="41">
        <f t="shared" si="17"/>
        <v>1.2527157113839089</v>
      </c>
    </row>
    <row r="24" spans="2:48">
      <c r="B24" s="5" t="s">
        <v>10</v>
      </c>
      <c r="C24" s="22"/>
      <c r="D24" s="39">
        <f>Базис_20/Базис_10</f>
        <v>1.1127785356980446</v>
      </c>
      <c r="E24" s="39">
        <f>Базис_30/Базис_20</f>
        <v>0.98651409889660813</v>
      </c>
      <c r="F24" s="39">
        <f>Базис_40/Базис_30</f>
        <v>0.94034797017398508</v>
      </c>
      <c r="G24" s="39">
        <f>Базис_50/Базис_40</f>
        <v>1.0255506607929517</v>
      </c>
      <c r="H24" s="39">
        <f>Базис_60/Базис_50</f>
        <v>1.1439003436426116</v>
      </c>
      <c r="I24" s="39">
        <f>Базис_70/Базис_60</f>
        <v>1.1607209913631242</v>
      </c>
      <c r="J24" s="39">
        <f>Базис_80/Базис_70</f>
        <v>1.0857327725655128</v>
      </c>
      <c r="K24" s="39">
        <f>Базис_90/Базис_80</f>
        <v>0.91328963051251488</v>
      </c>
      <c r="L24" s="39">
        <f>Базис_100/Базис_90</f>
        <v>0.95530179445350738</v>
      </c>
      <c r="M24" s="39">
        <f>Базис_110/Базис_100</f>
        <v>1.0088797814207651</v>
      </c>
      <c r="N24" s="39">
        <f>Базис_20/Базис_10</f>
        <v>1.1127785356980446</v>
      </c>
      <c r="O24" s="39">
        <f>Базис_30/Базис_20</f>
        <v>0.98651409889660813</v>
      </c>
      <c r="P24" s="39">
        <f>Базис_40/Базис_30</f>
        <v>0.94034797017398508</v>
      </c>
      <c r="R24" s="10" t="s">
        <v>18</v>
      </c>
      <c r="S24" s="23"/>
      <c r="T24" s="40">
        <f>Базис_Ж_20/Базис_Ж_10</f>
        <v>1.129285014691479</v>
      </c>
      <c r="U24" s="40">
        <f>Базис_Ж_30/Базис_Ж_20</f>
        <v>1.0112749349522983</v>
      </c>
      <c r="V24" s="40">
        <f>Базис_Ж_40/Базис_Ж_30</f>
        <v>0.93653516295025729</v>
      </c>
      <c r="W24" s="40">
        <f>Базис_Ж_50/Базис_Ж_40</f>
        <v>1.0741758241758241</v>
      </c>
      <c r="X24" s="40">
        <f>Базис_Ж_60/Базис_Ж_50</f>
        <v>1.3103154305200342</v>
      </c>
      <c r="Y24" s="40">
        <f>Базис_Ж_70/Базис_Ж_60</f>
        <v>1.0969420949902406</v>
      </c>
      <c r="Z24" s="40">
        <f>Базис_Ж_80/Базис_Ж_70</f>
        <v>0.99406880189798341</v>
      </c>
      <c r="AA24" s="40">
        <f>Базис_Ж_90/Базис_Ж_80</f>
        <v>0.86933174224343679</v>
      </c>
      <c r="AB24" s="40">
        <f>Базис_Ж_100/Базис_Ж_90</f>
        <v>0.98284145504461218</v>
      </c>
      <c r="AC24" s="40">
        <f>Базис_Ж_110/Базис_Ж_100</f>
        <v>1.1166201117318435</v>
      </c>
      <c r="AD24" s="40">
        <f>AD12/Базис_Ж_110</f>
        <v>0.63852407754846774</v>
      </c>
      <c r="AE24" s="40">
        <f t="shared" ref="AE24:AF24" si="18">AE12/AD12</f>
        <v>1.3348766806161518</v>
      </c>
      <c r="AF24" s="40">
        <f t="shared" si="18"/>
        <v>1.237059765208111</v>
      </c>
      <c r="AH24" s="19" t="s">
        <v>18</v>
      </c>
      <c r="AI24" s="24"/>
      <c r="AJ24" s="41">
        <f>Базис_М_20/Базис_М_10</f>
        <v>1.0984719864176571</v>
      </c>
      <c r="AK24" s="41">
        <f>Базис_М_30/Базис_М_20</f>
        <v>0.96445131375579596</v>
      </c>
      <c r="AL24" s="41">
        <f>Базис_М_40/Базис_М_30</f>
        <v>0.94391025641025639</v>
      </c>
      <c r="AM24" s="41">
        <f>Базис_М_50/Базис_М_40</f>
        <v>0.98047538200339557</v>
      </c>
      <c r="AN24" s="41">
        <f>Базис_М_60/Базис_М_50</f>
        <v>0.97489177489177492</v>
      </c>
      <c r="AO24" s="41">
        <f>Базис_М_70/Базис_М_60</f>
        <v>1.2477797513321491</v>
      </c>
      <c r="AP24" s="41">
        <f>Базис_М_80/Базис_М_70</f>
        <v>1.195729537366548</v>
      </c>
      <c r="AQ24" s="41">
        <f>Базис_М_90/Базис_М_80</f>
        <v>0.95714285714285718</v>
      </c>
      <c r="AR24" s="41">
        <f>Базис_М_100/Базис_М_90</f>
        <v>0.93034825870646765</v>
      </c>
      <c r="AS24" s="41">
        <f>Базис_М_110/Базис_М_100</f>
        <v>0.90574866310160429</v>
      </c>
      <c r="AT24" s="41">
        <f>AT12/Базис_М_110</f>
        <v>0.83099630996309959</v>
      </c>
      <c r="AU24" s="41">
        <f t="shared" ref="AU24:AV24" si="19">AU12/AT12</f>
        <v>1.1886807686097207</v>
      </c>
      <c r="AV24" s="41">
        <f t="shared" si="19"/>
        <v>1.2551789716769679</v>
      </c>
    </row>
    <row r="26" spans="2:48">
      <c r="B26" s="33" t="s">
        <v>21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R26" s="38" t="s">
        <v>21</v>
      </c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H26" s="37" t="s">
        <v>21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</row>
    <row r="27" spans="2:48">
      <c r="B27" s="4" t="s">
        <v>1</v>
      </c>
      <c r="C27" s="22"/>
      <c r="D27" s="39">
        <f>Базис_11/Базис_1</f>
        <v>0.96161109775778597</v>
      </c>
      <c r="E27" s="39">
        <f>Базис_21/Базис_1</f>
        <v>0.95421144799642899</v>
      </c>
      <c r="F27" s="39">
        <f>Базис_31/Базис_1</f>
        <v>0.98853140129794326</v>
      </c>
      <c r="G27" s="39">
        <f>Базис_41/Базис_1</f>
        <v>1.2167187446348247</v>
      </c>
      <c r="H27" s="39">
        <f>Базис_51/Базис_1</f>
        <v>1.3065446554269822</v>
      </c>
      <c r="I27" s="39">
        <f>Базис_61/Базис_1</f>
        <v>1.3160045325000858</v>
      </c>
      <c r="J27" s="39">
        <f>Базис_71/Базис_1</f>
        <v>1.304295573944992</v>
      </c>
      <c r="K27" s="39">
        <f>Базис_81/Базис_1</f>
        <v>1.2821996360265082</v>
      </c>
      <c r="L27" s="39">
        <f>Базис_91/Базис_1</f>
        <v>1.1606462246334512</v>
      </c>
      <c r="M27" s="39">
        <f>Базис_101/Базис_1</f>
        <v>0.87308999759640149</v>
      </c>
      <c r="N27" s="39">
        <f>N3/Базис_1</f>
        <v>0.87308999759640149</v>
      </c>
      <c r="O27" s="39">
        <f>O3/Базис_1</f>
        <v>1.1239866647104912</v>
      </c>
      <c r="P27" s="39">
        <f>P3/Базис_1</f>
        <v>1.3160045325000858</v>
      </c>
      <c r="R27" s="14" t="s">
        <v>1</v>
      </c>
      <c r="S27" s="23"/>
      <c r="T27" s="40">
        <f>Базис_Ж_11/Базис_Ж_1</f>
        <v>0.98077810748433891</v>
      </c>
      <c r="U27" s="40">
        <f>Базис_Ж_21/Базис_Ж_1</f>
        <v>0.97174414770853945</v>
      </c>
      <c r="V27" s="40">
        <f>Базис_Ж_31/Базис_Ж_1</f>
        <v>0.96544675239037259</v>
      </c>
      <c r="W27" s="40">
        <f>Базис_Ж_41/Базис_Ж_1</f>
        <v>1.1658094296076491</v>
      </c>
      <c r="X27" s="40">
        <f>Базис_Ж_51/Базис_Ж_1</f>
        <v>1.2139465875370921</v>
      </c>
      <c r="Y27" s="40">
        <f>Базис_Ж_61/Базис_Ж_1</f>
        <v>1.1837784371909001</v>
      </c>
      <c r="Z27" s="40">
        <f>Базис_Ж_71/Базис_Ж_1</f>
        <v>1.1309594460929773</v>
      </c>
      <c r="AA27" s="40">
        <f>Базис_Ж_81/Базис_Ж_1</f>
        <v>1.0905703923508079</v>
      </c>
      <c r="AB27" s="40">
        <f>Базис_Ж_91/Базис_Ж_1</f>
        <v>0.98245961094625778</v>
      </c>
      <c r="AC27" s="40">
        <f>Базис_Ж_101/Базис_Ж_1</f>
        <v>0.75759973623475108</v>
      </c>
      <c r="AD27" s="40">
        <f>AD3/Базис_Ж_1</f>
        <v>0.75759973623475108</v>
      </c>
      <c r="AE27" s="40">
        <f>AE3/Базис_Ж_1</f>
        <v>1.0402811497766986</v>
      </c>
      <c r="AF27" s="40">
        <f>AF3/Базис_Ж_1</f>
        <v>1.2139465875370921</v>
      </c>
      <c r="AH27" s="15" t="s">
        <v>1</v>
      </c>
      <c r="AI27" s="24"/>
      <c r="AJ27" s="41">
        <f>Базис_М_11/Базис_М_1</f>
        <v>0.94078664565123948</v>
      </c>
      <c r="AK27" s="41">
        <f>Базис_М_21/Базис_М_1</f>
        <v>0.93516263074939099</v>
      </c>
      <c r="AL27" s="41">
        <f>Базис_М_31/Базис_М_1</f>
        <v>1.0136122653675312</v>
      </c>
      <c r="AM27" s="41">
        <f>Базис_М_41/Базис_М_1</f>
        <v>1.2720303768448202</v>
      </c>
      <c r="AN27" s="41">
        <f>Базис_М_51/Базис_М_1</f>
        <v>1.4071500214930506</v>
      </c>
      <c r="AO27" s="41">
        <f>Базис_М_61/Базис_М_1</f>
        <v>1.4596647084109471</v>
      </c>
      <c r="AP27" s="41">
        <f>Базис_М_71/Базис_М_1</f>
        <v>1.4926207193007595</v>
      </c>
      <c r="AQ27" s="41">
        <f>Базис_М_81/Базис_М_1</f>
        <v>1.4903997707407939</v>
      </c>
      <c r="AR27" s="41">
        <f>Базис_М_91/Базис_М_1</f>
        <v>1.3542412953145149</v>
      </c>
      <c r="AS27" s="41">
        <f>Базис_М_101/Базис_М_1</f>
        <v>0.99856712996131247</v>
      </c>
      <c r="AT27" s="41">
        <f>AT3/Базис_М_1</f>
        <v>0.93516263074939099</v>
      </c>
      <c r="AU27" s="41">
        <f>AU3/Базис_М_1</f>
        <v>1.2149305058031237</v>
      </c>
      <c r="AV27" s="41">
        <f>AV3/Базис_М_1</f>
        <v>1.4926207193007595</v>
      </c>
    </row>
    <row r="28" spans="2:48">
      <c r="B28" s="5" t="s">
        <v>2</v>
      </c>
      <c r="C28" s="22"/>
      <c r="D28" s="39">
        <f>Базис_12/Базис_2</f>
        <v>0.97766749379652607</v>
      </c>
      <c r="E28" s="39">
        <f>Базис_22/Базис_2</f>
        <v>0.82514474772539292</v>
      </c>
      <c r="F28" s="39">
        <f>Базис_32/Базис_2</f>
        <v>1.0367245657568238</v>
      </c>
      <c r="G28" s="39">
        <f>Базис_42/Базис_2</f>
        <v>1.4812241521918941</v>
      </c>
      <c r="H28" s="39">
        <f>Базис_52/Базис_2</f>
        <v>1.8074441687344913</v>
      </c>
      <c r="I28" s="39">
        <f>Базис_62/Базис_2</f>
        <v>1.6459884201819686</v>
      </c>
      <c r="J28" s="39">
        <f>Базис_72/Базис_2</f>
        <v>1.6380479735318445</v>
      </c>
      <c r="K28" s="39">
        <f>Базис_82/Базис_2</f>
        <v>2.2315963606286187</v>
      </c>
      <c r="L28" s="39">
        <f>Базис_92/Базис_2</f>
        <v>2.3291976840363939</v>
      </c>
      <c r="M28" s="39">
        <f>Базис_102/Базис_2</f>
        <v>1.415550041356493</v>
      </c>
      <c r="N28" s="39">
        <f>N4/Базис_2</f>
        <v>0.82514474772539292</v>
      </c>
      <c r="O28" s="39">
        <f>O4/Базис_2</f>
        <v>1.489871418903677</v>
      </c>
      <c r="P28" s="39">
        <f>P4/Базис_2</f>
        <v>2.3291976840363939</v>
      </c>
      <c r="R28" s="10" t="s">
        <v>2</v>
      </c>
      <c r="S28" s="23"/>
      <c r="T28" s="40">
        <f>Базис_Ж_12/Базис_Ж_2</f>
        <v>1.063961813842482</v>
      </c>
      <c r="U28" s="40">
        <f>Базис_Ж_22/Базис_Ж_2</f>
        <v>0.87589498806682575</v>
      </c>
      <c r="V28" s="40">
        <f>Базис_Ж_32/Базис_Ж_2</f>
        <v>0.96610978520286395</v>
      </c>
      <c r="W28" s="40">
        <f>Базис_Ж_42/Базис_Ж_2</f>
        <v>1.7217183770883056</v>
      </c>
      <c r="X28" s="40">
        <f>Базис_Ж_52/Базис_Ж_2</f>
        <v>2.4529832935560858</v>
      </c>
      <c r="Y28" s="40">
        <f>Базис_Ж_62/Базис_Ж_2</f>
        <v>2.1484486873508355</v>
      </c>
      <c r="Z28" s="40">
        <f>Базис_Ж_72/Базис_Ж_2</f>
        <v>2.0272076372315038</v>
      </c>
      <c r="AA28" s="40">
        <f>Базис_Ж_82/Базис_Ж_2</f>
        <v>2.6596658711217183</v>
      </c>
      <c r="AB28" s="40">
        <f>Базис_Ж_92/Базис_Ж_2</f>
        <v>2.7847255369928403</v>
      </c>
      <c r="AC28" s="40">
        <f>Базис_Ж_102/Базис_Ж_2</f>
        <v>1.6668257756563245</v>
      </c>
      <c r="AD28" s="40">
        <f>AD4/Базис_Ж_2</f>
        <v>0.87589498806682575</v>
      </c>
      <c r="AE28" s="40">
        <f>AE4/Базис_Ж_2</f>
        <v>1.7606856151008896</v>
      </c>
      <c r="AF28" s="40">
        <f>AF4/Базис_Ж_2</f>
        <v>2.7847255369928403</v>
      </c>
      <c r="AH28" s="19" t="s">
        <v>2</v>
      </c>
      <c r="AI28" s="24"/>
      <c r="AJ28" s="41">
        <f>Базис_М_12/Базис_М_2</f>
        <v>0.93189873417721514</v>
      </c>
      <c r="AK28" s="41">
        <f>Базис_М_22/Базис_М_2</f>
        <v>0.79822784810126579</v>
      </c>
      <c r="AL28" s="41">
        <f>Базис_М_32/Базис_М_2</f>
        <v>1.0741772151898734</v>
      </c>
      <c r="AM28" s="41">
        <f>Базис_М_42/Базис_М_2</f>
        <v>1.3536708860759494</v>
      </c>
      <c r="AN28" s="41">
        <f>Базис_М_52/Базис_М_2</f>
        <v>1.4650632911392405</v>
      </c>
      <c r="AO28" s="41">
        <f>Базис_М_62/Базис_М_2</f>
        <v>1.3794936708860759</v>
      </c>
      <c r="AP28" s="41">
        <f>Базис_М_72/Базис_М_2</f>
        <v>1.4316455696202532</v>
      </c>
      <c r="AQ28" s="41">
        <f>Базис_М_82/Базис_М_2</f>
        <v>2.0045569620253163</v>
      </c>
      <c r="AR28" s="41">
        <f>Базис_М_92/Базис_М_2</f>
        <v>2.0875949367088609</v>
      </c>
      <c r="AS28" s="41">
        <f>Базис_М_102/Базис_М_2</f>
        <v>1.2822784810126582</v>
      </c>
      <c r="AT28" s="41">
        <f>AT4/Базис_М_2</f>
        <v>0.79822784810126579</v>
      </c>
      <c r="AU28" s="41">
        <f>AU4/Базис_М_2</f>
        <v>1.3462370540851554</v>
      </c>
      <c r="AV28" s="41">
        <f>AV4/Базис_М_2</f>
        <v>2.0875949367088609</v>
      </c>
    </row>
    <row r="29" spans="2:48">
      <c r="B29" s="5" t="s">
        <v>3</v>
      </c>
      <c r="C29" s="22"/>
      <c r="D29" s="39">
        <f>Базис_13/Базис_3</f>
        <v>0.96226857276775257</v>
      </c>
      <c r="E29" s="39">
        <f>Базис_23/Базис_3</f>
        <v>1.0760878056401844</v>
      </c>
      <c r="F29" s="39">
        <f>Базис_33/Базис_3</f>
        <v>1.3132567768143113</v>
      </c>
      <c r="G29" s="39">
        <f>Базис_43/Базис_3</f>
        <v>1.8335286305757363</v>
      </c>
      <c r="H29" s="39">
        <f>Базис_53/Базис_3</f>
        <v>1.7750956956487773</v>
      </c>
      <c r="I29" s="39">
        <f>Базис_63/Базис_3</f>
        <v>1.7560346847902508</v>
      </c>
      <c r="J29" s="39">
        <f>Базис_73/Базис_3</f>
        <v>1.6960393719240685</v>
      </c>
      <c r="K29" s="39">
        <f>Базис_83/Базис_3</f>
        <v>1.5423795016014374</v>
      </c>
      <c r="L29" s="39">
        <f>Базис_93/Базис_3</f>
        <v>1.3450511678775097</v>
      </c>
      <c r="M29" s="39">
        <f>Базис_103/Базис_3</f>
        <v>0.96742441996719009</v>
      </c>
      <c r="N29" s="39">
        <f>N5/Базис_3</f>
        <v>0.96226857276775257</v>
      </c>
      <c r="O29" s="39">
        <f>O5/Базис_3</f>
        <v>1.3879242388733832</v>
      </c>
      <c r="P29" s="39">
        <f>P5/Базис_3</f>
        <v>1.8335286305757363</v>
      </c>
      <c r="R29" s="10" t="s">
        <v>3</v>
      </c>
      <c r="S29" s="23"/>
      <c r="T29" s="40">
        <f>Базис_Ж_13/Базис_Ж_3</f>
        <v>0.94996534996534998</v>
      </c>
      <c r="U29" s="40">
        <f>Базис_Ж_23/Базис_Ж_3</f>
        <v>1.0162162162162163</v>
      </c>
      <c r="V29" s="40">
        <f>Базис_Ж_33/Базис_Ж_3</f>
        <v>1.1135135135135135</v>
      </c>
      <c r="W29" s="40">
        <f>Базис_Ж_43/Базис_Ж_3</f>
        <v>1.5021483021483022</v>
      </c>
      <c r="X29" s="40">
        <f>Базис_Ж_53/Базис_Ж_3</f>
        <v>1.37006237006237</v>
      </c>
      <c r="Y29" s="40">
        <f>Базис_Ж_63/Базис_Ж_3</f>
        <v>1.2644490644490645</v>
      </c>
      <c r="Z29" s="40">
        <f>Базис_Ж_73/Базис_Ж_3</f>
        <v>1.1786555786555786</v>
      </c>
      <c r="AA29" s="40">
        <f>Базис_Ж_83/Базис_Ж_3</f>
        <v>1.0595980595980596</v>
      </c>
      <c r="AB29" s="40">
        <f>Базис_Ж_93/Базис_Ж_3</f>
        <v>0.88454608454608452</v>
      </c>
      <c r="AC29" s="40">
        <f>Базис_Ж_103/Базис_Ж_3</f>
        <v>0.67428967428967423</v>
      </c>
      <c r="AD29" s="40">
        <f>AD5/Базис_Ж_3</f>
        <v>0.67428967428967423</v>
      </c>
      <c r="AE29" s="40">
        <f>AE5/Базис_Ж_3</f>
        <v>1.0921312921312922</v>
      </c>
      <c r="AF29" s="40">
        <f>AF5/Базис_Ж_3</f>
        <v>1.5021483021483022</v>
      </c>
      <c r="AH29" s="19" t="s">
        <v>3</v>
      </c>
      <c r="AI29" s="24"/>
      <c r="AJ29" s="41">
        <f>Базис_М_13/Базис_М_3</f>
        <v>0.97815968492660221</v>
      </c>
      <c r="AK29" s="41">
        <f>Базис_М_23/Базис_М_3</f>
        <v>1.1534192624418189</v>
      </c>
      <c r="AL29" s="41">
        <f>Базис_М_33/Базис_М_3</f>
        <v>1.57124955245256</v>
      </c>
      <c r="AM29" s="41">
        <f>Базис_М_43/Базис_М_3</f>
        <v>2.2615467239527391</v>
      </c>
      <c r="AN29" s="41">
        <f>Базис_М_53/Базис_М_3</f>
        <v>2.2982456140350878</v>
      </c>
      <c r="AO29" s="41">
        <f>Базис_М_63/Базис_М_3</f>
        <v>2.3909774436090228</v>
      </c>
      <c r="AP29" s="41">
        <f>Базис_М_73/Базис_М_3</f>
        <v>2.3643036161833155</v>
      </c>
      <c r="AQ29" s="41">
        <f>Базис_М_83/Базис_М_3</f>
        <v>2.1659505907626206</v>
      </c>
      <c r="AR29" s="41">
        <f>Базис_М_93/Базис_М_3</f>
        <v>1.9398496240601504</v>
      </c>
      <c r="AS29" s="41">
        <f>Базис_М_103/Базис_М_3</f>
        <v>1.3460436806301468</v>
      </c>
      <c r="AT29" s="41">
        <f>AT5/Базис_М_3</f>
        <v>0.97815968492660221</v>
      </c>
      <c r="AU29" s="41">
        <f>AU5/Базис_М_3</f>
        <v>1.7699768902776423</v>
      </c>
      <c r="AV29" s="41">
        <f>AV5/Базис_М_3</f>
        <v>2.3909774436090228</v>
      </c>
    </row>
    <row r="30" spans="2:48">
      <c r="B30" s="5" t="s">
        <v>4</v>
      </c>
      <c r="C30" s="22"/>
      <c r="D30" s="39">
        <f>Базис_14/Базис_4</f>
        <v>1.0534921747255315</v>
      </c>
      <c r="E30" s="39">
        <f>Базис_24/Базис_4</f>
        <v>1.0885307171221676</v>
      </c>
      <c r="F30" s="39">
        <f>Базис_34/Базис_4</f>
        <v>0.98037841625788369</v>
      </c>
      <c r="G30" s="39">
        <f>Базис_44/Базис_4</f>
        <v>0.98154636767110492</v>
      </c>
      <c r="H30" s="39">
        <f>Базис_54/Базис_4</f>
        <v>1.0091100210231254</v>
      </c>
      <c r="I30" s="39">
        <f>Базис_64/Базис_4</f>
        <v>1.0490539593552908</v>
      </c>
      <c r="J30" s="39">
        <f>Базис_74/Базис_4</f>
        <v>0.99065638869423034</v>
      </c>
      <c r="K30" s="39">
        <f>Базис_84/Базис_4</f>
        <v>0.87199252511095537</v>
      </c>
      <c r="L30" s="39">
        <f>Базис_94/Базис_4</f>
        <v>0.64494277038075221</v>
      </c>
      <c r="M30" s="39">
        <f>Базис_104/Базис_4</f>
        <v>0.52441018453632327</v>
      </c>
      <c r="N30" s="39">
        <f>N6/Базис_4</f>
        <v>0.52441018453632327</v>
      </c>
      <c r="O30" s="39">
        <f>O6/Базис_4</f>
        <v>0.92673759317066962</v>
      </c>
      <c r="P30" s="39">
        <f>P6/Базис_4</f>
        <v>1.0885307171221676</v>
      </c>
      <c r="R30" s="10" t="s">
        <v>16</v>
      </c>
      <c r="S30" s="23"/>
      <c r="T30" s="40">
        <f>Базис_Ж_14/Базис_Ж_4</f>
        <v>1.0228085867620751</v>
      </c>
      <c r="U30" s="40">
        <f>Базис_Ж_24/Базис_Ж_4</f>
        <v>1.0688729874776386</v>
      </c>
      <c r="V30" s="40">
        <f>Базис_Ж_34/Базис_Ж_4</f>
        <v>1.0496422182468694</v>
      </c>
      <c r="W30" s="40">
        <f>Базис_Ж_44/Базис_Ж_4</f>
        <v>1.0308586762075134</v>
      </c>
      <c r="X30" s="40">
        <f>Базис_Ж_54/Базис_Ж_4</f>
        <v>1.0313059033989267</v>
      </c>
      <c r="Y30" s="40">
        <f>Базис_Ж_64/Базис_Ж_4</f>
        <v>1.058139534883721</v>
      </c>
      <c r="Z30" s="40">
        <f>Базис_Ж_74/Базис_Ж_4</f>
        <v>1.0205724508050089</v>
      </c>
      <c r="AA30" s="40">
        <f>Базис_Ж_84/Базис_Ж_4</f>
        <v>0.8823792486583184</v>
      </c>
      <c r="AB30" s="40">
        <f>Базис_Ж_94/Базис_Ж_4</f>
        <v>0.6896243291592129</v>
      </c>
      <c r="AC30" s="40">
        <f>Базис_Ж_104/Базис_Ж_4</f>
        <v>0.52683363148479423</v>
      </c>
      <c r="AD30" s="40">
        <f>AD6/Базис_Ж_4</f>
        <v>0.52683363148479423</v>
      </c>
      <c r="AE30" s="40">
        <f>AE6/Базис_Ж_4</f>
        <v>0.94373068791673431</v>
      </c>
      <c r="AF30" s="40">
        <f>AF6/Базис_Ж_4</f>
        <v>1.0688729874776386</v>
      </c>
      <c r="AH30" s="19" t="s">
        <v>16</v>
      </c>
      <c r="AI30" s="24"/>
      <c r="AJ30" s="41">
        <f>Базис_М_14/Базис_М_4</f>
        <v>1.0870415647921761</v>
      </c>
      <c r="AK30" s="41">
        <f>Базис_М_24/Базис_М_4</f>
        <v>1.1100244498777505</v>
      </c>
      <c r="AL30" s="41">
        <f>Базис_М_34/Базис_М_4</f>
        <v>0.90464547677261609</v>
      </c>
      <c r="AM30" s="41">
        <f>Базис_М_44/Базис_М_4</f>
        <v>0.92762836185819075</v>
      </c>
      <c r="AN30" s="41">
        <f>Базис_М_54/Базис_М_4</f>
        <v>0.98484107579462099</v>
      </c>
      <c r="AO30" s="41">
        <f>Базис_М_64/Базис_М_4</f>
        <v>1.039119804400978</v>
      </c>
      <c r="AP30" s="41">
        <f>Базис_М_74/Базис_М_4</f>
        <v>0.95794621026894866</v>
      </c>
      <c r="AQ30" s="41">
        <f>Базис_М_84/Базис_М_4</f>
        <v>0.86063569682151586</v>
      </c>
      <c r="AR30" s="41">
        <f>Базис_М_94/Базис_М_4</f>
        <v>0.5960880195599022</v>
      </c>
      <c r="AS30" s="41">
        <f>Базис_М_104/Базис_М_4</f>
        <v>0.52176039119804396</v>
      </c>
      <c r="AT30" s="41">
        <f>AT6/Базис_М_4</f>
        <v>0.52176039119804396</v>
      </c>
      <c r="AU30" s="41">
        <f>AU6/Базис_М_4</f>
        <v>0.90815736830406757</v>
      </c>
      <c r="AV30" s="41">
        <f>AV6/Базис_М_4</f>
        <v>1.1100244498777505</v>
      </c>
    </row>
    <row r="31" spans="2:48">
      <c r="B31" s="5" t="s">
        <v>5</v>
      </c>
      <c r="C31" s="22"/>
      <c r="D31" s="39">
        <f>Базис_15/Базис_5</f>
        <v>0.88256343526350034</v>
      </c>
      <c r="E31" s="39">
        <f>Базис_25/Базис_5</f>
        <v>0.88516590761223157</v>
      </c>
      <c r="F31" s="39">
        <f>Базис_35/Базис_5</f>
        <v>0.66476903057905012</v>
      </c>
      <c r="G31" s="39">
        <f>Базис_45/Базис_5</f>
        <v>0.66167859466493173</v>
      </c>
      <c r="H31" s="39">
        <f>Базис_55/Базис_5</f>
        <v>0.46811971372804162</v>
      </c>
      <c r="I31" s="39">
        <f>Базис_65/Базис_5</f>
        <v>0.46405335068314901</v>
      </c>
      <c r="J31" s="39">
        <f>Базис_75/Базис_5</f>
        <v>0.45234222511385819</v>
      </c>
      <c r="K31" s="39">
        <f>Базис_85/Базис_5</f>
        <v>0.40370852309694211</v>
      </c>
      <c r="L31" s="39">
        <f>Базис_95/Базис_5</f>
        <v>0.32156798959011063</v>
      </c>
      <c r="M31" s="39">
        <f>Базис_105/Базис_5</f>
        <v>0.25374105400130126</v>
      </c>
      <c r="N31" s="39">
        <f>N7/Базис_5</f>
        <v>0.25374105400130126</v>
      </c>
      <c r="O31" s="39">
        <f>O7/Базис_5</f>
        <v>0.58706452948482879</v>
      </c>
      <c r="P31" s="39">
        <f>P7/Базис_5</f>
        <v>1</v>
      </c>
      <c r="R31" s="10" t="s">
        <v>17</v>
      </c>
      <c r="S31" s="23"/>
      <c r="T31" s="40">
        <f>Базис_Ж_15/Базис_Ж_5</f>
        <v>0.93258093258093255</v>
      </c>
      <c r="U31" s="40">
        <f>Базис_Ж_25/Базис_Ж_5</f>
        <v>0.95663795663795659</v>
      </c>
      <c r="V31" s="40">
        <f>Базис_Ж_35/Базис_Ж_5</f>
        <v>0.7570537570537571</v>
      </c>
      <c r="W31" s="40">
        <f>Базис_Ж_45/Базис_Ж_5</f>
        <v>0.64805464805464807</v>
      </c>
      <c r="X31" s="40">
        <f>Базис_Ж_55/Базис_Ж_5</f>
        <v>0.42174042174042176</v>
      </c>
      <c r="Y31" s="40">
        <f>Базис_Ж_65/Базис_Ж_5</f>
        <v>0.41639441639441638</v>
      </c>
      <c r="Z31" s="40">
        <f>Базис_Ж_75/Базис_Ж_5</f>
        <v>0.41134541134541136</v>
      </c>
      <c r="AA31" s="40">
        <f>Базис_Ж_85/Базис_Ж_5</f>
        <v>0.36501336501336501</v>
      </c>
      <c r="AB31" s="40">
        <f>Базис_Ж_95/Базис_Ж_5</f>
        <v>0.29551529551529554</v>
      </c>
      <c r="AC31" s="40">
        <f>Базис_Ж_105/Базис_Ж_5</f>
        <v>0.23552123552123552</v>
      </c>
      <c r="AD31" s="40">
        <f>AD7/Базис_Ж_5</f>
        <v>0.23552123552123552</v>
      </c>
      <c r="AE31" s="40">
        <f>AE7/Базис_Ж_5</f>
        <v>0.58544158544158542</v>
      </c>
      <c r="AF31" s="40">
        <f>AF7/Базис_Ж_5</f>
        <v>1</v>
      </c>
      <c r="AH31" s="19" t="s">
        <v>17</v>
      </c>
      <c r="AI31" s="24"/>
      <c r="AJ31" s="41">
        <f>Базис_М_15/Базис_М_5</f>
        <v>0.82200647249190939</v>
      </c>
      <c r="AK31" s="41">
        <f>Базис_М_25/Базис_М_5</f>
        <v>0.79863358504135207</v>
      </c>
      <c r="AL31" s="41">
        <f>Базис_М_35/Базис_М_5</f>
        <v>0.55303847536857242</v>
      </c>
      <c r="AM31" s="41">
        <f>Базис_М_45/Базис_М_5</f>
        <v>0.67817331895001798</v>
      </c>
      <c r="AN31" s="41">
        <f>Базис_М_55/Базис_М_5</f>
        <v>0.52427184466019416</v>
      </c>
      <c r="AO31" s="41">
        <f>Базис_М_65/Базис_М_5</f>
        <v>0.52175476447321112</v>
      </c>
      <c r="AP31" s="41">
        <f>Базис_М_75/Базис_М_5</f>
        <v>0.50197770586120105</v>
      </c>
      <c r="AQ31" s="41">
        <f>Базис_М_85/Базис_М_5</f>
        <v>0.45055735346997483</v>
      </c>
      <c r="AR31" s="41">
        <f>Базис_М_95/Базис_М_5</f>
        <v>0.35311039194534338</v>
      </c>
      <c r="AS31" s="41">
        <f>Базис_М_105/Базис_М_5</f>
        <v>0.27580007191657679</v>
      </c>
      <c r="AT31" s="41">
        <f>AT7/Базис_М_5</f>
        <v>0.27580007191657679</v>
      </c>
      <c r="AU31" s="41">
        <f>AU7/Базис_М_5</f>
        <v>0.58902945310712296</v>
      </c>
      <c r="AV31" s="41">
        <f>AV7/Базис_М_5</f>
        <v>1</v>
      </c>
    </row>
    <row r="32" spans="2:48">
      <c r="B32" s="5" t="s">
        <v>6</v>
      </c>
      <c r="C32" s="22"/>
      <c r="D32" s="39">
        <f>Базис_16/Базис_6</f>
        <v>0.93870859256768113</v>
      </c>
      <c r="E32" s="39">
        <f>Базис_26/Базис_6</f>
        <v>0.92239784765427946</v>
      </c>
      <c r="F32" s="39">
        <f>Базис_36/Базис_6</f>
        <v>0.98570707919959644</v>
      </c>
      <c r="G32" s="39">
        <f>Базис_46/Базис_6</f>
        <v>1.3085589372793005</v>
      </c>
      <c r="H32" s="39">
        <f>Базис_56/Базис_6</f>
        <v>1.6377164957121237</v>
      </c>
      <c r="I32" s="39">
        <f>Базис_66/Базис_6</f>
        <v>1.6795863460568354</v>
      </c>
      <c r="J32" s="39">
        <f>Базис_76/Базис_6</f>
        <v>1.6347738355473347</v>
      </c>
      <c r="K32" s="39">
        <f>Базис_86/Базис_6</f>
        <v>1.476038338658147</v>
      </c>
      <c r="L32" s="39">
        <f>Базис_96/Базис_6</f>
        <v>1.3768286531024045</v>
      </c>
      <c r="M32" s="39">
        <f>Базис_106/Базис_6</f>
        <v>1.1779048259626703</v>
      </c>
      <c r="N32" s="39">
        <f>N8/Базис_6</f>
        <v>0.92239784765427946</v>
      </c>
      <c r="O32" s="39">
        <f>O8/Базис_6</f>
        <v>1.2852928137945794</v>
      </c>
      <c r="P32" s="39">
        <f>P8/Базис_6</f>
        <v>1.6795863460568354</v>
      </c>
      <c r="R32" s="10" t="s">
        <v>6</v>
      </c>
      <c r="S32" s="23"/>
      <c r="T32" s="40">
        <f>Базис_Ж_16/Базис_Ж_6</f>
        <v>0.9825125628140704</v>
      </c>
      <c r="U32" s="40">
        <f>Базис_Ж_26/Базис_Ж_6</f>
        <v>1.0305527638190954</v>
      </c>
      <c r="V32" s="40">
        <f>Базис_Ж_36/Базис_Ж_6</f>
        <v>1.0846231155778894</v>
      </c>
      <c r="W32" s="40">
        <f>Базис_Ж_46/Базис_Ж_6</f>
        <v>1.5077386934673367</v>
      </c>
      <c r="X32" s="40">
        <f>Базис_Ж_56/Базис_Ж_6</f>
        <v>1.7370854271356784</v>
      </c>
      <c r="Y32" s="40">
        <f>Базис_Ж_66/Базис_Ж_6</f>
        <v>1.7581909547738694</v>
      </c>
      <c r="Z32" s="40">
        <f>Базис_Ж_76/Базис_Ж_6</f>
        <v>1.625929648241206</v>
      </c>
      <c r="AA32" s="40">
        <f>Базис_Ж_86/Базис_Ж_6</f>
        <v>1.4404020100502513</v>
      </c>
      <c r="AB32" s="40">
        <f>Базис_Ж_96/Базис_Ж_6</f>
        <v>1.3485427135678392</v>
      </c>
      <c r="AC32" s="40">
        <f>Базис_Ж_106/Базис_Ж_6</f>
        <v>1.145929648241206</v>
      </c>
      <c r="AD32" s="40">
        <f>AD8/Базис_Ж_6</f>
        <v>0.9825125628140704</v>
      </c>
      <c r="AE32" s="40">
        <f>AE8/Базис_Ж_6</f>
        <v>1.3328643216080402</v>
      </c>
      <c r="AF32" s="40">
        <f>AF8/Базис_Ж_6</f>
        <v>1.7581909547738694</v>
      </c>
      <c r="AH32" s="19" t="s">
        <v>6</v>
      </c>
      <c r="AI32" s="24"/>
      <c r="AJ32" s="41">
        <f>Базис_М_16/Базис_М_6</f>
        <v>0.9072120248590837</v>
      </c>
      <c r="AK32" s="41">
        <f>Базис_М_26/Базис_М_6</f>
        <v>0.84463072698366815</v>
      </c>
      <c r="AL32" s="41">
        <f>Базис_М_36/Базис_М_6</f>
        <v>0.91458303223009108</v>
      </c>
      <c r="AM32" s="41">
        <f>Базис_М_46/Базис_М_6</f>
        <v>1.1653418124006358</v>
      </c>
      <c r="AN32" s="41">
        <f>Базис_М_56/Базис_М_6</f>
        <v>1.5662668015609191</v>
      </c>
      <c r="AO32" s="41">
        <f>Базис_М_66/Базис_М_6</f>
        <v>1.6230669171845642</v>
      </c>
      <c r="AP32" s="41">
        <f>Базис_М_76/Базис_М_6</f>
        <v>1.641133111721347</v>
      </c>
      <c r="AQ32" s="41">
        <f>Базис_М_86/Базис_М_6</f>
        <v>1.501662089897384</v>
      </c>
      <c r="AR32" s="41">
        <f>Базис_М_96/Базис_М_6</f>
        <v>1.3971672206966324</v>
      </c>
      <c r="AS32" s="41">
        <f>Базис_М_106/Базис_М_6</f>
        <v>1.2008960832490245</v>
      </c>
      <c r="AT32" s="41">
        <f>AT8/Базис_М_6</f>
        <v>0.84463072698366815</v>
      </c>
      <c r="AU32" s="41">
        <f>AU8/Базис_М_6</f>
        <v>1.2510872564348501</v>
      </c>
      <c r="AV32" s="41">
        <f>AV8/Базис_М_6</f>
        <v>1.641133111721347</v>
      </c>
    </row>
    <row r="33" spans="2:48">
      <c r="B33" s="5" t="s">
        <v>7</v>
      </c>
      <c r="C33" s="22"/>
      <c r="D33" s="39">
        <f>Базис_17/Базис_7</f>
        <v>1.0049188391539596</v>
      </c>
      <c r="E33" s="39">
        <f>Базис_27/Базис_7</f>
        <v>1.1254303984259715</v>
      </c>
      <c r="F33" s="39">
        <f>Базис_37/Базис_7</f>
        <v>1.1214953271028036</v>
      </c>
      <c r="G33" s="39">
        <f>Базис_47/Базис_7</f>
        <v>1.3885882931628135</v>
      </c>
      <c r="H33" s="39">
        <f>Базис_57/Базис_7</f>
        <v>1.484997540580423</v>
      </c>
      <c r="I33" s="39">
        <f>Базис_67/Базис_7</f>
        <v>1.5002459419576979</v>
      </c>
      <c r="J33" s="39">
        <f>Базис_77/Базис_7</f>
        <v>1.5322183964584357</v>
      </c>
      <c r="K33" s="39">
        <f>Базис_87/Базис_7</f>
        <v>1.5666502705361536</v>
      </c>
      <c r="L33" s="39">
        <f>Базис_97/Базис_7</f>
        <v>1.6104279390063945</v>
      </c>
      <c r="M33" s="39">
        <f>Базис_107/Базис_7</f>
        <v>1.2970978848991639</v>
      </c>
      <c r="N33" s="39">
        <f>N9/Базис_7</f>
        <v>1</v>
      </c>
      <c r="O33" s="39">
        <f>O9/Базис_7</f>
        <v>1.3301882573894379</v>
      </c>
      <c r="P33" s="39">
        <f>P9/Базис_7</f>
        <v>1.6104279390063945</v>
      </c>
      <c r="R33" s="10" t="s">
        <v>7</v>
      </c>
      <c r="S33" s="23"/>
      <c r="T33" s="40">
        <f>Базис_Ж_17/Базис_Ж_7</f>
        <v>1.0989624900239425</v>
      </c>
      <c r="U33" s="40">
        <f>Базис_Ж_27/Базис_Ж_7</f>
        <v>1.2051077414205906</v>
      </c>
      <c r="V33" s="40">
        <f>Базис_Ж_37/Базис_Ж_7</f>
        <v>1.241021548284118</v>
      </c>
      <c r="W33" s="40">
        <f>Базис_Ж_47/Базис_Ж_7</f>
        <v>1.4205905826017557</v>
      </c>
      <c r="X33" s="40">
        <f>Базис_Ж_57/Базис_Ж_7</f>
        <v>1.4429369513168395</v>
      </c>
      <c r="Y33" s="40">
        <f>Базис_Ж_67/Базис_Ж_7</f>
        <v>1.3407821229050279</v>
      </c>
      <c r="Z33" s="40">
        <f>Базис_Ж_77/Базис_Ж_7</f>
        <v>1.2729449321628092</v>
      </c>
      <c r="AA33" s="40">
        <f>Базис_Ж_87/Базис_Ж_7</f>
        <v>1.2426177174780526</v>
      </c>
      <c r="AB33" s="40">
        <f>Базис_Ж_97/Базис_Ж_7</f>
        <v>1.2825219473264167</v>
      </c>
      <c r="AC33" s="40">
        <f>Базис_Ж_107/Базис_Ж_7</f>
        <v>1.0287310454908221</v>
      </c>
      <c r="AD33" s="40">
        <f>AD9/Базис_Ж_7</f>
        <v>1</v>
      </c>
      <c r="AE33" s="40">
        <f>AE9/Базис_Ж_7</f>
        <v>1.2342015526373069</v>
      </c>
      <c r="AF33" s="40">
        <f>AF9/Базис_Ж_7</f>
        <v>1.4429369513168395</v>
      </c>
      <c r="AH33" s="19" t="s">
        <v>7</v>
      </c>
      <c r="AI33" s="24"/>
      <c r="AJ33" s="41">
        <f>Базис_М_17/Базис_М_7</f>
        <v>0.85384615384615381</v>
      </c>
      <c r="AK33" s="41">
        <f>Базис_М_27/Базис_М_7</f>
        <v>0.99743589743589745</v>
      </c>
      <c r="AL33" s="41">
        <f>Базис_М_37/Базис_М_7</f>
        <v>0.92948717948717952</v>
      </c>
      <c r="AM33" s="41">
        <f>Базис_М_47/Базис_М_7</f>
        <v>1.3371794871794871</v>
      </c>
      <c r="AN33" s="41">
        <f>Базис_М_57/Базис_М_7</f>
        <v>1.5525641025641026</v>
      </c>
      <c r="AO33" s="41">
        <f>Базис_М_67/Базис_М_7</f>
        <v>1.7564102564102564</v>
      </c>
      <c r="AP33" s="41">
        <f>Базис_М_77/Базис_М_7</f>
        <v>1.9487179487179487</v>
      </c>
      <c r="AQ33" s="41">
        <f>Базис_М_87/Базис_М_7</f>
        <v>2.0871794871794873</v>
      </c>
      <c r="AR33" s="41">
        <f>Базис_М_97/Базис_М_7</f>
        <v>2.1371794871794871</v>
      </c>
      <c r="AS33" s="41">
        <f>Базис_М_107/Базис_М_7</f>
        <v>1.7282051282051283</v>
      </c>
      <c r="AT33" s="41">
        <f>AT9/Базис_М_7</f>
        <v>0.85384615384615381</v>
      </c>
      <c r="AU33" s="41">
        <f>AU9/Базис_М_7</f>
        <v>1.4843822843822843</v>
      </c>
      <c r="AV33" s="41">
        <f>AV9/Базис_М_7</f>
        <v>2.1371794871794871</v>
      </c>
    </row>
    <row r="34" spans="2:48">
      <c r="B34" s="5" t="s">
        <v>8</v>
      </c>
      <c r="C34" s="22"/>
      <c r="D34" s="39">
        <f>Базис_18/Базис_8</f>
        <v>0.95803942846807744</v>
      </c>
      <c r="E34" s="39">
        <f>Базис_28/Базис_8</f>
        <v>0.92494121902694881</v>
      </c>
      <c r="F34" s="39">
        <f>Базис_38/Базис_8</f>
        <v>0.8797250859106529</v>
      </c>
      <c r="G34" s="39">
        <f>Базис_48/Базис_8</f>
        <v>0.79580394284680778</v>
      </c>
      <c r="H34" s="39">
        <f>Базис_58/Базис_8</f>
        <v>0.75149213239283774</v>
      </c>
      <c r="I34" s="39">
        <f>Базис_68/Базис_8</f>
        <v>0.87339482727437145</v>
      </c>
      <c r="J34" s="39">
        <f>Базис_78/Базис_8</f>
        <v>0.97956230783143428</v>
      </c>
      <c r="K34" s="39">
        <f>Базис_88/Базис_8</f>
        <v>0.93235666485802138</v>
      </c>
      <c r="L34" s="39">
        <f>Базис_98/Базис_8</f>
        <v>0.66178332429010667</v>
      </c>
      <c r="M34" s="39">
        <f>Базис_108/Базис_8</f>
        <v>0.39735937782600833</v>
      </c>
      <c r="N34" s="39">
        <f>N10/Базис_8</f>
        <v>0.39735937782600833</v>
      </c>
      <c r="O34" s="39">
        <f>O10/Базис_8</f>
        <v>0.83222348279320602</v>
      </c>
      <c r="P34" s="39">
        <f>P10/Базис_8</f>
        <v>1</v>
      </c>
      <c r="R34" s="10" t="s">
        <v>8</v>
      </c>
      <c r="S34" s="23"/>
      <c r="T34" s="40">
        <f>Базис_Ж_18/Базис_Ж_8</f>
        <v>0.93704459341299917</v>
      </c>
      <c r="U34" s="40">
        <f>Базис_Ж_28/Базис_Ж_8</f>
        <v>0.86913436315942871</v>
      </c>
      <c r="V34" s="40">
        <f>Базис_Ж_38/Базис_Ж_8</f>
        <v>0.83998834159137281</v>
      </c>
      <c r="W34" s="40">
        <f>Базис_Ж_48/Базис_Ж_8</f>
        <v>0.75109297580880208</v>
      </c>
      <c r="X34" s="40">
        <f>Базис_Ж_58/Базис_Ж_8</f>
        <v>0.65316234334013412</v>
      </c>
      <c r="Y34" s="40">
        <f>Базис_Ж_68/Базис_Ж_8</f>
        <v>0.74934421451471878</v>
      </c>
      <c r="Z34" s="40">
        <f>Базис_Ж_78/Базис_Ж_8</f>
        <v>0.82220926843485864</v>
      </c>
      <c r="AA34" s="40">
        <f>Базис_Ж_88/Базис_Ж_8</f>
        <v>0.75284173710288549</v>
      </c>
      <c r="AB34" s="40">
        <f>Базис_Ж_98/Базис_Ж_8</f>
        <v>0.57038764208685511</v>
      </c>
      <c r="AC34" s="40">
        <f>Базис_Ж_108/Базис_Ж_8</f>
        <v>0.37977266103176915</v>
      </c>
      <c r="AD34" s="40">
        <f>AD10/Базис_Ж_8</f>
        <v>0.37977266103176915</v>
      </c>
      <c r="AE34" s="40">
        <f>AE10/Базис_Ж_8</f>
        <v>0.7568161945894385</v>
      </c>
      <c r="AF34" s="40">
        <f>AF10/Базис_Ж_8</f>
        <v>1</v>
      </c>
      <c r="AH34" s="19" t="s">
        <v>8</v>
      </c>
      <c r="AI34" s="24"/>
      <c r="AJ34" s="41">
        <f>Базис_М_18/Базис_М_8</f>
        <v>0.99237368922783609</v>
      </c>
      <c r="AK34" s="41">
        <f>Базис_М_28/Базис_М_8</f>
        <v>1.0162059103908485</v>
      </c>
      <c r="AL34" s="41">
        <f>Базис_М_38/Базис_М_8</f>
        <v>0.94470924690181124</v>
      </c>
      <c r="AM34" s="41">
        <f>Базис_М_48/Базис_М_8</f>
        <v>0.86892278360343189</v>
      </c>
      <c r="AN34" s="41">
        <f>Базис_М_58/Базис_М_8</f>
        <v>0.91229742612011444</v>
      </c>
      <c r="AO34" s="41">
        <f>Базис_М_68/Базис_М_8</f>
        <v>1.0762631077216396</v>
      </c>
      <c r="AP34" s="41">
        <f>Базис_М_78/Базис_М_8</f>
        <v>1.2368922783603431</v>
      </c>
      <c r="AQ34" s="41">
        <f>Базис_М_88/Базис_М_8</f>
        <v>1.2259294566253576</v>
      </c>
      <c r="AR34" s="41">
        <f>Базис_М_98/Базис_М_8</f>
        <v>0.81124880838894187</v>
      </c>
      <c r="AS34" s="41">
        <f>Базис_М_108/Базис_М_8</f>
        <v>0.42612011439466158</v>
      </c>
      <c r="AT34" s="41">
        <f>AT10/Базис_М_8</f>
        <v>0.42612011439466158</v>
      </c>
      <c r="AU34" s="41">
        <f>AU10/Базис_М_8</f>
        <v>0.95554207470318053</v>
      </c>
      <c r="AV34" s="41">
        <f>AV10/Базис_М_8</f>
        <v>1.2368922783603431</v>
      </c>
    </row>
    <row r="35" spans="2:48">
      <c r="B35" s="5" t="s">
        <v>9</v>
      </c>
      <c r="C35" s="22"/>
      <c r="D35" s="39">
        <f>Базис_19/Базис_9</f>
        <v>0.94231820667031163</v>
      </c>
      <c r="E35" s="39">
        <f>Базис_29/Базис_9</f>
        <v>0.81014215418261348</v>
      </c>
      <c r="F35" s="39">
        <f>Базис_39/Базис_9</f>
        <v>0.69409513395297973</v>
      </c>
      <c r="G35" s="39">
        <f>Базис_49/Базис_9</f>
        <v>0.6914980863860033</v>
      </c>
      <c r="H35" s="39">
        <f>Базис_59/Базис_9</f>
        <v>0.81164570803717884</v>
      </c>
      <c r="I35" s="39">
        <f>Базис_69/Базис_9</f>
        <v>0.81082558775287039</v>
      </c>
      <c r="J35" s="39">
        <f>Базис_79/Базис_9</f>
        <v>0.82066703116457085</v>
      </c>
      <c r="K35" s="39">
        <f>Базис_89/Базис_9</f>
        <v>0.8574357572443958</v>
      </c>
      <c r="L35" s="39">
        <f>Базис_99/Базис_9</f>
        <v>0.7285401858939311</v>
      </c>
      <c r="M35" s="39">
        <f>Базис_109/Базис_9</f>
        <v>0.58911973756150904</v>
      </c>
      <c r="N35" s="39">
        <f>N11/Базис_9</f>
        <v>0.58911973756150904</v>
      </c>
      <c r="O35" s="39">
        <f>O11/Базис_9</f>
        <v>0.79602614444057862</v>
      </c>
      <c r="P35" s="39">
        <f>P11/Базис_9</f>
        <v>1</v>
      </c>
      <c r="R35" s="10" t="s">
        <v>9</v>
      </c>
      <c r="S35" s="23"/>
      <c r="T35" s="40">
        <f>Базис_Ж_19/Базис_Ж_9</f>
        <v>0.97192315811695162</v>
      </c>
      <c r="U35" s="40">
        <f>Базис_Ж_29/Базис_Ж_9</f>
        <v>0.82541693054675958</v>
      </c>
      <c r="V35" s="40">
        <f>Базис_Ж_39/Базис_Ж_9</f>
        <v>0.71838716487228205</v>
      </c>
      <c r="W35" s="40">
        <f>Базис_Ж_49/Базис_Ж_9</f>
        <v>0.71690943635212157</v>
      </c>
      <c r="X35" s="40">
        <f>Базис_Ж_59/Базис_Ж_9</f>
        <v>0.81085074941946378</v>
      </c>
      <c r="Y35" s="40">
        <f>Базис_Ж_69/Базис_Ж_9</f>
        <v>0.8081063964534515</v>
      </c>
      <c r="Z35" s="40">
        <f>Базис_Ж_79/Базис_Ж_9</f>
        <v>0.7817183871648723</v>
      </c>
      <c r="AA35" s="40">
        <f>Базис_Ж_89/Базис_Ж_9</f>
        <v>0.82225036943213003</v>
      </c>
      <c r="AB35" s="40">
        <f>Базис_Ж_99/Базис_Ж_9</f>
        <v>0.70508760819083804</v>
      </c>
      <c r="AC35" s="40">
        <f>Базис_Ж_109/Базис_Ж_9</f>
        <v>0.58222503694321304</v>
      </c>
      <c r="AD35" s="40">
        <f>AD11/Базис_Ж_9</f>
        <v>0.58222503694321304</v>
      </c>
      <c r="AE35" s="40">
        <f>AE11/Базис_Ж_9</f>
        <v>0.79480683977200761</v>
      </c>
      <c r="AF35" s="40">
        <f>AF11/Базис_Ж_9</f>
        <v>1</v>
      </c>
      <c r="AH35" s="19" t="s">
        <v>9</v>
      </c>
      <c r="AI35" s="24"/>
      <c r="AJ35" s="41">
        <f>Базис_М_19/Базис_М_9</f>
        <v>0.88794106242729742</v>
      </c>
      <c r="AK35" s="41">
        <f>Базис_М_29/Базис_М_9</f>
        <v>0.78208607987592094</v>
      </c>
      <c r="AL35" s="41">
        <f>Базис_М_39/Базис_М_9</f>
        <v>0.64947654129507559</v>
      </c>
      <c r="AM35" s="41">
        <f>Базис_М_49/Базис_М_9</f>
        <v>0.64482357502908105</v>
      </c>
      <c r="AN35" s="41">
        <f>Базис_М_59/Базис_М_9</f>
        <v>0.81310585498255139</v>
      </c>
      <c r="AO35" s="41">
        <f>Базис_М_69/Базис_М_9</f>
        <v>0.81582008530438155</v>
      </c>
      <c r="AP35" s="41">
        <f>Базис_М_79/Базис_М_9</f>
        <v>0.89220628150445913</v>
      </c>
      <c r="AQ35" s="41">
        <f>Базис_М_89/Базис_М_9</f>
        <v>0.92206281504459098</v>
      </c>
      <c r="AR35" s="41">
        <f>Базис_М_99/Базис_М_9</f>
        <v>0.77161690577743314</v>
      </c>
      <c r="AS35" s="41">
        <f>Базис_М_109/Базис_М_9</f>
        <v>0.60178363706863125</v>
      </c>
      <c r="AT35" s="41">
        <f>AT11/Базис_М_9</f>
        <v>0.60178363706863125</v>
      </c>
      <c r="AU35" s="41">
        <f>AU11/Базис_М_9</f>
        <v>0.79826571257358381</v>
      </c>
      <c r="AV35" s="41">
        <f>AV11/Базис_М_9</f>
        <v>1</v>
      </c>
    </row>
    <row r="36" spans="2:48">
      <c r="B36" s="5" t="s">
        <v>10</v>
      </c>
      <c r="C36" s="22"/>
      <c r="D36" s="39">
        <f>Базис_20/Базис_10</f>
        <v>1.1127785356980446</v>
      </c>
      <c r="E36" s="39">
        <f>Базис_30/Базис_10</f>
        <v>1.0977717144156436</v>
      </c>
      <c r="F36" s="39">
        <f>Базис_40/Базис_10</f>
        <v>1.0322874033651659</v>
      </c>
      <c r="G36" s="39">
        <f>Базис_50/Базис_10</f>
        <v>1.0586630286493861</v>
      </c>
      <c r="H36" s="39">
        <f>Базис_60/Базис_10</f>
        <v>1.2110050022737608</v>
      </c>
      <c r="I36" s="39">
        <f>Базис_70/Базис_10</f>
        <v>1.4056389267849023</v>
      </c>
      <c r="J36" s="39">
        <f>Базис_80/Базис_10</f>
        <v>1.5261482492041838</v>
      </c>
      <c r="K36" s="39">
        <f>Базис_90/Базис_10</f>
        <v>1.3938153706230105</v>
      </c>
      <c r="L36" s="39">
        <f>Базис_100/Базис_10</f>
        <v>1.3315143246930423</v>
      </c>
      <c r="M36" s="39">
        <f>Базис_110/Базис_10</f>
        <v>1.3433378808549341</v>
      </c>
      <c r="N36" s="39">
        <f>N12/Базис_10</f>
        <v>1</v>
      </c>
      <c r="O36" s="39">
        <f>O12/Базис_10</f>
        <v>1.2284509487783704</v>
      </c>
      <c r="P36" s="39">
        <f>P12/Базис_10</f>
        <v>1.5261482492041838</v>
      </c>
      <c r="R36" s="10" t="s">
        <v>18</v>
      </c>
      <c r="S36" s="23"/>
      <c r="T36" s="40">
        <f>Базис_Ж_20/Базис_Ж_10</f>
        <v>1.129285014691479</v>
      </c>
      <c r="U36" s="40">
        <f>Базис_Ж_30/Базис_Ж_10</f>
        <v>1.1420176297747306</v>
      </c>
      <c r="V36" s="40">
        <f>Базис_Ж_40/Базис_Ж_10</f>
        <v>1.0695396669931441</v>
      </c>
      <c r="W36" s="40">
        <f>Базис_Ж_50/Базис_Ж_10</f>
        <v>1.148873653281097</v>
      </c>
      <c r="X36" s="40">
        <f>Базис_Ж_60/Базис_Ж_10</f>
        <v>1.5053868756121449</v>
      </c>
      <c r="Y36" s="40">
        <f>Базис_Ж_70/Базис_Ж_10</f>
        <v>1.6513222331047992</v>
      </c>
      <c r="Z36" s="40">
        <f>Базис_Ж_80/Базис_Ж_10</f>
        <v>1.6415279138099903</v>
      </c>
      <c r="AA36" s="40">
        <f>Базис_Ж_90/Базис_Ж_10</f>
        <v>1.4270323212536729</v>
      </c>
      <c r="AB36" s="40">
        <f>Базис_Ж_100/Базис_Ж_10</f>
        <v>1.4025465230166503</v>
      </c>
      <c r="AC36" s="40">
        <f>Базис_Ж_110/Базис_Ж_10</f>
        <v>1.5661116552399608</v>
      </c>
      <c r="AD36" s="40">
        <f>AD12/Базис_Ж_10</f>
        <v>1</v>
      </c>
      <c r="AE36" s="40">
        <f>AE12/Базис_Ж_10</f>
        <v>1.3348766806161518</v>
      </c>
      <c r="AF36" s="40">
        <f>AF12/Базис_Ж_10</f>
        <v>1.6513222331047992</v>
      </c>
      <c r="AH36" s="19" t="s">
        <v>18</v>
      </c>
      <c r="AI36" s="24"/>
      <c r="AJ36" s="41">
        <f>Базис_М_20/Базис_М_10</f>
        <v>1.0984719864176571</v>
      </c>
      <c r="AK36" s="41">
        <f>Базис_М_30/Базис_М_10</f>
        <v>1.0594227504244482</v>
      </c>
      <c r="AL36" s="41">
        <f>Базис_М_40/Базис_М_10</f>
        <v>1</v>
      </c>
      <c r="AM36" s="41">
        <f>Базис_М_50/Базис_М_10</f>
        <v>0.98047538200339557</v>
      </c>
      <c r="AN36" s="41">
        <f>Базис_М_60/Базис_М_10</f>
        <v>0.95585738539898135</v>
      </c>
      <c r="AO36" s="41">
        <f>Базис_М_70/Базис_М_10</f>
        <v>1.1926994906621393</v>
      </c>
      <c r="AP36" s="41">
        <f>Базис_М_80/Базис_М_10</f>
        <v>1.4261460101867571</v>
      </c>
      <c r="AQ36" s="41">
        <f>Базис_М_90/Базис_М_10</f>
        <v>1.3650254668930391</v>
      </c>
      <c r="AR36" s="41">
        <f>Базис_М_100/Базис_М_10</f>
        <v>1.2699490662139219</v>
      </c>
      <c r="AS36" s="41">
        <f>Базис_М_110/Базис_М_10</f>
        <v>1.1502546689303905</v>
      </c>
      <c r="AT36" s="41">
        <f>AT12/Базис_М_10</f>
        <v>0.95585738539898135</v>
      </c>
      <c r="AU36" s="41">
        <f>AU12/Базис_М_10</f>
        <v>1.1362092915573392</v>
      </c>
      <c r="AV36" s="41">
        <f>AV12/Базис_М_10</f>
        <v>1.4261460101867571</v>
      </c>
    </row>
    <row r="38" spans="2:48">
      <c r="B38" s="34" t="s">
        <v>22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R38" s="30" t="s">
        <v>22</v>
      </c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  <c r="AH38" s="27" t="s">
        <v>22</v>
      </c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9"/>
    </row>
    <row r="39" spans="2:48">
      <c r="B39" s="4" t="s">
        <v>1</v>
      </c>
      <c r="C39" s="22"/>
      <c r="D39" s="39">
        <f>(Базис_11-Базис_1)/Базис_1</f>
        <v>-3.8388902242214057E-2</v>
      </c>
      <c r="E39" s="39">
        <f>(Базис_21-Базис_11)/Базис_11</f>
        <v>-7.6950544545616858E-3</v>
      </c>
      <c r="F39" s="39">
        <f>(Базис_31-Базис_21)/Базис_21</f>
        <v>3.5966822001115527E-2</v>
      </c>
      <c r="G39" s="39">
        <f>(Базис_41-Базис_31)/Базис_31</f>
        <v>0.23083469380666227</v>
      </c>
      <c r="H39" s="39">
        <f>(Базис_51-Базис_41)/Базис_41</f>
        <v>7.3826355670321295E-2</v>
      </c>
      <c r="I39" s="39">
        <f>(Базис_61-Базис_51)/Базис_51</f>
        <v>7.2403779188184121E-3</v>
      </c>
      <c r="J39" s="39">
        <f>(Базис_71-Базис_61)/Базис_61</f>
        <v>-8.8973542764702821E-3</v>
      </c>
      <c r="K39" s="39">
        <f>(Базис_81-Базис_71)/Базис_71</f>
        <v>-1.6940897722785311E-2</v>
      </c>
      <c r="L39" s="39">
        <f>(Базис_91-Базис_81)/Базис_81</f>
        <v>-9.4800690920289754E-2</v>
      </c>
      <c r="M39" s="39">
        <f>(Базис_101-Базис_91)/Базис_91</f>
        <v>-0.24775527713267162</v>
      </c>
      <c r="N39" s="39">
        <f>(N3-Базис_101)/Базис_101</f>
        <v>0</v>
      </c>
      <c r="O39" s="39">
        <f t="shared" ref="O39:P39" si="20">(O3-N3)/N3</f>
        <v>0.28736632856269462</v>
      </c>
      <c r="P39" s="39">
        <f t="shared" si="20"/>
        <v>0.17083642877476066</v>
      </c>
      <c r="R39" s="14" t="s">
        <v>1</v>
      </c>
      <c r="S39" s="23"/>
      <c r="T39" s="40">
        <f>(Базис_Ж_11-Базис_Ж_1)/Базис_Ж_1</f>
        <v>-1.9221892515661063E-2</v>
      </c>
      <c r="U39" s="40">
        <f>(Базис_Ж_21-Базис_Ж_11)/Базис_Ж_11</f>
        <v>-9.2110128752479238E-3</v>
      </c>
      <c r="V39" s="40">
        <f>(Базис_Ж_31-Базис_Ж_21)/Базис_Ж_21</f>
        <v>-6.4805075832117531E-3</v>
      </c>
      <c r="W39" s="40">
        <f>(Базис_Ж_41-Базис_Ж_31)/Базис_Ж_31</f>
        <v>0.20753363841267672</v>
      </c>
      <c r="X39" s="40">
        <f>(Базис_Ж_51-Базис_Ж_41)/Базис_Ж_41</f>
        <v>4.1290760485307845E-2</v>
      </c>
      <c r="Y39" s="40">
        <f>(Базис_Ж_61-Базис_Ж_51)/Базис_Ж_51</f>
        <v>-2.4851299600749614E-2</v>
      </c>
      <c r="Z39" s="40">
        <f>(Базис_Ж_71-Базис_Ж_61)/Базис_Ж_61</f>
        <v>-4.4618983957219249E-2</v>
      </c>
      <c r="AA39" s="40">
        <f>(Базис_Ж_81-Базис_Ж_71)/Базис_Ж_71</f>
        <v>-3.5712203370065886E-2</v>
      </c>
      <c r="AB39" s="40">
        <f>(Базис_Ж_91-Базис_Ж_81)/Базис_Ж_81</f>
        <v>-9.9132327599238138E-2</v>
      </c>
      <c r="AC39" s="40">
        <f>(Базис_Ж_101-Базис_Ж_91)/Базис_Ж_91</f>
        <v>-0.22887442110208739</v>
      </c>
      <c r="AD39" s="40">
        <f>(AD3-Базис_Ж_101)/Базис_Ж_101</f>
        <v>0</v>
      </c>
      <c r="AE39" s="40">
        <f t="shared" ref="AE39:AF39" si="21">(AE3-AD3)/AD3</f>
        <v>0.37312765570229228</v>
      </c>
      <c r="AF39" s="40">
        <f t="shared" si="21"/>
        <v>0.16694086766608371</v>
      </c>
      <c r="AH39" s="15" t="s">
        <v>1</v>
      </c>
      <c r="AI39" s="24"/>
      <c r="AJ39" s="41">
        <f>(Базис_М_11-Базис_М_1)/Базис_М_1</f>
        <v>-5.9213354348760565E-2</v>
      </c>
      <c r="AK39" s="41">
        <f>(Базис_М_21-Базис_М_11)/Базис_М_11</f>
        <v>-5.9779918516544191E-3</v>
      </c>
      <c r="AL39" s="41">
        <f>(Базис_М_31-Базис_М_21)/Базис_М_21</f>
        <v>8.3888761204320844E-2</v>
      </c>
      <c r="AM39" s="41">
        <f>(Базис_М_41-Базис_М_31)/Базис_М_31</f>
        <v>0.25494769578739046</v>
      </c>
      <c r="AN39" s="41">
        <f>(Базис_М_51-Базис_М_41)/Базис_М_41</f>
        <v>0.10622359898620107</v>
      </c>
      <c r="AO39" s="41">
        <f>(Базис_М_61-Базис_М_51)/Базис_М_51</f>
        <v>3.7319892062522272E-2</v>
      </c>
      <c r="AP39" s="41">
        <f>(Базис_М_71-Базис_М_61)/Базис_М_61</f>
        <v>2.2577795229213705E-2</v>
      </c>
      <c r="AQ39" s="41">
        <f>(Базис_М_81-Базис_М_71)/Базис_М_71</f>
        <v>-1.4879523855236632E-3</v>
      </c>
      <c r="AR39" s="41">
        <f>(Базис_М_91-Базис_М_81)/Базис_М_81</f>
        <v>-9.1357015815026685E-2</v>
      </c>
      <c r="AS39" s="41">
        <f>(Базис_М_101-Базис_М_91)/Базис_М_91</f>
        <v>-0.26263721729929901</v>
      </c>
      <c r="AT39" s="41">
        <f>(AT3-Базис_М_101)/Базис_М_101</f>
        <v>-6.3495479982780892E-2</v>
      </c>
      <c r="AU39" s="41">
        <f t="shared" ref="AU39:AV39" si="22">(AU3-AT3)/AT3</f>
        <v>0.29916494292499807</v>
      </c>
      <c r="AV39" s="41">
        <f t="shared" si="22"/>
        <v>0.22856468923222079</v>
      </c>
    </row>
    <row r="40" spans="2:48">
      <c r="B40" s="5" t="s">
        <v>2</v>
      </c>
      <c r="C40" s="22"/>
      <c r="D40" s="39">
        <f>(Базис_12-Базис_2)/Базис_2</f>
        <v>-2.2332506203473945E-2</v>
      </c>
      <c r="E40" s="39">
        <f>(Базис_22-Базис_12)/Базис_12</f>
        <v>-0.15600676818950932</v>
      </c>
      <c r="F40" s="39">
        <f>(Базис_32-Базис_22)/Базис_22</f>
        <v>0.25641539695268645</v>
      </c>
      <c r="G40" s="39">
        <f>(Базис_42-Базис_32)/Базис_32</f>
        <v>0.42875378969203765</v>
      </c>
      <c r="H40" s="39">
        <f>(Базис_52-Базис_42)/Базис_42</f>
        <v>0.22023676569131115</v>
      </c>
      <c r="I40" s="39">
        <f>(Базис_62-Базис_52)/Базис_52</f>
        <v>-8.9328207944352922E-2</v>
      </c>
      <c r="J40" s="39">
        <f>(Базис_72-Базис_62)/Базис_62</f>
        <v>-4.8241206030150757E-3</v>
      </c>
      <c r="K40" s="39">
        <f>(Базис_82-Базис_72)/Базис_72</f>
        <v>0.36235104019390024</v>
      </c>
      <c r="L40" s="39">
        <f>(Базис_92-Базис_82)/Базис_82</f>
        <v>4.373610081541883E-2</v>
      </c>
      <c r="M40" s="39">
        <f>(Базис_102-Базис_92)/Базис_92</f>
        <v>-0.39225852272727274</v>
      </c>
      <c r="N40" s="39">
        <f>(N4-Базис_102)/Базис_102</f>
        <v>-0.41708542713567837</v>
      </c>
      <c r="O40" s="39">
        <f t="shared" ref="O40:P40" si="23">(O4-N4)/N4</f>
        <v>0.80558795655026627</v>
      </c>
      <c r="P40" s="39">
        <f t="shared" si="23"/>
        <v>0.5633548334998838</v>
      </c>
      <c r="R40" s="10" t="s">
        <v>2</v>
      </c>
      <c r="S40" s="23"/>
      <c r="T40" s="40">
        <f>(Базис_Ж_12-Базис_Ж_2)/Базис_Ж_2</f>
        <v>6.3961813842482104E-2</v>
      </c>
      <c r="U40" s="40">
        <f>(Базис_Ж_22-Базис_Ж_12)/Базис_Ж_12</f>
        <v>-0.17676087931807985</v>
      </c>
      <c r="V40" s="40">
        <f>(Базис_Ж_32-Базис_Ж_22)/Базис_Ж_22</f>
        <v>0.10299727520435967</v>
      </c>
      <c r="W40" s="40">
        <f>(Базис_Ж_42-Базис_Ж_32)/Базис_Ж_32</f>
        <v>0.78211462450592883</v>
      </c>
      <c r="X40" s="40">
        <f>(Базис_Ж_52-Базис_Ж_42)/Базис_Ж_42</f>
        <v>0.4247296922650402</v>
      </c>
      <c r="Y40" s="40">
        <f>(Базис_Ж_62-Базис_Ж_52)/Базис_Ж_52</f>
        <v>-0.12414866705584744</v>
      </c>
      <c r="Z40" s="40">
        <f>(Базис_Ж_72-Базис_Ж_62)/Базис_Ж_62</f>
        <v>-5.6431904021328597E-2</v>
      </c>
      <c r="AA40" s="40">
        <f>(Базис_Ж_82-Базис_Ж_72)/Базис_Ж_72</f>
        <v>0.31198493053920412</v>
      </c>
      <c r="AB40" s="40">
        <f>(Базис_Ж_92-Базис_Ж_82)/Базис_Ж_82</f>
        <v>4.7020818377602296E-2</v>
      </c>
      <c r="AC40" s="40">
        <f>(Базис_Ж_102-Базис_Ж_92)/Базис_Ж_92</f>
        <v>-0.40143983544737744</v>
      </c>
      <c r="AD40" s="40">
        <f>(AD4-Базис_Ж_102)/Базис_Ж_102</f>
        <v>-0.47451317296678119</v>
      </c>
      <c r="AE40" s="40">
        <f t="shared" ref="AE40:AF40" si="24">(AE4-AD4)/AD4</f>
        <v>1.0101560564775822</v>
      </c>
      <c r="AF40" s="40">
        <f t="shared" si="24"/>
        <v>0.58161429451632785</v>
      </c>
      <c r="AH40" s="19" t="s">
        <v>2</v>
      </c>
      <c r="AI40" s="24"/>
      <c r="AJ40" s="41">
        <f>(Базис_М_12-Базис_М_2)/Базис_М_2</f>
        <v>-6.8101265822784807E-2</v>
      </c>
      <c r="AK40" s="41">
        <f>(Базис_М_22-Базис_М_12)/Базис_М_12</f>
        <v>-0.14343928280358598</v>
      </c>
      <c r="AL40" s="41">
        <f>(Базис_М_32-Базис_М_22)/Базис_М_22</f>
        <v>0.3457025055502696</v>
      </c>
      <c r="AM40" s="41">
        <f>(Базис_М_42-Базис_М_32)/Базис_М_32</f>
        <v>0.26019325948621258</v>
      </c>
      <c r="AN40" s="41">
        <f>(Базис_М_52-Базис_М_42)/Базис_М_42</f>
        <v>8.2289134093884428E-2</v>
      </c>
      <c r="AO40" s="41">
        <f>(Базис_М_62-Базис_М_52)/Базис_М_52</f>
        <v>-5.8406773803352338E-2</v>
      </c>
      <c r="AP40" s="41">
        <f>(Базис_М_72-Базис_М_62)/Базис_М_62</f>
        <v>3.7805101853551112E-2</v>
      </c>
      <c r="AQ40" s="41">
        <f>(Базис_М_82-Базис_М_72)/Базис_М_72</f>
        <v>0.40017683465959331</v>
      </c>
      <c r="AR40" s="41">
        <f>(Базис_М_92-Базис_М_82)/Базис_М_82</f>
        <v>4.142460217226572E-2</v>
      </c>
      <c r="AS40" s="41">
        <f>(Базис_М_102-Базис_М_92)/Базис_М_92</f>
        <v>-0.38576279408197917</v>
      </c>
      <c r="AT40" s="41">
        <f>(AT4-Базис_М_102)/Базис_М_102</f>
        <v>-0.37749259624876602</v>
      </c>
      <c r="AU40" s="41">
        <f t="shared" ref="AU40:AV40" si="25">(AU4-AT4)/AT4</f>
        <v>0.68653230689386746</v>
      </c>
      <c r="AV40" s="41">
        <f t="shared" si="25"/>
        <v>0.55068895955140684</v>
      </c>
    </row>
    <row r="41" spans="2:48">
      <c r="B41" s="5" t="s">
        <v>3</v>
      </c>
      <c r="C41" s="22"/>
      <c r="D41" s="39">
        <f>(Базис_13-Базис_3)/Базис_3</f>
        <v>-3.7731427232247483E-2</v>
      </c>
      <c r="E41" s="39">
        <f>(Базис_23-Базис_13)/Базис_13</f>
        <v>0.11828218866699139</v>
      </c>
      <c r="F41" s="39">
        <f>(Базис_33-Базис_23)/Базис_23</f>
        <v>0.22039927404718693</v>
      </c>
      <c r="G41" s="39">
        <f>(Базис_43-Базис_33)/Базис_33</f>
        <v>0.3961691749449765</v>
      </c>
      <c r="H41" s="39">
        <f>(Базис_53-Базис_43)/Базис_43</f>
        <v>-3.1869115078181583E-2</v>
      </c>
      <c r="I41" s="39">
        <f>(Базис_63-Базис_53)/Базис_53</f>
        <v>-1.0738018747524534E-2</v>
      </c>
      <c r="J41" s="39">
        <f>(Базис_73-Базис_63)/Базис_63</f>
        <v>-3.4165220872814629E-2</v>
      </c>
      <c r="K41" s="39">
        <f>(Базис_83-Базис_73)/Базис_73</f>
        <v>-9.0599235410621343E-2</v>
      </c>
      <c r="L41" s="39">
        <f>(Базис_93-Базис_83)/Базис_83</f>
        <v>-0.12793760129659643</v>
      </c>
      <c r="M41" s="39">
        <f>(Базис_103-Базис_93)/Базис_93</f>
        <v>-0.28075270066209779</v>
      </c>
      <c r="N41" s="39">
        <f>(N5-Базис_103)/Базис_103</f>
        <v>-5.3294573643410852E-3</v>
      </c>
      <c r="O41" s="39">
        <f t="shared" ref="O41:P41" si="26">(O5-N5)/N5</f>
        <v>0.44234601248726907</v>
      </c>
      <c r="P41" s="39">
        <f t="shared" si="26"/>
        <v>0.32105815232686069</v>
      </c>
      <c r="R41" s="10" t="s">
        <v>3</v>
      </c>
      <c r="S41" s="23"/>
      <c r="T41" s="40">
        <f>(Базис_Ж_13-Базис_Ж_3)/Базис_Ж_3</f>
        <v>-5.0034650034650033E-2</v>
      </c>
      <c r="U41" s="40">
        <f>(Базис_Ж_23-Базис_Ж_13)/Базис_Ж_13</f>
        <v>6.974029763641669E-2</v>
      </c>
      <c r="V41" s="40">
        <f>(Базис_Ж_33-Базис_Ж_23)/Базис_Ж_23</f>
        <v>9.5744680851063829E-2</v>
      </c>
      <c r="W41" s="40">
        <f>(Базис_Ж_43-Базис_Ж_33)/Базис_Ж_33</f>
        <v>0.34901667911376649</v>
      </c>
      <c r="X41" s="40">
        <f>(Базис_Ж_53-Базис_Ж_43)/Базис_Ж_43</f>
        <v>-8.7931352648090058E-2</v>
      </c>
      <c r="Y41" s="40">
        <f>(Базис_Ж_63-Базис_Ж_53)/Базис_Ж_53</f>
        <v>-7.7086494688922605E-2</v>
      </c>
      <c r="Z41" s="40">
        <f>(Базис_Ж_73-Базис_Ж_63)/Базис_Ж_63</f>
        <v>-6.7850487778143148E-2</v>
      </c>
      <c r="AA41" s="40">
        <f>(Базис_Ж_83-Базис_Ж_73)/Базис_Ж_73</f>
        <v>-0.10101128880526811</v>
      </c>
      <c r="AB41" s="40">
        <f>(Базис_Ж_93-Базис_Ж_83)/Базис_Ж_83</f>
        <v>-0.16520601700457815</v>
      </c>
      <c r="AC41" s="40">
        <f>(Базис_Ж_103-Базис_Ж_93)/Базис_Ж_93</f>
        <v>-0.23769978063303041</v>
      </c>
      <c r="AD41" s="40">
        <f>(AD5-Базис_Ж_103)/Базис_Ж_103</f>
        <v>0</v>
      </c>
      <c r="AE41" s="40">
        <f t="shared" ref="AE41:AF48" si="27">(AE5-AD5)/AD5</f>
        <v>0.61967672615154634</v>
      </c>
      <c r="AF41" s="40">
        <f t="shared" si="27"/>
        <v>0.37542831431636992</v>
      </c>
      <c r="AH41" s="19" t="s">
        <v>3</v>
      </c>
      <c r="AI41" s="24"/>
      <c r="AJ41" s="41">
        <f>(Базис_М_13-Базис_М_3)/Базис_М_3</f>
        <v>-2.184031507339778E-2</v>
      </c>
      <c r="AK41" s="41">
        <f>(Базис_М_23-Базис_М_13)/Базис_М_13</f>
        <v>0.17917276720351391</v>
      </c>
      <c r="AL41" s="41">
        <f>(Базис_М_33-Базис_М_23)/Базис_М_23</f>
        <v>0.36225360856743755</v>
      </c>
      <c r="AM41" s="41">
        <f>(Базис_М_43-Базис_М_33)/Базис_М_33</f>
        <v>0.4393300672211462</v>
      </c>
      <c r="AN41" s="41">
        <f>(Базис_М_53-Базис_М_43)/Базис_М_43</f>
        <v>1.6227341090793952E-2</v>
      </c>
      <c r="AO41" s="41">
        <f>(Базис_М_63-Базис_М_53)/Базис_М_53</f>
        <v>4.0348964013086151E-2</v>
      </c>
      <c r="AP41" s="41">
        <f>(Базис_М_73-Базис_М_63)/Базис_М_63</f>
        <v>-1.1156034740940401E-2</v>
      </c>
      <c r="AQ41" s="41">
        <f>(Базис_М_83-Базис_М_73)/Базис_М_73</f>
        <v>-8.3894904217460431E-2</v>
      </c>
      <c r="AR41" s="41">
        <f>(Базис_М_93-Базис_М_83)/Базис_М_83</f>
        <v>-0.10438879246218696</v>
      </c>
      <c r="AS41" s="41">
        <f>(Базис_М_103-Базис_М_93)/Базис_М_93</f>
        <v>-0.306109265411591</v>
      </c>
      <c r="AT41" s="41">
        <f>(AT5-Базис_М_103)/Базис_М_103</f>
        <v>-0.27330762069424125</v>
      </c>
      <c r="AU41" s="41">
        <f t="shared" ref="AU41:AV48" si="28">(AU5-AT5)/AT5</f>
        <v>0.80949687208838028</v>
      </c>
      <c r="AV41" s="41">
        <f t="shared" si="28"/>
        <v>0.35085235109141383</v>
      </c>
    </row>
    <row r="42" spans="2:48">
      <c r="B42" s="5" t="s">
        <v>4</v>
      </c>
      <c r="C42" s="22"/>
      <c r="D42" s="39">
        <f>(Базис_14-Базис_4)/Базис_4</f>
        <v>5.3492174725531416E-2</v>
      </c>
      <c r="E42" s="39">
        <f>(Базис_24-Базис_14)/Базис_14</f>
        <v>3.325942350332594E-2</v>
      </c>
      <c r="F42" s="39">
        <f>(Базис_34-Базис_24)/Базис_24</f>
        <v>-9.9356223175965666E-2</v>
      </c>
      <c r="G42" s="39">
        <f>(Базис_44-Базис_34)/Базис_34</f>
        <v>1.1913271384322134E-3</v>
      </c>
      <c r="H42" s="39">
        <f>(Базис_54-Базис_44)/Базис_44</f>
        <v>2.8081865778200855E-2</v>
      </c>
      <c r="I42" s="39">
        <f>(Базис_64-Базис_54)/Базис_54</f>
        <v>3.9583333333333331E-2</v>
      </c>
      <c r="J42" s="39">
        <f>(Базис_74-Базис_64)/Базис_64</f>
        <v>-5.5666889334224007E-2</v>
      </c>
      <c r="K42" s="39">
        <f>(Базис_84-Базис_74)/Базис_74</f>
        <v>-0.11978307003065315</v>
      </c>
      <c r="L42" s="39">
        <f>(Базис_94-Базис_84)/Базис_84</f>
        <v>-0.26038039110634881</v>
      </c>
      <c r="M42" s="39">
        <f>(Базис_104-Базис_94)/Базис_94</f>
        <v>-0.18688880840275263</v>
      </c>
      <c r="N42" s="39">
        <f>(N6-Базис_104)/Базис_104</f>
        <v>0</v>
      </c>
      <c r="O42" s="39">
        <f t="shared" ref="O42:P42" si="29">(O6-N6)/N6</f>
        <v>0.76719983802389158</v>
      </c>
      <c r="P42" s="39">
        <f t="shared" si="29"/>
        <v>0.17458353383286354</v>
      </c>
      <c r="R42" s="10" t="s">
        <v>16</v>
      </c>
      <c r="S42" s="23"/>
      <c r="T42" s="40">
        <f>(Базис_Ж_14-Базис_Ж_4)/Базис_Ж_4</f>
        <v>2.2808586762075134E-2</v>
      </c>
      <c r="U42" s="40">
        <f>(Базис_Ж_24-Базис_Ж_14)/Базис_Ж_14</f>
        <v>4.5037166593790992E-2</v>
      </c>
      <c r="V42" s="40">
        <f>(Базис_Ж_34-Базис_Ж_24)/Базис_Ж_24</f>
        <v>-1.7991631799163181E-2</v>
      </c>
      <c r="W42" s="40">
        <f>(Базис_Ж_44-Базис_Ж_34)/Базис_Ж_34</f>
        <v>-1.7895185342991053E-2</v>
      </c>
      <c r="X42" s="40">
        <f>(Базис_Ж_54-Базис_Ж_44)/Базис_Ж_44</f>
        <v>4.3383947939262471E-4</v>
      </c>
      <c r="Y42" s="40">
        <f>(Базис_Ж_64-Базис_Ж_54)/Базис_Ж_54</f>
        <v>2.6019080659150044E-2</v>
      </c>
      <c r="Z42" s="40">
        <f>(Базис_Ж_74-Базис_Ж_64)/Базис_Ж_64</f>
        <v>-3.5502958579881658E-2</v>
      </c>
      <c r="AA42" s="40">
        <f>(Базис_Ж_84-Базис_Ж_74)/Базис_Ж_74</f>
        <v>-0.13540753724802804</v>
      </c>
      <c r="AB42" s="40">
        <f>(Базис_Ж_94-Базис_Ж_84)/Базис_Ж_84</f>
        <v>-0.21844906234161177</v>
      </c>
      <c r="AC42" s="40">
        <f>(Базис_Ж_104-Базис_Ж_94)/Базис_Ж_94</f>
        <v>-0.23605706874189364</v>
      </c>
      <c r="AD42" s="40">
        <f>(AD6-Базис_Ж_104)/Базис_Ж_104</f>
        <v>0</v>
      </c>
      <c r="AE42" s="40">
        <f t="shared" si="27"/>
        <v>0.79132582188609335</v>
      </c>
      <c r="AF42" s="40">
        <f t="shared" si="27"/>
        <v>0.13260382560744452</v>
      </c>
      <c r="AH42" s="19" t="s">
        <v>16</v>
      </c>
      <c r="AI42" s="24"/>
      <c r="AJ42" s="41">
        <f>(Базис_М_14-Базис_М_4)/Базис_М_4</f>
        <v>8.7041564792176035E-2</v>
      </c>
      <c r="AK42" s="41">
        <f>(Базис_М_24-Базис_М_14)/Базис_М_14</f>
        <v>2.1142600089968509E-2</v>
      </c>
      <c r="AL42" s="41">
        <f>(Базис_М_34-Базис_М_24)/Базис_М_24</f>
        <v>-0.18502202643171806</v>
      </c>
      <c r="AM42" s="41">
        <f>(Базис_М_44-Базис_М_34)/Базис_М_34</f>
        <v>2.5405405405405406E-2</v>
      </c>
      <c r="AN42" s="41">
        <f>(Базис_М_54-Базис_М_44)/Базис_М_44</f>
        <v>6.1676331049024778E-2</v>
      </c>
      <c r="AO42" s="41">
        <f>(Базис_М_64-Базис_М_54)/Базис_М_54</f>
        <v>5.5114200595829194E-2</v>
      </c>
      <c r="AP42" s="41">
        <f>(Базис_М_74-Базис_М_64)/Базис_М_64</f>
        <v>-7.8117647058823528E-2</v>
      </c>
      <c r="AQ42" s="41">
        <f>(Базис_М_84-Базис_М_74)/Базис_М_74</f>
        <v>-0.10158244002041858</v>
      </c>
      <c r="AR42" s="41">
        <f>(Базис_М_94-Базис_М_84)/Базис_М_84</f>
        <v>-0.30738636363636362</v>
      </c>
      <c r="AS42" s="41">
        <f>(Базис_М_104-Базис_М_94)/Базис_М_94</f>
        <v>-0.12469237079573421</v>
      </c>
      <c r="AT42" s="41">
        <f>(AT6-Базис_М_104)/Базис_М_104</f>
        <v>0</v>
      </c>
      <c r="AU42" s="41">
        <f t="shared" si="28"/>
        <v>0.74056402828661505</v>
      </c>
      <c r="AV42" s="41">
        <f t="shared" si="28"/>
        <v>0.22228205002692247</v>
      </c>
    </row>
    <row r="43" spans="2:48">
      <c r="B43" s="5" t="s">
        <v>5</v>
      </c>
      <c r="C43" s="22"/>
      <c r="D43" s="39">
        <f>(Базис_15-Базис_5)/Базис_5</f>
        <v>-0.11743656473649967</v>
      </c>
      <c r="E43" s="39">
        <f>(Базис_25-Базис_15)/Базис_15</f>
        <v>2.9487652045705861E-3</v>
      </c>
      <c r="F43" s="39">
        <f>(Базис_35-Базис_25)/Базис_25</f>
        <v>-0.24898934215361998</v>
      </c>
      <c r="G43" s="39">
        <f>(Базис_45-Базис_35)/Базис_35</f>
        <v>-4.6488867139711284E-3</v>
      </c>
      <c r="H43" s="39">
        <f>(Базис_55-Базис_45)/Базис_45</f>
        <v>-0.29252704031465093</v>
      </c>
      <c r="I43" s="39">
        <f>(Базис_65-Базис_55)/Базис_55</f>
        <v>-8.6865879082696322E-3</v>
      </c>
      <c r="J43" s="39">
        <f>(Базис_75-Базис_65)/Базис_65</f>
        <v>-2.5236593059936908E-2</v>
      </c>
      <c r="K43" s="39">
        <f>(Базис_85-Базис_75)/Базис_75</f>
        <v>-0.10751528227256382</v>
      </c>
      <c r="L43" s="39">
        <f>(Базис_95-Базис_85)/Базис_85</f>
        <v>-0.20346494762288478</v>
      </c>
      <c r="M43" s="39">
        <f>(Базис_105-Базис_95)/Базис_95</f>
        <v>-0.2109256449165402</v>
      </c>
      <c r="N43" s="39">
        <f>(N7-Базис_105)/Базис_105</f>
        <v>0</v>
      </c>
      <c r="O43" s="39">
        <f t="shared" ref="O43:P43" si="30">(O7-N7)/N7</f>
        <v>1.3136363636363637</v>
      </c>
      <c r="P43" s="39">
        <f t="shared" si="30"/>
        <v>0.70339025741776218</v>
      </c>
      <c r="R43" s="10" t="s">
        <v>17</v>
      </c>
      <c r="S43" s="23"/>
      <c r="T43" s="40">
        <f>(Базис_Ж_15-Базис_Ж_5)/Базис_Ж_5</f>
        <v>-6.7419067419067419E-2</v>
      </c>
      <c r="U43" s="40">
        <f>(Базис_Ж_25-Базис_Ж_15)/Базис_Ж_15</f>
        <v>2.5796178343949046E-2</v>
      </c>
      <c r="V43" s="40">
        <f>(Базис_Ж_35-Базис_Ж_25)/Базис_Ж_25</f>
        <v>-0.20863085998137224</v>
      </c>
      <c r="W43" s="40">
        <f>(Базис_Ж_45-Базис_Ж_35)/Базис_Ж_35</f>
        <v>-0.1439780306002354</v>
      </c>
      <c r="X43" s="40">
        <f>(Базис_Ж_55-Базис_Ж_45)/Базис_Ж_45</f>
        <v>-0.34922089825847846</v>
      </c>
      <c r="Y43" s="40">
        <f>(Базис_Ж_65-Базис_Ж_55)/Базис_Ж_55</f>
        <v>-1.2676056338028169E-2</v>
      </c>
      <c r="Z43" s="40">
        <f>(Базис_Ж_75-Базис_Ж_65)/Базис_Ж_65</f>
        <v>-1.2125534950071327E-2</v>
      </c>
      <c r="AA43" s="40">
        <f>(Базис_Ж_85-Базис_Ж_75)/Базис_Ж_75</f>
        <v>-0.11263537906137185</v>
      </c>
      <c r="AB43" s="40">
        <f>(Базис_Ж_95-Базис_Ж_85)/Базис_Ж_85</f>
        <v>-0.19039869812855981</v>
      </c>
      <c r="AC43" s="40">
        <f>(Базис_Ж_105-Базис_Ж_95)/Базис_Ж_95</f>
        <v>-0.20301507537688443</v>
      </c>
      <c r="AD43" s="40">
        <f>(AD7-Базис_Ж_105)/Базис_Ж_105</f>
        <v>0</v>
      </c>
      <c r="AE43" s="40">
        <f t="shared" si="27"/>
        <v>1.4857273873667316</v>
      </c>
      <c r="AF43" s="40">
        <f t="shared" si="27"/>
        <v>0.70811234607757223</v>
      </c>
      <c r="AH43" s="19" t="s">
        <v>17</v>
      </c>
      <c r="AI43" s="24"/>
      <c r="AJ43" s="41">
        <f>(Базис_М_15-Базис_М_5)/Базис_М_5</f>
        <v>-0.17799352750809061</v>
      </c>
      <c r="AK43" s="41">
        <f>(Базис_М_25-Базис_М_15)/Базис_М_15</f>
        <v>-2.8433945756780401E-2</v>
      </c>
      <c r="AL43" s="41">
        <f>(Базис_М_35-Базис_М_25)/Базис_М_25</f>
        <v>-0.30751913552453852</v>
      </c>
      <c r="AM43" s="41">
        <f>(Базис_М_45-Базис_М_35)/Базис_М_35</f>
        <v>0.22626788036410922</v>
      </c>
      <c r="AN43" s="41">
        <f>(Базис_М_55-Базис_М_45)/Базис_М_45</f>
        <v>-0.22693531283138918</v>
      </c>
      <c r="AO43" s="41">
        <f>(Базис_М_65-Базис_М_55)/Базис_М_55</f>
        <v>-4.8010973936899867E-3</v>
      </c>
      <c r="AP43" s="41">
        <f>(Базис_М_75-Базис_М_65)/Базис_М_65</f>
        <v>-3.7904893177119231E-2</v>
      </c>
      <c r="AQ43" s="41">
        <f>(Базис_М_85-Базис_М_75)/Базис_М_75</f>
        <v>-0.10243553008595989</v>
      </c>
      <c r="AR43" s="41">
        <f>(Базис_М_95-Базис_М_85)/Базис_М_85</f>
        <v>-0.21628092577813249</v>
      </c>
      <c r="AS43" s="41">
        <f>(Базис_М_105-Базис_М_95)/Базис_М_95</f>
        <v>-0.21894093686354379</v>
      </c>
      <c r="AT43" s="41">
        <f>(AT7-Базис_М_105)/Базис_М_105</f>
        <v>0</v>
      </c>
      <c r="AU43" s="41">
        <f t="shared" si="28"/>
        <v>1.1357117458812374</v>
      </c>
      <c r="AV43" s="41">
        <f t="shared" si="28"/>
        <v>0.69770797491536718</v>
      </c>
    </row>
    <row r="44" spans="2:48">
      <c r="B44" s="5" t="s">
        <v>6</v>
      </c>
      <c r="C44" s="22"/>
      <c r="D44" s="39">
        <f>(Базис_16-Базис_6)/Базис_6</f>
        <v>-6.1291407432318819E-2</v>
      </c>
      <c r="E44" s="39">
        <f>(Базис_26-Базис_16)/Базис_16</f>
        <v>-1.7375727720555307E-2</v>
      </c>
      <c r="F44" s="39">
        <f>(Базис_36-Базис_26)/Базис_26</f>
        <v>6.8635493573967726E-2</v>
      </c>
      <c r="G44" s="39">
        <f>(Базис_46-Базис_36)/Базис_36</f>
        <v>0.32753326509723646</v>
      </c>
      <c r="H44" s="39">
        <f>(Базис_56-Базис_46)/Базис_46</f>
        <v>0.25154202004626058</v>
      </c>
      <c r="I44" s="39">
        <f>(Базис_66-Базис_56)/Базис_56</f>
        <v>2.5565994147543507E-2</v>
      </c>
      <c r="J44" s="39">
        <f>(Базис_76-Базис_66)/Базис_66</f>
        <v>-2.6680682785202983E-2</v>
      </c>
      <c r="K44" s="39">
        <f>(Базис_86-Базис_76)/Базис_76</f>
        <v>-9.7099362271137621E-2</v>
      </c>
      <c r="L44" s="39">
        <f>(Базис_96-Базис_86)/Базис_86</f>
        <v>-6.721348826611985E-2</v>
      </c>
      <c r="M44" s="39">
        <f>(Базис_106-Базис_96)/Базис_96</f>
        <v>-0.14447972642892037</v>
      </c>
      <c r="N44" s="39">
        <f>(N8-Базис_106)/Базис_106</f>
        <v>-0.21691648822269807</v>
      </c>
      <c r="O44" s="39">
        <f t="shared" ref="O44:P44" si="31">(O8-N8)/N8</f>
        <v>0.39342564281038445</v>
      </c>
      <c r="P44" s="39">
        <f t="shared" si="31"/>
        <v>0.30677331113225492</v>
      </c>
      <c r="R44" s="10" t="s">
        <v>6</v>
      </c>
      <c r="S44" s="23"/>
      <c r="T44" s="40">
        <f>(Базис_Ж_16-Базис_Ж_6)/Базис_Ж_6</f>
        <v>-1.7487437185929648E-2</v>
      </c>
      <c r="U44" s="40">
        <f>(Базис_Ж_26-Базис_Ж_16)/Базис_Ж_16</f>
        <v>4.8895253682487726E-2</v>
      </c>
      <c r="V44" s="40">
        <f>(Базис_Ж_36-Базис_Ж_26)/Базис_Ж_26</f>
        <v>5.2467329822508291E-2</v>
      </c>
      <c r="W44" s="40">
        <f>(Базис_Ж_46-Базис_Ж_36)/Базис_Ж_36</f>
        <v>0.39010378057820611</v>
      </c>
      <c r="X44" s="40">
        <f>(Базис_Ж_56-Базис_Ж_46)/Базис_Ж_46</f>
        <v>0.15211305159312091</v>
      </c>
      <c r="Y44" s="40">
        <f>(Базис_Ж_66-Базис_Ж_56)/Базис_Ж_56</f>
        <v>1.2149965285813469E-2</v>
      </c>
      <c r="Z44" s="40">
        <f>(Базис_Ж_76-Базис_Ж_66)/Базис_Ж_66</f>
        <v>-7.5225791700011438E-2</v>
      </c>
      <c r="AA44" s="40">
        <f>(Базис_Ж_86-Базис_Ж_76)/Базис_Ж_76</f>
        <v>-0.11410557547286439</v>
      </c>
      <c r="AB44" s="40">
        <f>(Базис_Ж_96-Базис_Ж_86)/Базис_Ж_86</f>
        <v>-6.3773374267373714E-2</v>
      </c>
      <c r="AC44" s="40">
        <f>(Базис_Ж_106-Базис_Ж_96)/Базис_Ж_96</f>
        <v>-0.15024593829184676</v>
      </c>
      <c r="AD44" s="40">
        <f>(AD8-Базис_Ж_106)/Базис_Ж_106</f>
        <v>-0.14260656025258728</v>
      </c>
      <c r="AE44" s="40">
        <f t="shared" si="27"/>
        <v>0.35658756137479541</v>
      </c>
      <c r="AF44" s="40">
        <f t="shared" si="27"/>
        <v>0.31910722364650884</v>
      </c>
      <c r="AH44" s="19" t="s">
        <v>6</v>
      </c>
      <c r="AI44" s="24"/>
      <c r="AJ44" s="41">
        <f>(Базис_М_16-Базис_М_6)/Базис_М_6</f>
        <v>-9.2787975140916315E-2</v>
      </c>
      <c r="AK44" s="41">
        <f>(Базис_М_26-Базис_М_16)/Базис_М_16</f>
        <v>-6.8981997769635178E-2</v>
      </c>
      <c r="AL44" s="41">
        <f>(Базис_М_36-Базис_М_26)/Базис_М_26</f>
        <v>8.2819986310746066E-2</v>
      </c>
      <c r="AM44" s="41">
        <f>(Базис_М_46-Базис_М_36)/Базис_М_36</f>
        <v>0.27417825537294566</v>
      </c>
      <c r="AN44" s="41">
        <f>(Базис_М_56-Базис_М_46)/Базис_М_46</f>
        <v>0.34404067964777379</v>
      </c>
      <c r="AO44" s="41">
        <f>(Базис_М_66-Базис_М_56)/Базис_М_56</f>
        <v>3.6264648888068657E-2</v>
      </c>
      <c r="AP44" s="41">
        <f>(Базис_М_76-Базис_М_66)/Базис_М_66</f>
        <v>1.1130899376669634E-2</v>
      </c>
      <c r="AQ44" s="41">
        <f>(Базис_М_86-Базис_М_76)/Базис_М_76</f>
        <v>-8.4984588287098192E-2</v>
      </c>
      <c r="AR44" s="41">
        <f>(Базис_М_96-Базис_М_86)/Базис_М_86</f>
        <v>-6.9586140519730513E-2</v>
      </c>
      <c r="AS44" s="41">
        <f>(Базис_М_106-Базис_М_96)/Базис_М_96</f>
        <v>-0.14047791455467054</v>
      </c>
      <c r="AT44" s="41">
        <f>(AT8-Базис_М_106)/Базис_М_106</f>
        <v>-0.29666626549524611</v>
      </c>
      <c r="AU44" s="41">
        <f t="shared" si="28"/>
        <v>0.48122394374961119</v>
      </c>
      <c r="AV44" s="41">
        <f t="shared" si="28"/>
        <v>0.3117655089845513</v>
      </c>
    </row>
    <row r="45" spans="2:48">
      <c r="B45" s="5" t="s">
        <v>7</v>
      </c>
      <c r="C45" s="22"/>
      <c r="D45" s="39">
        <f>(Базис_17-Базис_7)/Базис_7</f>
        <v>4.9188391539596657E-3</v>
      </c>
      <c r="E45" s="39">
        <f>(Базис_27-Базис_17)/Базис_17</f>
        <v>0.11992168379833579</v>
      </c>
      <c r="F45" s="39">
        <f>(Базис_37-Базис_27)/Базис_27</f>
        <v>-3.4965034965034965E-3</v>
      </c>
      <c r="G45" s="39">
        <f>(Базис_47-Базис_37)/Базис_37</f>
        <v>0.2381578947368421</v>
      </c>
      <c r="H45" s="39">
        <f>(Базис_57-Базис_47)/Базис_47</f>
        <v>6.9429684732554023E-2</v>
      </c>
      <c r="I45" s="39">
        <f>(Базис_67-Базис_57)/Базис_57</f>
        <v>1.0268300761841669E-2</v>
      </c>
      <c r="J45" s="39">
        <f>(Базис_77-Базис_67)/Базис_67</f>
        <v>2.1311475409836064E-2</v>
      </c>
      <c r="K45" s="39">
        <f>(Базис_87-Базис_77)/Базис_77</f>
        <v>2.247191011235955E-2</v>
      </c>
      <c r="L45" s="39">
        <f>(Базис_97-Базис_87)/Базис_87</f>
        <v>2.7943485086342229E-2</v>
      </c>
      <c r="M45" s="39">
        <f>(Базис_107-Базис_97)/Базис_97</f>
        <v>-0.19456322541233964</v>
      </c>
      <c r="N45" s="39">
        <f>(N9-Базис_107)/Базис_107</f>
        <v>-0.22904816078877513</v>
      </c>
      <c r="O45" s="39">
        <f t="shared" ref="O45:P45" si="32">(O9-N9)/N9</f>
        <v>0.33018825738943802</v>
      </c>
      <c r="P45" s="39">
        <f t="shared" si="32"/>
        <v>0.21067670689481283</v>
      </c>
      <c r="R45" s="10" t="s">
        <v>7</v>
      </c>
      <c r="S45" s="23"/>
      <c r="T45" s="40">
        <f>(Базис_Ж_17-Базис_Ж_7)/Базис_Ж_7</f>
        <v>9.8962490023942543E-2</v>
      </c>
      <c r="U45" s="40">
        <f>(Базис_Ж_27-Базис_Ж_17)/Базис_Ж_17</f>
        <v>9.6586782861292672E-2</v>
      </c>
      <c r="V45" s="40">
        <f>(Базис_Ж_37-Базис_Ж_27)/Базис_Ж_27</f>
        <v>2.9801324503311258E-2</v>
      </c>
      <c r="W45" s="40">
        <f>(Базис_Ж_47-Базис_Ж_37)/Базис_Ж_37</f>
        <v>0.14469453376205788</v>
      </c>
      <c r="X45" s="40">
        <f>(Базис_Ж_57-Базис_Ж_47)/Базис_Ж_47</f>
        <v>1.5730337078651686E-2</v>
      </c>
      <c r="Y45" s="40">
        <f>(Базис_Ж_67-Базис_Ж_57)/Базис_Ж_57</f>
        <v>-7.0796460176991149E-2</v>
      </c>
      <c r="Z45" s="40">
        <f>(Базис_Ж_77-Базис_Ж_67)/Базис_Ж_67</f>
        <v>-5.0595238095238096E-2</v>
      </c>
      <c r="AA45" s="40">
        <f>(Базис_Ж_87-Базис_Ж_77)/Базис_Ж_77</f>
        <v>-2.3824451410658306E-2</v>
      </c>
      <c r="AB45" s="40">
        <f>(Базис_Ж_97-Базис_Ж_87)/Базис_Ж_87</f>
        <v>3.2113037893384717E-2</v>
      </c>
      <c r="AC45" s="40">
        <f>(Базис_Ж_107-Базис_Ж_97)/Базис_Ж_97</f>
        <v>-0.19788425637834475</v>
      </c>
      <c r="AD45" s="40">
        <f>(AD9-Базис_Ж_107)/Базис_Ж_107</f>
        <v>-2.7928626842513578E-2</v>
      </c>
      <c r="AE45" s="40">
        <f t="shared" si="27"/>
        <v>0.23420155263730685</v>
      </c>
      <c r="AF45" s="40">
        <f t="shared" si="27"/>
        <v>0.16912585973781669</v>
      </c>
      <c r="AH45" s="19" t="s">
        <v>7</v>
      </c>
      <c r="AI45" s="24"/>
      <c r="AJ45" s="41">
        <f>(Базис_М_17-Базис_М_7)/Базис_М_7</f>
        <v>-0.14615384615384616</v>
      </c>
      <c r="AK45" s="41">
        <f>(Базис_М_27-Базис_М_17)/Базис_М_17</f>
        <v>0.16816816816816818</v>
      </c>
      <c r="AL45" s="41">
        <f>(Базис_М_37-Базис_М_27)/Базис_М_27</f>
        <v>-6.8123393316195366E-2</v>
      </c>
      <c r="AM45" s="41">
        <f>(Базис_М_47-Базис_М_37)/Базис_М_37</f>
        <v>0.43862068965517242</v>
      </c>
      <c r="AN45" s="41">
        <f>(Базис_М_57-Базис_М_47)/Базис_М_47</f>
        <v>0.16107382550335569</v>
      </c>
      <c r="AO45" s="41">
        <f>(Базис_М_67-Базис_М_57)/Базис_М_57</f>
        <v>0.13129644921552436</v>
      </c>
      <c r="AP45" s="41">
        <f>(Базис_М_77-Базис_М_67)/Базис_М_67</f>
        <v>0.10948905109489052</v>
      </c>
      <c r="AQ45" s="41">
        <f>(Базис_М_87-Базис_М_77)/Базис_М_77</f>
        <v>7.1052631578947367E-2</v>
      </c>
      <c r="AR45" s="41">
        <f>(Базис_М_97-Базис_М_87)/Базис_М_87</f>
        <v>2.3955773955773956E-2</v>
      </c>
      <c r="AS45" s="41">
        <f>(Базис_М_107-Базис_М_97)/Базис_М_97</f>
        <v>-0.1913617276544691</v>
      </c>
      <c r="AT45" s="41">
        <f>(AT9-Базис_М_107)/Базис_М_107</f>
        <v>-0.50593471810089019</v>
      </c>
      <c r="AU45" s="41">
        <f t="shared" si="28"/>
        <v>0.73846573846573837</v>
      </c>
      <c r="AV45" s="41">
        <f t="shared" si="28"/>
        <v>0.43977701005025133</v>
      </c>
    </row>
    <row r="46" spans="2:48">
      <c r="B46" s="5" t="s">
        <v>8</v>
      </c>
      <c r="C46" s="22"/>
      <c r="D46" s="39">
        <f>(Базис_18-Базис_8)/Базис_8</f>
        <v>-4.1960571531922591E-2</v>
      </c>
      <c r="E46" s="39">
        <f>(Базис_28-Базис_18)/Базис_18</f>
        <v>-3.4547857277704361E-2</v>
      </c>
      <c r="F46" s="39">
        <f>(Базис_38-Базис_28)/Базис_28</f>
        <v>-4.8885412592882281E-2</v>
      </c>
      <c r="G46" s="39">
        <f>(Базис_48-Базис_38)/Базис_38</f>
        <v>-9.5394736842105268E-2</v>
      </c>
      <c r="H46" s="39">
        <f>(Базис_58-Базис_48)/Базис_48</f>
        <v>-5.568181818181818E-2</v>
      </c>
      <c r="I46" s="39">
        <f>(Базис_68-Базис_58)/Базис_58</f>
        <v>0.16221419975932611</v>
      </c>
      <c r="J46" s="39">
        <f>(Базис_78-Базис_68)/Базис_68</f>
        <v>0.12155725823151792</v>
      </c>
      <c r="K46" s="39">
        <f>(Базис_88-Базис_78)/Базис_78</f>
        <v>-4.8190546528803543E-2</v>
      </c>
      <c r="L46" s="39">
        <f>(Базис_98-Базис_88)/Базис_88</f>
        <v>-0.29020368574199806</v>
      </c>
      <c r="M46" s="39">
        <f>(Базис_108-Базис_98)/Базис_98</f>
        <v>-0.39956272205520632</v>
      </c>
      <c r="N46" s="39">
        <f>(N10-Базис_108)/Базис_108</f>
        <v>0</v>
      </c>
      <c r="O46" s="39">
        <f t="shared" ref="O46:P46" si="33">(O10-N10)/N10</f>
        <v>1.0943849050357926</v>
      </c>
      <c r="P46" s="39">
        <f t="shared" si="33"/>
        <v>0.20160031611182463</v>
      </c>
      <c r="R46" s="10" t="s">
        <v>8</v>
      </c>
      <c r="S46" s="23"/>
      <c r="T46" s="40">
        <f>(Базис_Ж_18-Базис_Ж_8)/Базис_Ж_8</f>
        <v>-6.295540658700087E-2</v>
      </c>
      <c r="U46" s="40">
        <f>(Базис_Ж_28-Базис_Ж_18)/Базис_Ж_18</f>
        <v>-7.2472783825816484E-2</v>
      </c>
      <c r="V46" s="40">
        <f>(Базис_Ж_38-Базис_Ж_28)/Базис_Ж_28</f>
        <v>-3.35345405767941E-2</v>
      </c>
      <c r="W46" s="40">
        <f>(Базис_Ж_48-Базис_Ж_38)/Базис_Ж_38</f>
        <v>-0.10582928521859819</v>
      </c>
      <c r="X46" s="40">
        <f>(Базис_Ж_58-Базис_Ж_48)/Базис_Ж_48</f>
        <v>-0.13038416763678695</v>
      </c>
      <c r="Y46" s="40">
        <f>(Базис_Ж_68-Базис_Ж_58)/Базис_Ж_58</f>
        <v>0.14725568942436412</v>
      </c>
      <c r="Z46" s="40">
        <f>(Базис_Ж_78-Базис_Ж_68)/Базис_Ж_68</f>
        <v>9.723842862699339E-2</v>
      </c>
      <c r="AA46" s="40">
        <f>(Базис_Ж_88-Базис_Ж_78)/Базис_Ж_78</f>
        <v>-8.4367245657568243E-2</v>
      </c>
      <c r="AB46" s="40">
        <f>(Базис_Ж_98-Базис_Ж_88)/Базис_Ж_88</f>
        <v>-0.24235385210994967</v>
      </c>
      <c r="AC46" s="40">
        <f>(Базис_Ж_108-Базис_Ж_98)/Базис_Ж_98</f>
        <v>-0.33418497700562083</v>
      </c>
      <c r="AD46" s="40">
        <f>(AD10-Базис_Ж_108)/Базис_Ж_108</f>
        <v>0</v>
      </c>
      <c r="AE46" s="40">
        <f t="shared" si="27"/>
        <v>0.9928137863671247</v>
      </c>
      <c r="AF46" s="40">
        <f t="shared" si="27"/>
        <v>0.32132479081328996</v>
      </c>
      <c r="AH46" s="19" t="s">
        <v>8</v>
      </c>
      <c r="AI46" s="24"/>
      <c r="AJ46" s="41">
        <f>(Базис_М_18-Базис_М_8)/Базис_М_8</f>
        <v>-7.6263107721639654E-3</v>
      </c>
      <c r="AK46" s="41">
        <f>(Базис_М_28-Базис_М_18)/Базис_М_18</f>
        <v>2.4015369836695485E-2</v>
      </c>
      <c r="AL46" s="41">
        <f>(Базис_М_38-Базис_М_28)/Базис_М_28</f>
        <v>-7.0356472795497185E-2</v>
      </c>
      <c r="AM46" s="41">
        <f>(Базис_М_48-Базис_М_38)/Базис_М_38</f>
        <v>-8.0221997981836532E-2</v>
      </c>
      <c r="AN46" s="41">
        <f>(Базис_М_58-Базис_М_48)/Базис_М_48</f>
        <v>4.9917718047174986E-2</v>
      </c>
      <c r="AO46" s="41">
        <f>(Базис_М_68-Базис_М_58)/Базис_М_58</f>
        <v>0.17972831765935215</v>
      </c>
      <c r="AP46" s="41">
        <f>(Базис_М_78-Базис_М_68)/Базис_М_68</f>
        <v>0.14924712134632417</v>
      </c>
      <c r="AQ46" s="41">
        <f>(Базис_М_88-Базис_М_78)/Базис_М_78</f>
        <v>-8.8631984585741813E-3</v>
      </c>
      <c r="AR46" s="41">
        <f>(Базис_М_98-Базис_М_88)/Базис_М_88</f>
        <v>-0.33825816485225507</v>
      </c>
      <c r="AS46" s="41">
        <f>(Базис_М_108-Базис_М_98)/Базис_М_98</f>
        <v>-0.47473560517038776</v>
      </c>
      <c r="AT46" s="41">
        <f>(AT10-Базис_М_108)/Базис_М_108</f>
        <v>0</v>
      </c>
      <c r="AU46" s="41">
        <f t="shared" si="28"/>
        <v>1.2424242424242424</v>
      </c>
      <c r="AV46" s="41">
        <f t="shared" si="28"/>
        <v>0.29444041356793033</v>
      </c>
    </row>
    <row r="47" spans="2:48">
      <c r="B47" s="5" t="s">
        <v>9</v>
      </c>
      <c r="C47" s="22"/>
      <c r="D47" s="39">
        <f>(Базис_19-Базис_9)/Базис_9</f>
        <v>-5.7681793329688355E-2</v>
      </c>
      <c r="E47" s="39">
        <f>(Базис_29-Базис_19)/Базис_19</f>
        <v>-0.14026689875253845</v>
      </c>
      <c r="F47" s="39">
        <f>(Базис_39-Базис_29)/Базис_29</f>
        <v>-0.14324278724481188</v>
      </c>
      <c r="G47" s="39">
        <f>(Базис_49-Базис_39)/Базис_39</f>
        <v>-3.7416305632138637E-3</v>
      </c>
      <c r="H47" s="39">
        <f>(Базис_59-Базис_49)/Базис_49</f>
        <v>0.17374975291559597</v>
      </c>
      <c r="I47" s="39">
        <f>(Базис_69-Базис_59)/Базис_59</f>
        <v>-1.0104412260020209E-3</v>
      </c>
      <c r="J47" s="39">
        <f>(Базис_79-Базис_69)/Базис_69</f>
        <v>1.2137559002022926E-2</v>
      </c>
      <c r="K47" s="39">
        <f>(Базис_89-Базис_79)/Базис_79</f>
        <v>4.4803464357095271E-2</v>
      </c>
      <c r="L47" s="39">
        <f>(Базис_99-Базис_89)/Базис_89</f>
        <v>-0.15032679738562091</v>
      </c>
      <c r="M47" s="39">
        <f>(Базис_109-Базис_99)/Базис_99</f>
        <v>-0.19136960600375236</v>
      </c>
      <c r="N47" s="39">
        <f>(N11-Базис_109)/Базис_109</f>
        <v>0</v>
      </c>
      <c r="O47" s="39">
        <f t="shared" ref="O47:P47" si="34">(O11-N11)/N11</f>
        <v>0.35121282429867123</v>
      </c>
      <c r="P47" s="39">
        <f t="shared" si="34"/>
        <v>0.25624014611073814</v>
      </c>
      <c r="R47" s="10" t="s">
        <v>9</v>
      </c>
      <c r="S47" s="23"/>
      <c r="T47" s="40">
        <f>(Базис_Ж_19-Базис_Ж_9)/Базис_Ж_9</f>
        <v>-2.8076841883048344E-2</v>
      </c>
      <c r="U47" s="40">
        <f>(Базис_Ж_29-Базис_Ж_19)/Базис_Ж_19</f>
        <v>-0.15073848827106864</v>
      </c>
      <c r="V47" s="40">
        <f>(Базис_Ж_39-Базис_Ж_29)/Базис_Ж_29</f>
        <v>-0.12966751918158567</v>
      </c>
      <c r="W47" s="40">
        <f>(Базис_Ж_49-Базис_Ж_39)/Базис_Ж_39</f>
        <v>-2.057008521892448E-3</v>
      </c>
      <c r="X47" s="40">
        <f>(Базис_Ж_59-Базис_Ж_49)/Базис_Ж_49</f>
        <v>0.13103651354534745</v>
      </c>
      <c r="Y47" s="40">
        <f>(Базис_Ж_69-Базис_Ж_59)/Базис_Ж_59</f>
        <v>-3.384535277271544E-3</v>
      </c>
      <c r="Z47" s="40">
        <f>(Базис_Ж_79-Базис_Ж_69)/Базис_Ж_69</f>
        <v>-3.2654127481713688E-2</v>
      </c>
      <c r="AA47" s="40">
        <f>(Базис_Ж_89-Базис_Ж_79)/Базис_Ж_79</f>
        <v>5.1849851471779639E-2</v>
      </c>
      <c r="AB47" s="40">
        <f>(Базис_Ж_99-Базис_Ж_89)/Базис_Ж_89</f>
        <v>-0.14249037227214378</v>
      </c>
      <c r="AC47" s="40">
        <f>(Базис_Ж_109-Базис_Ж_99)/Базис_Ж_99</f>
        <v>-0.17425149700598802</v>
      </c>
      <c r="AD47" s="40">
        <f>(AD11-Базис_Ж_109)/Базис_Ж_109</f>
        <v>0</v>
      </c>
      <c r="AE47" s="40">
        <f t="shared" si="27"/>
        <v>0.36511965192168239</v>
      </c>
      <c r="AF47" s="40">
        <f t="shared" si="27"/>
        <v>0.25816733067729086</v>
      </c>
      <c r="AH47" s="19" t="s">
        <v>9</v>
      </c>
      <c r="AI47" s="24"/>
      <c r="AJ47" s="41">
        <f>(Базис_М_19-Базис_М_9)/Базис_М_9</f>
        <v>-0.11205893757270259</v>
      </c>
      <c r="AK47" s="41">
        <f>(Базис_М_29-Базис_М_19)/Базис_М_19</f>
        <v>-0.11921397379912664</v>
      </c>
      <c r="AL47" s="41">
        <f>(Базис_М_39-Базис_М_29)/Базис_М_29</f>
        <v>-0.16955875061973227</v>
      </c>
      <c r="AM47" s="41">
        <f>(Базис_М_49-Базис_М_39)/Базис_М_39</f>
        <v>-7.164179104477612E-3</v>
      </c>
      <c r="AN47" s="41">
        <f>(Базис_М_59-Базис_М_49)/Базис_М_49</f>
        <v>0.26097414311485267</v>
      </c>
      <c r="AO47" s="41">
        <f>(Базис_М_69-Базис_М_59)/Базис_М_59</f>
        <v>3.3381020505484026E-3</v>
      </c>
      <c r="AP47" s="41">
        <f>(Базис_М_79-Базис_М_69)/Базис_М_69</f>
        <v>9.363117870722433E-2</v>
      </c>
      <c r="AQ47" s="41">
        <f>(Базис_М_89-Базис_М_79)/Базис_М_79</f>
        <v>3.3463711429813123E-2</v>
      </c>
      <c r="AR47" s="41">
        <f>(Базис_М_99-Базис_М_89)/Базис_М_89</f>
        <v>-0.1631623212783852</v>
      </c>
      <c r="AS47" s="41">
        <f>(Базис_М_109-Базис_М_99)/Базис_М_99</f>
        <v>-0.2201005025125628</v>
      </c>
      <c r="AT47" s="41">
        <f>(AT11-Базис_М_109)/Базис_М_109</f>
        <v>0</v>
      </c>
      <c r="AU47" s="41">
        <f t="shared" si="28"/>
        <v>0.3264995313964385</v>
      </c>
      <c r="AV47" s="41">
        <f t="shared" si="28"/>
        <v>0.25271571138390897</v>
      </c>
    </row>
    <row r="48" spans="2:48">
      <c r="B48" s="5" t="s">
        <v>10</v>
      </c>
      <c r="C48" s="22"/>
      <c r="D48" s="39">
        <f>(Базис_20-Базис_10)/Базис_10</f>
        <v>0.11277853569804457</v>
      </c>
      <c r="E48" s="39">
        <f>(Базис_30-Базис_20)/Базис_20</f>
        <v>-1.3485901103391908E-2</v>
      </c>
      <c r="F48" s="39">
        <f>(Базис_40-Базис_30)/Базис_30</f>
        <v>-5.9652029826014911E-2</v>
      </c>
      <c r="G48" s="39">
        <f>(Базис_50-Базис_40)/Базис_40</f>
        <v>2.5550660792951541E-2</v>
      </c>
      <c r="H48" s="39">
        <f>(Базис_60-Базис_50)/Базис_50</f>
        <v>0.14390034364261167</v>
      </c>
      <c r="I48" s="39">
        <f>(Базис_70-Базис_60)/Базис_60</f>
        <v>0.16072099136312429</v>
      </c>
      <c r="J48" s="39">
        <f>(Базис_80-Базис_70)/Базис_70</f>
        <v>8.5732772565512774E-2</v>
      </c>
      <c r="K48" s="39">
        <f>(Базис_90-Базис_80)/Базис_80</f>
        <v>-8.6710369487485103E-2</v>
      </c>
      <c r="L48" s="39">
        <f>(Базис_100-Базис_90)/Базис_90</f>
        <v>-4.4698205546492661E-2</v>
      </c>
      <c r="M48" s="39">
        <f>(Базис_110-Базис_100)/Базис_100</f>
        <v>8.8797814207650268E-3</v>
      </c>
      <c r="N48" s="39">
        <f>(N12-Базис_110)/Базис_110</f>
        <v>-0.25558564658090727</v>
      </c>
      <c r="O48" s="39">
        <f t="shared" ref="O48:P48" si="35">(O12-N12)/N12</f>
        <v>0.22845094877837038</v>
      </c>
      <c r="P48" s="39">
        <f t="shared" si="35"/>
        <v>0.24233552078075041</v>
      </c>
      <c r="R48" s="10" t="s">
        <v>18</v>
      </c>
      <c r="S48" s="23"/>
      <c r="T48" s="40">
        <f>(Базис_Ж_20-Базис_Ж_10)/Базис_Ж_10</f>
        <v>0.12928501469147893</v>
      </c>
      <c r="U48" s="40">
        <f>(Базис_Ж_30-Базис_Ж_20)/Базис_Ж_20</f>
        <v>1.1274934952298352E-2</v>
      </c>
      <c r="V48" s="40">
        <f>(Базис_Ж_40-Базис_Ж_30)/Базис_Ж_30</f>
        <v>-6.3464837049742706E-2</v>
      </c>
      <c r="W48" s="40">
        <f>(Базис_Ж_50-Базис_Ж_40)/Базис_Ж_40</f>
        <v>7.4175824175824176E-2</v>
      </c>
      <c r="X48" s="40">
        <f>(Базис_Ж_60-Базис_Ж_50)/Базис_Ж_50</f>
        <v>0.31031543052003407</v>
      </c>
      <c r="Y48" s="40">
        <f>(Базис_Ж_70-Базис_Ж_60)/Базис_Ж_60</f>
        <v>9.6942094990240729E-2</v>
      </c>
      <c r="Z48" s="40">
        <f>(Базис_Ж_80-Базис_Ж_70)/Базис_Ж_70</f>
        <v>-5.9311981020166073E-3</v>
      </c>
      <c r="AA48" s="40">
        <f>(Базис_Ж_90-Базис_Ж_80)/Базис_Ж_80</f>
        <v>-0.13066825775656324</v>
      </c>
      <c r="AB48" s="40">
        <f>(Базис_Ж_100-Базис_Ж_90)/Базис_Ж_90</f>
        <v>-1.7158544955387784E-2</v>
      </c>
      <c r="AC48" s="40">
        <f>(Базис_Ж_110-Базис_Ж_100)/Базис_Ж_100</f>
        <v>0.11662011173184357</v>
      </c>
      <c r="AD48" s="40">
        <f>(AD12-Базис_Ж_110)/Базис_Ж_110</f>
        <v>-0.36147592245153221</v>
      </c>
      <c r="AE48" s="40">
        <f t="shared" si="27"/>
        <v>0.33487668061615178</v>
      </c>
      <c r="AF48" s="40">
        <f t="shared" si="27"/>
        <v>0.23705976520811092</v>
      </c>
      <c r="AH48" s="19" t="s">
        <v>18</v>
      </c>
      <c r="AI48" s="24"/>
      <c r="AJ48" s="41">
        <f>(Базис_М_20-Базис_М_10)/Базис_М_10</f>
        <v>9.8471986417657045E-2</v>
      </c>
      <c r="AK48" s="41">
        <f>(Базис_М_30-Базис_М_20)/Базис_М_20</f>
        <v>-3.5548686244204021E-2</v>
      </c>
      <c r="AL48" s="41">
        <f>(Базис_М_40-Базис_М_30)/Базис_М_30</f>
        <v>-5.6089743589743592E-2</v>
      </c>
      <c r="AM48" s="41">
        <f>(Базис_М_50-Базис_М_40)/Базис_М_40</f>
        <v>-1.9524617996604415E-2</v>
      </c>
      <c r="AN48" s="41">
        <f>(Базис_М_60-Базис_М_50)/Базис_М_50</f>
        <v>-2.5108225108225107E-2</v>
      </c>
      <c r="AO48" s="41">
        <f>(Базис_М_70-Базис_М_60)/Базис_М_60</f>
        <v>0.24777975133214919</v>
      </c>
      <c r="AP48" s="41">
        <f>(Базис_М_80-Базис_М_70)/Базис_М_70</f>
        <v>0.19572953736654805</v>
      </c>
      <c r="AQ48" s="41">
        <f>(Базис_М_90-Базис_М_80)/Базис_М_80</f>
        <v>-4.2857142857142858E-2</v>
      </c>
      <c r="AR48" s="41">
        <f>(Базис_М_100-Базис_М_90)/Базис_М_90</f>
        <v>-6.965174129353234E-2</v>
      </c>
      <c r="AS48" s="41">
        <f>(Базис_М_110-Базис_М_100)/Базис_М_100</f>
        <v>-9.4251336898395724E-2</v>
      </c>
      <c r="AT48" s="41">
        <f>(AT12-Базис_М_110)/Базис_М_110</f>
        <v>-0.16900369003690036</v>
      </c>
      <c r="AU48" s="41">
        <f t="shared" si="28"/>
        <v>0.18868076860972069</v>
      </c>
      <c r="AV48" s="41">
        <f t="shared" si="28"/>
        <v>0.25517897167696796</v>
      </c>
    </row>
    <row r="50" spans="2:48">
      <c r="B50" s="34" t="s">
        <v>23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R50" s="30" t="s">
        <v>23</v>
      </c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2"/>
      <c r="AH50" s="27" t="s">
        <v>23</v>
      </c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9"/>
    </row>
    <row r="51" spans="2:48">
      <c r="B51" s="4" t="s">
        <v>1</v>
      </c>
      <c r="C51" s="22"/>
      <c r="D51" s="39">
        <f>(Базис_11-Базис_1)/Базис_1</f>
        <v>-3.8388902242214057E-2</v>
      </c>
      <c r="E51" s="39">
        <f>(Базис_21-Базис_1)/Базис_1</f>
        <v>-4.5788552003571063E-2</v>
      </c>
      <c r="F51" s="39">
        <f>(Базис_31-Базис_1)/Базис_1</f>
        <v>-1.1468598702056793E-2</v>
      </c>
      <c r="G51" s="39">
        <f>(Базис_41-Базис_1)/Базис_1</f>
        <v>0.21671874463482471</v>
      </c>
      <c r="H51" s="39">
        <f>(Базис_51-Базис_1)/Базис_1</f>
        <v>0.30654465542698212</v>
      </c>
      <c r="I51" s="39">
        <f>(Базис_61-Базис_1)/Базис_1</f>
        <v>0.31600453250008587</v>
      </c>
      <c r="J51" s="39">
        <f>(Базис_71-Базис_1)/Базис_1</f>
        <v>0.3042955739449919</v>
      </c>
      <c r="K51" s="39">
        <f>(Базис_81-Базис_1)/Базис_1</f>
        <v>0.28219963602650827</v>
      </c>
      <c r="L51" s="39">
        <f>(Базис_91-Базис_1)/Базис_1</f>
        <v>0.16064622463345121</v>
      </c>
      <c r="M51" s="39">
        <f>(Базис_101-Базис_1)/Базис_1</f>
        <v>-0.12691000240359854</v>
      </c>
      <c r="N51" s="39">
        <f>(N3-Базис_1)/Базис_1</f>
        <v>-0.12691000240359854</v>
      </c>
      <c r="O51" s="39">
        <f>(O3-Базис_1)/Базис_1</f>
        <v>0.12398666471049123</v>
      </c>
      <c r="P51" s="39">
        <f>(P3-Базис_1)/Базис_1</f>
        <v>0.31600453250008587</v>
      </c>
      <c r="R51" s="14" t="s">
        <v>1</v>
      </c>
      <c r="S51" s="23"/>
      <c r="T51" s="40">
        <f>(Базис_Ж_11-Базис_Ж_1)/Базис_Ж_1</f>
        <v>-1.9221892515661063E-2</v>
      </c>
      <c r="U51" s="40">
        <f>(Базис_Ж_21-Базис_Ж_1)/Базис_Ж_1</f>
        <v>-2.82558522914606E-2</v>
      </c>
      <c r="V51" s="40">
        <f>(Базис_Ж_31-Базис_Ж_1)/Базис_Ж_1</f>
        <v>-3.4553247609627434E-2</v>
      </c>
      <c r="W51" s="40">
        <f>(Базис_Ж_41-Базис_Ж_1)/Базис_Ж_1</f>
        <v>0.16580942960764919</v>
      </c>
      <c r="X51" s="40">
        <f>(Базис_Ж_51-Базис_Ж_1)/Базис_Ж_1</f>
        <v>0.21394658753709198</v>
      </c>
      <c r="Y51" s="40">
        <f>(Базис_Ж_61-Базис_Ж_1)/Базис_Ж_1</f>
        <v>0.18377843719090009</v>
      </c>
      <c r="Z51" s="40">
        <f>(Базис_Ж_71-Базис_Ж_1)/Базис_Ж_1</f>
        <v>0.13095944609297724</v>
      </c>
      <c r="AA51" s="40">
        <f>(Базис_Ж_81-Базис_Ж_1)/Базис_Ж_1</f>
        <v>9.0570392350807785E-2</v>
      </c>
      <c r="AB51" s="40">
        <f>(Базис_Ж_91-Базис_Ж_1)/Базис_Ж_1</f>
        <v>-1.754038905374217E-2</v>
      </c>
      <c r="AC51" s="40">
        <f>(Базис_Ж_101-Базис_Ж_1)/Базис_Ж_1</f>
        <v>-0.24240026376524892</v>
      </c>
      <c r="AD51" s="40">
        <f>(AD3-Базис_Ж_1)/Базис_Ж_1</f>
        <v>-0.24240026376524892</v>
      </c>
      <c r="AE51" s="40">
        <f>(AE3-Базис_Ж_1)/Базис_Ж_1</f>
        <v>4.0281149776698714E-2</v>
      </c>
      <c r="AF51" s="40">
        <f>(AF3-Базис_Ж_1)/Базис_Ж_1</f>
        <v>0.21394658753709198</v>
      </c>
      <c r="AH51" s="15" t="s">
        <v>1</v>
      </c>
      <c r="AI51" s="24"/>
      <c r="AJ51" s="41">
        <f>(Базис_М_11-Базис_М_1)/Базис_М_1</f>
        <v>-5.9213354348760565E-2</v>
      </c>
      <c r="AK51" s="41">
        <f>(Базис_М_21-Базис_М_1)/Базис_М_1</f>
        <v>-6.483736925060897E-2</v>
      </c>
      <c r="AL51" s="41">
        <f>(Базис_М_31-Базис_М_1)/Базис_М_1</f>
        <v>1.3612265367531165E-2</v>
      </c>
      <c r="AM51" s="41">
        <f>(Базис_М_41-Базис_М_1)/Базис_М_1</f>
        <v>0.27203037684482018</v>
      </c>
      <c r="AN51" s="41">
        <f>(Базис_М_51-Базис_М_1)/Базис_М_1</f>
        <v>0.40715002149305057</v>
      </c>
      <c r="AO51" s="41">
        <f>(Базис_М_61-Базис_М_1)/Базис_М_1</f>
        <v>0.45966470841094714</v>
      </c>
      <c r="AP51" s="41">
        <f>(Базис_М_71-Базис_М_1)/Базис_М_1</f>
        <v>0.4926207193007594</v>
      </c>
      <c r="AQ51" s="41">
        <f>(Базис_М_81-Базис_М_1)/Базис_М_1</f>
        <v>0.49039977074079383</v>
      </c>
      <c r="AR51" s="41">
        <f>(Базис_М_91-Базис_М_1)/Базис_М_1</f>
        <v>0.35424129531451498</v>
      </c>
      <c r="AS51" s="41">
        <f>(Базис_М_101-Базис_М_1)/Базис_М_1</f>
        <v>-1.4328700386874911E-3</v>
      </c>
      <c r="AT51" s="41">
        <f>(AT3-Базис_М_1)/Базис_М_1</f>
        <v>-6.483736925060897E-2</v>
      </c>
      <c r="AU51" s="41">
        <f>(AU3-Базис_М_1)/Базис_М_1</f>
        <v>0.21493050580312364</v>
      </c>
      <c r="AV51" s="41">
        <f>(AV3-Базис_М_1)/Базис_М_1</f>
        <v>0.4926207193007594</v>
      </c>
    </row>
    <row r="52" spans="2:48">
      <c r="B52" s="5" t="s">
        <v>2</v>
      </c>
      <c r="C52" s="22"/>
      <c r="D52" s="39">
        <f>(Базис_12-Базис_2)/Базис_2</f>
        <v>-2.2332506203473945E-2</v>
      </c>
      <c r="E52" s="39">
        <f>(Базис_22-Базис_2)/Базис_2</f>
        <v>-0.1748552522746071</v>
      </c>
      <c r="F52" s="39">
        <f>(Базис_32-Базис_2)/Базис_2</f>
        <v>3.672456575682382E-2</v>
      </c>
      <c r="G52" s="39">
        <f>(Базис_42-Базис_2)/Базис_2</f>
        <v>0.48122415219189413</v>
      </c>
      <c r="H52" s="39">
        <f>(Базис_52-Базис_2)/Базис_2</f>
        <v>0.80744416873449132</v>
      </c>
      <c r="I52" s="39">
        <f>(Базис_62-Базис_2)/Базис_2</f>
        <v>0.64598842018196856</v>
      </c>
      <c r="J52" s="39">
        <f>(Базис_72-Базис_2)/Базис_2</f>
        <v>0.6380479735318445</v>
      </c>
      <c r="K52" s="39">
        <f>(Базис_82-Базис_2)/Базис_2</f>
        <v>1.2315963606286187</v>
      </c>
      <c r="L52" s="39">
        <f>(Базис_92-Базис_2)/Базис_2</f>
        <v>1.3291976840363937</v>
      </c>
      <c r="M52" s="39">
        <f>(Базис_102-Базис_2)/Базис_2</f>
        <v>0.41555004135649298</v>
      </c>
      <c r="N52" s="39">
        <f>(N4-Базис_2)/Базис_2</f>
        <v>-0.1748552522746071</v>
      </c>
      <c r="O52" s="39">
        <f>(O4-Базис_2)/Базис_2</f>
        <v>0.48987141890367708</v>
      </c>
      <c r="P52" s="39">
        <f>(P4-Базис_2)/Базис_2</f>
        <v>1.3291976840363937</v>
      </c>
      <c r="R52" s="10" t="s">
        <v>2</v>
      </c>
      <c r="S52" s="23"/>
      <c r="T52" s="40">
        <f>(Базис_Ж_12-Базис_Ж_2)/Базис_Ж_2</f>
        <v>6.3961813842482104E-2</v>
      </c>
      <c r="U52" s="40">
        <f>(Базис_Ж_22-Базис_Ж_2)/Базис_Ж_2</f>
        <v>-0.12410501193317422</v>
      </c>
      <c r="V52" s="40">
        <f>(Базис_Ж_32-Базис_Ж_2)/Базис_Ж_2</f>
        <v>-3.389021479713604E-2</v>
      </c>
      <c r="W52" s="40">
        <f>(Базис_Ж_42-Базис_Ж_2)/Базис_Ж_2</f>
        <v>0.72171837708830544</v>
      </c>
      <c r="X52" s="40">
        <f>(Базис_Ж_52-Базис_Ж_2)/Базис_Ж_2</f>
        <v>1.452983293556086</v>
      </c>
      <c r="Y52" s="40">
        <f>(Базис_Ж_62-Базис_Ж_2)/Базис_Ж_2</f>
        <v>1.1484486873508353</v>
      </c>
      <c r="Z52" s="40">
        <f>(Базис_Ж_72-Базис_Ж_2)/Базис_Ж_2</f>
        <v>1.0272076372315035</v>
      </c>
      <c r="AA52" s="40">
        <f>(Базис_Ж_82-Базис_Ж_2)/Базис_Ж_2</f>
        <v>1.6596658711217185</v>
      </c>
      <c r="AB52" s="40">
        <f>(Базис_Ж_92-Базис_Ж_2)/Базис_Ж_2</f>
        <v>1.7847255369928401</v>
      </c>
      <c r="AC52" s="40">
        <f>(Базис_Ж_102-Базис_Ж_2)/Базис_Ж_2</f>
        <v>0.66682577565632462</v>
      </c>
      <c r="AD52" s="40">
        <f>(AD4-Базис_Ж_2)/Базис_Ж_2</f>
        <v>-0.12410501193317422</v>
      </c>
      <c r="AE52" s="40">
        <f>(AE4-Базис_Ж_2)/Базис_Ж_2</f>
        <v>0.7606856151008895</v>
      </c>
      <c r="AF52" s="40">
        <f>(AF4-Базис_Ж_2)/Базис_Ж_2</f>
        <v>1.7847255369928401</v>
      </c>
      <c r="AH52" s="19" t="s">
        <v>2</v>
      </c>
      <c r="AI52" s="24"/>
      <c r="AJ52" s="41">
        <f>(Базис_М_12-Базис_М_2)/Базис_М_2</f>
        <v>-6.8101265822784807E-2</v>
      </c>
      <c r="AK52" s="41">
        <f>(Базис_М_22-Базис_М_2)/Базис_М_2</f>
        <v>-0.20177215189873418</v>
      </c>
      <c r="AL52" s="41">
        <f>(Базис_М_32-Базис_М_2)/Базис_М_2</f>
        <v>7.4177215189873413E-2</v>
      </c>
      <c r="AM52" s="41">
        <f>(Базис_М_42-Базис_М_2)/Базис_М_2</f>
        <v>0.35367088607594938</v>
      </c>
      <c r="AN52" s="41">
        <f>(Базис_М_52-Базис_М_2)/Базис_М_2</f>
        <v>0.4650632911392405</v>
      </c>
      <c r="AO52" s="41">
        <f>(Базис_М_62-Базис_М_2)/Базис_М_2</f>
        <v>0.37949367088607594</v>
      </c>
      <c r="AP52" s="41">
        <f>(Базис_М_72-Базис_М_2)/Базис_М_2</f>
        <v>0.43164556962025319</v>
      </c>
      <c r="AQ52" s="41">
        <f>(Базис_М_82-Базис_М_2)/Базис_М_2</f>
        <v>1.0045569620253165</v>
      </c>
      <c r="AR52" s="41">
        <f>(Базис_М_92-Базис_М_2)/Базис_М_2</f>
        <v>1.0875949367088606</v>
      </c>
      <c r="AS52" s="41">
        <f>(Базис_М_102-Базис_М_2)/Базис_М_2</f>
        <v>0.28227848101265823</v>
      </c>
      <c r="AT52" s="41">
        <f>(AT4-Базис_М_2)/Базис_М_2</f>
        <v>-0.20177215189873418</v>
      </c>
      <c r="AU52" s="41">
        <f>(AU4-Базис_М_2)/Базис_М_2</f>
        <v>0.34623705408515543</v>
      </c>
      <c r="AV52" s="41">
        <f>(AV4-Базис_М_2)/Базис_М_2</f>
        <v>1.0875949367088606</v>
      </c>
    </row>
    <row r="53" spans="2:48">
      <c r="B53" s="5" t="s">
        <v>3</v>
      </c>
      <c r="C53" s="22"/>
      <c r="D53" s="39">
        <f>(Базис_13-Базис_3)/Базис_3</f>
        <v>-3.7731427232247483E-2</v>
      </c>
      <c r="E53" s="39">
        <f>(Базис_23-Базис_3)/Базис_3</f>
        <v>7.6087805640184358E-2</v>
      </c>
      <c r="F53" s="39">
        <f>(Базис_33-Базис_3)/Базис_3</f>
        <v>0.31325677681431136</v>
      </c>
      <c r="G53" s="39">
        <f>(Базис_43-Базис_3)/Базис_3</f>
        <v>0.83352863057573623</v>
      </c>
      <c r="H53" s="39">
        <f>(Базис_53-Базис_3)/Базис_3</f>
        <v>0.77509569564877745</v>
      </c>
      <c r="I53" s="39">
        <f>(Базис_63-Базис_3)/Базис_3</f>
        <v>0.75603468479025071</v>
      </c>
      <c r="J53" s="39">
        <f>(Базис_73-Базис_3)/Базис_3</f>
        <v>0.6960393719240684</v>
      </c>
      <c r="K53" s="39">
        <f>(Базис_83-Базис_3)/Базис_3</f>
        <v>0.54237950160143744</v>
      </c>
      <c r="L53" s="39">
        <f>(Базис_93-Базис_3)/Базис_3</f>
        <v>0.34505116787750956</v>
      </c>
      <c r="M53" s="39">
        <f>(Базис_103-Базис_3)/Базис_3</f>
        <v>-3.2575580032809935E-2</v>
      </c>
      <c r="N53" s="39">
        <f>(N5-Базис_3)/Базис_3</f>
        <v>-3.7731427232247483E-2</v>
      </c>
      <c r="O53" s="39">
        <f>(O5-Базис_3)/Базис_3</f>
        <v>0.38792423887338334</v>
      </c>
      <c r="P53" s="39">
        <f>(P5-Базис_3)/Базис_3</f>
        <v>0.83352863057573623</v>
      </c>
      <c r="R53" s="10" t="s">
        <v>3</v>
      </c>
      <c r="S53" s="23"/>
      <c r="T53" s="40">
        <f>(Базис_Ж_13-Базис_Ж_3)/Базис_Ж_3</f>
        <v>-5.0034650034650033E-2</v>
      </c>
      <c r="U53" s="40">
        <f>(Базис_Ж_23-Базис_Ж_3)/Базис_Ж_3</f>
        <v>1.6216216216216217E-2</v>
      </c>
      <c r="V53" s="40">
        <f>(Базис_Ж_33-Базис_Ж_3)/Базис_Ж_3</f>
        <v>0.11351351351351352</v>
      </c>
      <c r="W53" s="40">
        <f>(Базис_Ж_43-Базис_Ж_3)/Базис_Ж_3</f>
        <v>0.50214830214830219</v>
      </c>
      <c r="X53" s="40">
        <f>(Базис_Ж_53-Базис_Ж_3)/Базис_Ж_3</f>
        <v>0.37006237006237008</v>
      </c>
      <c r="Y53" s="40">
        <f>(Базис_Ж_63-Базис_Ж_3)/Базис_Ж_3</f>
        <v>0.26444906444906446</v>
      </c>
      <c r="Z53" s="40">
        <f>(Базис_Ж_73-Базис_Ж_3)/Базис_Ж_3</f>
        <v>0.17865557865557866</v>
      </c>
      <c r="AA53" s="40">
        <f>(Базис_Ж_83-Базис_Ж_3)/Базис_Ж_3</f>
        <v>5.9598059598059597E-2</v>
      </c>
      <c r="AB53" s="40">
        <f>(Базис_Ж_93-Базис_Ж_3)/Базис_Ж_3</f>
        <v>-0.11545391545391545</v>
      </c>
      <c r="AC53" s="40">
        <f>(Базис_Ж_103-Базис_Ж_3)/Базис_Ж_3</f>
        <v>-0.32571032571032571</v>
      </c>
      <c r="AD53" s="40">
        <f>(AD5-Базис_Ж_3)/Базис_Ж_3</f>
        <v>-0.32571032571032571</v>
      </c>
      <c r="AE53" s="40">
        <f>(AE5-Базис_Ж_3)/Базис_Ж_3</f>
        <v>9.2131292131292161E-2</v>
      </c>
      <c r="AF53" s="40">
        <f>(AF5-Базис_Ж_3)/Базис_Ж_3</f>
        <v>0.50214830214830219</v>
      </c>
      <c r="AH53" s="19" t="s">
        <v>3</v>
      </c>
      <c r="AI53" s="24"/>
      <c r="AJ53" s="41">
        <f>(Базис_М_13-Базис_М_3)/Базис_М_3</f>
        <v>-2.184031507339778E-2</v>
      </c>
      <c r="AK53" s="41">
        <f>(Базис_М_23-Базис_М_3)/Базис_М_3</f>
        <v>0.15341926244181883</v>
      </c>
      <c r="AL53" s="41">
        <f>(Базис_М_33-Базис_М_3)/Базис_М_3</f>
        <v>0.57124955245255993</v>
      </c>
      <c r="AM53" s="41">
        <f>(Базис_М_43-Базис_М_3)/Базис_М_3</f>
        <v>1.2615467239527389</v>
      </c>
      <c r="AN53" s="41">
        <f>(Базис_М_53-Базис_М_3)/Базис_М_3</f>
        <v>1.2982456140350878</v>
      </c>
      <c r="AO53" s="41">
        <f>(Базис_М_63-Базис_М_3)/Базис_М_3</f>
        <v>1.3909774436090225</v>
      </c>
      <c r="AP53" s="41">
        <f>(Базис_М_73-Базис_М_3)/Базис_М_3</f>
        <v>1.3643036161833155</v>
      </c>
      <c r="AQ53" s="41">
        <f>(Базис_М_83-Базис_М_3)/Базис_М_3</f>
        <v>1.1659505907626209</v>
      </c>
      <c r="AR53" s="41">
        <f>(Базис_М_93-Базис_М_3)/Базис_М_3</f>
        <v>0.93984962406015038</v>
      </c>
      <c r="AS53" s="41">
        <f>(Базис_М_103-Базис_М_3)/Базис_М_3</f>
        <v>0.34604368063014679</v>
      </c>
      <c r="AT53" s="41">
        <f>(AT5-Базис_М_3)/Базис_М_3</f>
        <v>-2.184031507339778E-2</v>
      </c>
      <c r="AU53" s="41">
        <f>(AU5-Базис_М_3)/Базис_М_3</f>
        <v>0.76997689027764227</v>
      </c>
      <c r="AV53" s="41">
        <f>(AV5-Базис_М_3)/Базис_М_3</f>
        <v>1.3909774436090225</v>
      </c>
    </row>
    <row r="54" spans="2:48">
      <c r="B54" s="5" t="s">
        <v>4</v>
      </c>
      <c r="C54" s="22"/>
      <c r="D54" s="39">
        <f>(Базис_14-Базис_4)/Базис_4</f>
        <v>5.3492174725531416E-2</v>
      </c>
      <c r="E54" s="39">
        <f>(Базис_24-Базис_4)/Базис_4</f>
        <v>8.8530717122167715E-2</v>
      </c>
      <c r="F54" s="39">
        <f>(Базис_34-Базис_4)/Базис_4</f>
        <v>-1.9621583742116328E-2</v>
      </c>
      <c r="G54" s="39">
        <f>(Базис_44-Базис_4)/Базис_4</f>
        <v>-1.8453632328895117E-2</v>
      </c>
      <c r="H54" s="39">
        <f>(Базис_54-Базис_4)/Базис_4</f>
        <v>9.1100210231254385E-3</v>
      </c>
      <c r="I54" s="39">
        <f>(Базис_64-Базис_4)/Базис_4</f>
        <v>4.9053959355290819E-2</v>
      </c>
      <c r="J54" s="39">
        <f>(Базис_74-Базис_4)/Базис_4</f>
        <v>-9.3436113057696803E-3</v>
      </c>
      <c r="K54" s="39">
        <f>(Базис_84-Базис_4)/Базис_4</f>
        <v>-0.12800747488904463</v>
      </c>
      <c r="L54" s="39">
        <f>(Базис_94-Базис_4)/Базис_4</f>
        <v>-0.35505722961924785</v>
      </c>
      <c r="M54" s="39">
        <f>(Базис_104-Базис_4)/Базис_4</f>
        <v>-0.47558981546367673</v>
      </c>
      <c r="N54" s="39">
        <f>(N6-Базис_4)/Базис_4</f>
        <v>-0.47558981546367673</v>
      </c>
      <c r="O54" s="39">
        <f>(O6-Базис_4)/Базис_4</f>
        <v>-7.3262406829330412E-2</v>
      </c>
      <c r="P54" s="39">
        <f>(P6-Базис_4)/Базис_4</f>
        <v>8.8530717122167715E-2</v>
      </c>
      <c r="R54" s="10" t="s">
        <v>16</v>
      </c>
      <c r="S54" s="23"/>
      <c r="T54" s="40">
        <f>(Базис_Ж_14-Базис_Ж_4)/Базис_Ж_4</f>
        <v>2.2808586762075134E-2</v>
      </c>
      <c r="U54" s="40">
        <f>(Базис_Ж_24-Базис_Ж_4)/Базис_Ж_4</f>
        <v>6.8872987477638634E-2</v>
      </c>
      <c r="V54" s="40">
        <f>(Базис_Ж_34-Базис_Ж_4)/Базис_Ж_4</f>
        <v>4.9642218246869409E-2</v>
      </c>
      <c r="W54" s="40">
        <f>(Базис_Ж_44-Базис_Ж_4)/Базис_Ж_4</f>
        <v>3.0858676207513418E-2</v>
      </c>
      <c r="X54" s="40">
        <f>(Базис_Ж_54-Базис_Ж_4)/Базис_Ж_4</f>
        <v>3.1305903398926652E-2</v>
      </c>
      <c r="Y54" s="40">
        <f>(Базис_Ж_64-Базис_Ж_4)/Базис_Ж_4</f>
        <v>5.8139534883720929E-2</v>
      </c>
      <c r="Z54" s="40">
        <f>(Базис_Ж_74-Базис_Ж_4)/Базис_Ж_4</f>
        <v>2.0572450805008944E-2</v>
      </c>
      <c r="AA54" s="40">
        <f>(Базис_Ж_84-Базис_Ж_4)/Базис_Ж_4</f>
        <v>-0.11762075134168157</v>
      </c>
      <c r="AB54" s="40">
        <f>(Базис_Ж_94-Базис_Ж_4)/Базис_Ж_4</f>
        <v>-0.3103756708407871</v>
      </c>
      <c r="AC54" s="40">
        <f>(Базис_Ж_104-Базис_Ж_4)/Базис_Ж_4</f>
        <v>-0.47316636851520572</v>
      </c>
      <c r="AD54" s="40">
        <f>(AD6-Базис_Ж_4)/Базис_Ж_4</f>
        <v>-0.47316636851520572</v>
      </c>
      <c r="AE54" s="40">
        <f>(AE6-Базис_Ж_4)/Базис_Ж_4</f>
        <v>-5.6269312083265646E-2</v>
      </c>
      <c r="AF54" s="40">
        <f>(AF6-Базис_Ж_4)/Базис_Ж_4</f>
        <v>6.8872987477638634E-2</v>
      </c>
      <c r="AH54" s="19" t="s">
        <v>16</v>
      </c>
      <c r="AI54" s="24"/>
      <c r="AJ54" s="41">
        <f>(Базис_М_14-Базис_М_4)/Базис_М_4</f>
        <v>8.7041564792176035E-2</v>
      </c>
      <c r="AK54" s="41">
        <f>(Базис_М_24-Базис_М_4)/Базис_М_4</f>
        <v>0.1100244498777506</v>
      </c>
      <c r="AL54" s="41">
        <f>(Базис_М_34-Базис_М_4)/Базис_М_4</f>
        <v>-9.5354523227383858E-2</v>
      </c>
      <c r="AM54" s="41">
        <f>(Базис_М_44-Базис_М_4)/Базис_М_4</f>
        <v>-7.2371638141809289E-2</v>
      </c>
      <c r="AN54" s="41">
        <f>(Базис_М_54-Базис_М_4)/Базис_М_4</f>
        <v>-1.5158924205378973E-2</v>
      </c>
      <c r="AO54" s="41">
        <f>(Базис_М_64-Базис_М_4)/Базис_М_4</f>
        <v>3.9119804400977995E-2</v>
      </c>
      <c r="AP54" s="41">
        <f>(Базис_М_74-Базис_М_4)/Базис_М_4</f>
        <v>-4.2053789731051346E-2</v>
      </c>
      <c r="AQ54" s="41">
        <f>(Базис_М_84-Базис_М_4)/Базис_М_4</f>
        <v>-0.13936430317848411</v>
      </c>
      <c r="AR54" s="41">
        <f>(Базис_М_94-Базис_М_4)/Базис_М_4</f>
        <v>-0.4039119804400978</v>
      </c>
      <c r="AS54" s="41">
        <f>(Базис_М_104-Базис_М_4)/Базис_М_4</f>
        <v>-0.47823960880195598</v>
      </c>
      <c r="AT54" s="41">
        <f>(AT6-Базис_М_4)/Базис_М_4</f>
        <v>-0.47823960880195598</v>
      </c>
      <c r="AU54" s="41">
        <f>(AU6-Базис_М_4)/Базис_М_4</f>
        <v>-9.1842631695932403E-2</v>
      </c>
      <c r="AV54" s="41">
        <f>(AV6-Базис_М_4)/Базис_М_4</f>
        <v>0.1100244498777506</v>
      </c>
    </row>
    <row r="55" spans="2:48">
      <c r="B55" s="5" t="s">
        <v>5</v>
      </c>
      <c r="C55" s="22"/>
      <c r="D55" s="39">
        <f>(Базис_15-Базис_5)/Базис_5</f>
        <v>-0.11743656473649967</v>
      </c>
      <c r="E55" s="39">
        <f>(Базис_25-Базис_5)/Базис_5</f>
        <v>-0.11483409238776839</v>
      </c>
      <c r="F55" s="39">
        <f>(Базис_35-Базис_5)/Базис_5</f>
        <v>-0.33523096942094988</v>
      </c>
      <c r="G55" s="39">
        <f>(Базис_45-Базис_5)/Базис_5</f>
        <v>-0.33832140533506833</v>
      </c>
      <c r="H55" s="39">
        <f>(Базис_55-Базис_5)/Базис_5</f>
        <v>-0.53188028627195838</v>
      </c>
      <c r="I55" s="39">
        <f>(Базис_65-Базис_5)/Базис_5</f>
        <v>-0.53594664931685099</v>
      </c>
      <c r="J55" s="39">
        <f>(Базис_75-Базис_5)/Базис_5</f>
        <v>-0.54765777488614187</v>
      </c>
      <c r="K55" s="39">
        <f>(Базис_85-Базис_5)/Базис_5</f>
        <v>-0.59629147690305795</v>
      </c>
      <c r="L55" s="39">
        <f>(Базис_95-Базис_5)/Базис_5</f>
        <v>-0.67843201040988943</v>
      </c>
      <c r="M55" s="39">
        <f>(Базис_105-Базис_5)/Базис_5</f>
        <v>-0.7462589459986988</v>
      </c>
      <c r="N55" s="39">
        <f>(N7-Базис_5)/Базис_5</f>
        <v>-0.7462589459986988</v>
      </c>
      <c r="O55" s="39">
        <f>(O7-Базис_5)/Базис_5</f>
        <v>-0.41293547051517121</v>
      </c>
      <c r="P55" s="39">
        <f>(P7-Базис_5)/Базис_5</f>
        <v>0</v>
      </c>
      <c r="R55" s="10" t="s">
        <v>17</v>
      </c>
      <c r="S55" s="23"/>
      <c r="T55" s="40">
        <f>(Базис_Ж_15-Базис_Ж_5)/Базис_Ж_5</f>
        <v>-6.7419067419067419E-2</v>
      </c>
      <c r="U55" s="40">
        <f>(Базис_Ж_25-Базис_Ж_5)/Базис_Ж_5</f>
        <v>-4.3362043362043363E-2</v>
      </c>
      <c r="V55" s="40">
        <f>(Базис_Ж_35-Базис_Ж_5)/Базис_Ж_5</f>
        <v>-0.24294624294624295</v>
      </c>
      <c r="W55" s="40">
        <f>(Базис_Ж_45-Базис_Ж_5)/Базис_Ж_5</f>
        <v>-0.35194535194535193</v>
      </c>
      <c r="X55" s="40">
        <f>(Базис_Ж_55-Базис_Ж_5)/Базис_Ж_5</f>
        <v>-0.5782595782595783</v>
      </c>
      <c r="Y55" s="40">
        <f>(Базис_Ж_65-Базис_Ж_5)/Базис_Ж_5</f>
        <v>-0.58360558360558357</v>
      </c>
      <c r="Z55" s="40">
        <f>(Базис_Ж_75-Базис_Ж_5)/Базис_Ж_5</f>
        <v>-0.58865458865458864</v>
      </c>
      <c r="AA55" s="40">
        <f>(Базис_Ж_85-Базис_Ж_5)/Базис_Ж_5</f>
        <v>-0.63498663498663499</v>
      </c>
      <c r="AB55" s="40">
        <f>(Базис_Ж_95-Базис_Ж_5)/Базис_Ж_5</f>
        <v>-0.70448470448470446</v>
      </c>
      <c r="AC55" s="40">
        <f>(Базис_Ж_105-Базис_Ж_5)/Базис_Ж_5</f>
        <v>-0.76447876447876451</v>
      </c>
      <c r="AD55" s="40">
        <f>(AD7-Базис_Ж_5)/Базис_Ж_5</f>
        <v>-0.76447876447876451</v>
      </c>
      <c r="AE55" s="40">
        <f>(AE7-Базис_Ж_5)/Базис_Ж_5</f>
        <v>-0.41455841455841452</v>
      </c>
      <c r="AF55" s="40">
        <f>(AF7-Базис_Ж_5)/Базис_Ж_5</f>
        <v>0</v>
      </c>
      <c r="AH55" s="19" t="s">
        <v>17</v>
      </c>
      <c r="AI55" s="24"/>
      <c r="AJ55" s="41">
        <f>(Базис_М_15-Базис_М_5)/Базис_М_5</f>
        <v>-0.17799352750809061</v>
      </c>
      <c r="AK55" s="41">
        <f>(Базис_М_25-Базис_М_5)/Базис_М_5</f>
        <v>-0.20136641495864796</v>
      </c>
      <c r="AL55" s="41">
        <f>(Базис_М_35-Базис_М_5)/Базис_М_5</f>
        <v>-0.44696152463142752</v>
      </c>
      <c r="AM55" s="41">
        <f>(Базис_М_45-Базис_М_5)/Базис_М_5</f>
        <v>-0.32182668104998202</v>
      </c>
      <c r="AN55" s="41">
        <f>(Базис_М_55-Базис_М_5)/Базис_М_5</f>
        <v>-0.47572815533980584</v>
      </c>
      <c r="AO55" s="41">
        <f>(Базис_М_65-Базис_М_5)/Базис_М_5</f>
        <v>-0.47824523552678894</v>
      </c>
      <c r="AP55" s="41">
        <f>(Базис_М_75-Базис_М_5)/Базис_М_5</f>
        <v>-0.498022294138799</v>
      </c>
      <c r="AQ55" s="41">
        <f>(Базис_М_85-Базис_М_5)/Базис_М_5</f>
        <v>-0.54944264653002517</v>
      </c>
      <c r="AR55" s="41">
        <f>(Базис_М_95-Базис_М_5)/Базис_М_5</f>
        <v>-0.64688960805465656</v>
      </c>
      <c r="AS55" s="41">
        <f>(Базис_М_105-Базис_М_5)/Базис_М_5</f>
        <v>-0.72419992808342326</v>
      </c>
      <c r="AT55" s="41">
        <f>(AT7-Базис_М_5)/Базис_М_5</f>
        <v>-0.72419992808342326</v>
      </c>
      <c r="AU55" s="41">
        <f>(AU7-Базис_М_5)/Базис_М_5</f>
        <v>-0.41097054689287704</v>
      </c>
      <c r="AV55" s="41">
        <f>(AV7-Базис_М_5)/Базис_М_5</f>
        <v>0</v>
      </c>
    </row>
    <row r="56" spans="2:48">
      <c r="B56" s="5" t="s">
        <v>6</v>
      </c>
      <c r="C56" s="22"/>
      <c r="D56" s="39">
        <f>(Базис_16-Базис_6)/Базис_6</f>
        <v>-6.1291407432318819E-2</v>
      </c>
      <c r="E56" s="39">
        <f>(Базис_26-Базис_6)/Базис_6</f>
        <v>-7.7602152345720529E-2</v>
      </c>
      <c r="F56" s="39">
        <f>(Базис_36-Базис_6)/Базис_6</f>
        <v>-1.4292920800403565E-2</v>
      </c>
      <c r="G56" s="39">
        <f>(Базис_46-Базис_6)/Базис_6</f>
        <v>0.3085589372793005</v>
      </c>
      <c r="H56" s="39">
        <f>(Базис_56-Базис_6)/Базис_6</f>
        <v>0.63771649571212374</v>
      </c>
      <c r="I56" s="39">
        <f>(Базис_66-Базис_6)/Базис_6</f>
        <v>0.67958634605683543</v>
      </c>
      <c r="J56" s="39">
        <f>(Базис_76-Базис_6)/Базис_6</f>
        <v>0.6347738355473348</v>
      </c>
      <c r="K56" s="39">
        <f>(Базис_86-Базис_6)/Базис_6</f>
        <v>0.47603833865814699</v>
      </c>
      <c r="L56" s="39">
        <f>(Базис_96-Базис_6)/Базис_6</f>
        <v>0.3768286531024046</v>
      </c>
      <c r="M56" s="39">
        <f>(Базис_106-Базис_6)/Базис_6</f>
        <v>0.17790482596267027</v>
      </c>
      <c r="N56" s="39">
        <f>(N8-Базис_6)/Базис_6</f>
        <v>-7.7602152345720529E-2</v>
      </c>
      <c r="O56" s="39">
        <f>(O8-Базис_6)/Базис_6</f>
        <v>0.28529281379457944</v>
      </c>
      <c r="P56" s="39">
        <f>(P8-Базис_6)/Базис_6</f>
        <v>0.67958634605683543</v>
      </c>
      <c r="R56" s="10" t="s">
        <v>6</v>
      </c>
      <c r="S56" s="23"/>
      <c r="T56" s="40">
        <f>(Базис_Ж_16-Базис_Ж_6)/Базис_Ж_6</f>
        <v>-1.7487437185929648E-2</v>
      </c>
      <c r="U56" s="40">
        <f>(Базис_Ж_26-Базис_Ж_6)/Базис_Ж_6</f>
        <v>3.0552763819095479E-2</v>
      </c>
      <c r="V56" s="40">
        <f>(Базис_Ж_36-Базис_Ж_6)/Базис_Ж_6</f>
        <v>8.4623115577889443E-2</v>
      </c>
      <c r="W56" s="40">
        <f>(Базис_Ж_46-Базис_Ж_6)/Базис_Ж_6</f>
        <v>0.50773869346733669</v>
      </c>
      <c r="X56" s="40">
        <f>(Базис_Ж_56-Базис_Ж_6)/Базис_Ж_6</f>
        <v>0.73708542713567837</v>
      </c>
      <c r="Y56" s="40">
        <f>(Базис_Ж_66-Базис_Ж_6)/Базис_Ж_6</f>
        <v>0.75819095477386933</v>
      </c>
      <c r="Z56" s="40">
        <f>(Базис_Ж_76-Базис_Ж_6)/Базис_Ж_6</f>
        <v>0.625929648241206</v>
      </c>
      <c r="AA56" s="40">
        <f>(Базис_Ж_86-Базис_Ж_6)/Базис_Ж_6</f>
        <v>0.44040201005025126</v>
      </c>
      <c r="AB56" s="40">
        <f>(Базис_Ж_96-Базис_Ж_6)/Базис_Ж_6</f>
        <v>0.34854271356783917</v>
      </c>
      <c r="AC56" s="40">
        <f>(Базис_Ж_106-Базис_Ж_6)/Базис_Ж_6</f>
        <v>0.14592964824120602</v>
      </c>
      <c r="AD56" s="40">
        <f>(AD8-Базис_Ж_6)/Базис_Ж_6</f>
        <v>-1.7487437185929648E-2</v>
      </c>
      <c r="AE56" s="40">
        <f>(AE8-Базис_Ж_6)/Базис_Ж_6</f>
        <v>0.33286432160804019</v>
      </c>
      <c r="AF56" s="40">
        <f>(AF8-Базис_Ж_6)/Базис_Ж_6</f>
        <v>0.75819095477386933</v>
      </c>
      <c r="AH56" s="19" t="s">
        <v>6</v>
      </c>
      <c r="AI56" s="24"/>
      <c r="AJ56" s="41">
        <f>(Базис_М_16-Базис_М_6)/Базис_М_6</f>
        <v>-9.2787975140916315E-2</v>
      </c>
      <c r="AK56" s="41">
        <f>(Базис_М_26-Базис_М_6)/Базис_М_6</f>
        <v>-0.15536927301633183</v>
      </c>
      <c r="AL56" s="41">
        <f>(Базис_М_36-Базис_М_6)/Базис_М_6</f>
        <v>-8.5416967769908952E-2</v>
      </c>
      <c r="AM56" s="41">
        <f>(Базис_М_46-Базис_М_6)/Базис_М_6</f>
        <v>0.16534181240063592</v>
      </c>
      <c r="AN56" s="41">
        <f>(Базис_М_56-Базис_М_6)/Базис_М_6</f>
        <v>0.56626680156091924</v>
      </c>
      <c r="AO56" s="41">
        <f>(Базис_М_66-Базис_М_6)/Базис_М_6</f>
        <v>0.6230669171845642</v>
      </c>
      <c r="AP56" s="41">
        <f>(Базис_М_76-Базис_М_6)/Базис_М_6</f>
        <v>0.64113311172134702</v>
      </c>
      <c r="AQ56" s="41">
        <f>(Базис_М_86-Базис_М_6)/Базис_М_6</f>
        <v>0.50166208989738403</v>
      </c>
      <c r="AR56" s="41">
        <f>(Базис_М_96-Базис_М_6)/Базис_М_6</f>
        <v>0.39716722069663246</v>
      </c>
      <c r="AS56" s="41">
        <f>(Базис_М_106-Базис_М_6)/Базис_М_6</f>
        <v>0.20089608324902442</v>
      </c>
      <c r="AT56" s="41">
        <f>(AT8-Базис_М_6)/Базис_М_6</f>
        <v>-0.15536927301633183</v>
      </c>
      <c r="AU56" s="41">
        <f>(AU8-Базис_М_6)/Базис_М_6</f>
        <v>0.25108725643485014</v>
      </c>
      <c r="AV56" s="41">
        <f>(AV8-Базис_М_6)/Базис_М_6</f>
        <v>0.64113311172134702</v>
      </c>
    </row>
    <row r="57" spans="2:48">
      <c r="B57" s="5" t="s">
        <v>7</v>
      </c>
      <c r="C57" s="22"/>
      <c r="D57" s="39">
        <f>(Базис_17-Базис_7)/Базис_7</f>
        <v>4.9188391539596657E-3</v>
      </c>
      <c r="E57" s="39">
        <f>(Базис_27-Базис_7)/Базис_7</f>
        <v>0.12543039842597148</v>
      </c>
      <c r="F57" s="39">
        <f>(Базис_37-Базис_7)/Базис_7</f>
        <v>0.12149532710280374</v>
      </c>
      <c r="G57" s="39">
        <f>(Базис_47-Базис_7)/Базис_7</f>
        <v>0.38858829316281357</v>
      </c>
      <c r="H57" s="39">
        <f>(Базис_57-Базис_7)/Базис_7</f>
        <v>0.48499754058042305</v>
      </c>
      <c r="I57" s="39">
        <f>(Базис_67-Базис_7)/Базис_7</f>
        <v>0.500245941957698</v>
      </c>
      <c r="J57" s="39">
        <f>(Базис_77-Базис_7)/Базис_7</f>
        <v>0.53221839645843583</v>
      </c>
      <c r="K57" s="39">
        <f>(Базис_87-Базис_7)/Базис_7</f>
        <v>0.56665027053615347</v>
      </c>
      <c r="L57" s="39">
        <f>(Базис_97-Базис_7)/Базис_7</f>
        <v>0.61042793900639447</v>
      </c>
      <c r="M57" s="39">
        <f>(Базис_107-Базис_7)/Базис_7</f>
        <v>0.29709788489916378</v>
      </c>
      <c r="N57" s="39">
        <f>(N9-Базис_7)/Базис_7</f>
        <v>0</v>
      </c>
      <c r="O57" s="39">
        <f>(O9-Базис_7)/Базис_7</f>
        <v>0.33018825738943802</v>
      </c>
      <c r="P57" s="39">
        <f>(P9-Базис_7)/Базис_7</f>
        <v>0.61042793900639447</v>
      </c>
      <c r="R57" s="10" t="s">
        <v>7</v>
      </c>
      <c r="S57" s="23"/>
      <c r="T57" s="40">
        <f>(Базис_Ж_17-Базис_Ж_7)/Базис_Ж_7</f>
        <v>9.8962490023942543E-2</v>
      </c>
      <c r="U57" s="40">
        <f>(Базис_Ж_27-Базис_Ж_7)/Базис_Ж_7</f>
        <v>0.20510774142059057</v>
      </c>
      <c r="V57" s="40">
        <f>(Базис_Ж_37-Базис_Ж_7)/Базис_Ж_7</f>
        <v>0.24102154828411812</v>
      </c>
      <c r="W57" s="40">
        <f>(Базис_Ж_47-Базис_Ж_7)/Базис_Ж_7</f>
        <v>0.4205905826017558</v>
      </c>
      <c r="X57" s="40">
        <f>(Базис_Ж_57-Базис_Ж_7)/Базис_Ж_7</f>
        <v>0.44293695131683958</v>
      </c>
      <c r="Y57" s="40">
        <f>(Базис_Ж_67-Базис_Ж_7)/Базис_Ж_7</f>
        <v>0.34078212290502791</v>
      </c>
      <c r="Z57" s="40">
        <f>(Базис_Ж_77-Базис_Ж_7)/Базис_Ж_7</f>
        <v>0.27294493216280924</v>
      </c>
      <c r="AA57" s="40">
        <f>(Базис_Ж_87-Базис_Ж_7)/Базис_Ж_7</f>
        <v>0.24261771747805266</v>
      </c>
      <c r="AB57" s="40">
        <f>(Базис_Ж_97-Базис_Ж_7)/Базис_Ж_7</f>
        <v>0.28252194732641661</v>
      </c>
      <c r="AC57" s="40">
        <f>(Базис_Ж_107-Базис_Ж_7)/Базис_Ж_7</f>
        <v>2.8731045490822026E-2</v>
      </c>
      <c r="AD57" s="40">
        <f>(AD9-Базис_Ж_7)/Базис_Ж_7</f>
        <v>0</v>
      </c>
      <c r="AE57" s="40">
        <f>(AE9-Базис_Ж_7)/Базис_Ж_7</f>
        <v>0.23420155263730685</v>
      </c>
      <c r="AF57" s="40">
        <f>(AF9-Базис_Ж_7)/Базис_Ж_7</f>
        <v>0.44293695131683958</v>
      </c>
      <c r="AH57" s="19" t="s">
        <v>7</v>
      </c>
      <c r="AI57" s="24"/>
      <c r="AJ57" s="41">
        <f>(Базис_М_17-Базис_М_7)/Базис_М_7</f>
        <v>-0.14615384615384616</v>
      </c>
      <c r="AK57" s="41">
        <f>(Базис_М_27-Базис_М_7)/Базис_М_7</f>
        <v>-2.5641025641025641E-3</v>
      </c>
      <c r="AL57" s="41">
        <f>(Базис_М_37-Базис_М_7)/Базис_М_7</f>
        <v>-7.0512820512820512E-2</v>
      </c>
      <c r="AM57" s="41">
        <f>(Базис_М_47-Базис_М_7)/Базис_М_7</f>
        <v>0.3371794871794872</v>
      </c>
      <c r="AN57" s="41">
        <f>(Базис_М_57-Базис_М_7)/Базис_М_7</f>
        <v>0.5525641025641026</v>
      </c>
      <c r="AO57" s="41">
        <f>(Базис_М_67-Базис_М_7)/Базис_М_7</f>
        <v>0.75641025641025639</v>
      </c>
      <c r="AP57" s="41">
        <f>(Базис_М_77-Базис_М_7)/Базис_М_7</f>
        <v>0.94871794871794868</v>
      </c>
      <c r="AQ57" s="41">
        <f>(Базис_М_87-Базис_М_7)/Базис_М_7</f>
        <v>1.0871794871794871</v>
      </c>
      <c r="AR57" s="41">
        <f>(Базис_М_97-Базис_М_7)/Базис_М_7</f>
        <v>1.1371794871794871</v>
      </c>
      <c r="AS57" s="41">
        <f>(Базис_М_107-Базис_М_7)/Базис_М_7</f>
        <v>0.72820512820512817</v>
      </c>
      <c r="AT57" s="41">
        <f>(AT9-Базис_М_7)/Базис_М_7</f>
        <v>-0.14615384615384616</v>
      </c>
      <c r="AU57" s="41">
        <f>(AU9-Базис_М_7)/Базис_М_7</f>
        <v>0.48438228438228431</v>
      </c>
      <c r="AV57" s="41">
        <f>(AV9-Базис_М_7)/Базис_М_7</f>
        <v>1.1371794871794871</v>
      </c>
    </row>
    <row r="58" spans="2:48">
      <c r="B58" s="5" t="s">
        <v>8</v>
      </c>
      <c r="C58" s="22"/>
      <c r="D58" s="39">
        <f>(Базис_18-Базис_8)/Базис_8</f>
        <v>-4.1960571531922591E-2</v>
      </c>
      <c r="E58" s="39">
        <f>(Базис_28-Базис_8)/Базис_8</f>
        <v>-7.5058780973051187E-2</v>
      </c>
      <c r="F58" s="39">
        <f>(Базис_38-Базис_8)/Базис_8</f>
        <v>-0.12027491408934708</v>
      </c>
      <c r="G58" s="39">
        <f>(Базис_48-Базис_8)/Базис_8</f>
        <v>-0.20419605715319225</v>
      </c>
      <c r="H58" s="39">
        <f>(Базис_58-Базис_8)/Базис_8</f>
        <v>-0.24850786760716223</v>
      </c>
      <c r="I58" s="39">
        <f>(Базис_68-Базис_8)/Базис_8</f>
        <v>-0.12660517272562852</v>
      </c>
      <c r="J58" s="39">
        <f>(Базис_78-Базис_8)/Базис_8</f>
        <v>-2.0437692168565745E-2</v>
      </c>
      <c r="K58" s="39">
        <f>(Базис_88-Базис_8)/Базис_8</f>
        <v>-6.7643335141978664E-2</v>
      </c>
      <c r="L58" s="39">
        <f>(Базис_98-Базис_8)/Базис_8</f>
        <v>-0.33821667570989328</v>
      </c>
      <c r="M58" s="39">
        <f>(Базис_108-Базис_8)/Базис_8</f>
        <v>-0.60264062217399172</v>
      </c>
      <c r="N58" s="39">
        <f>(N10-Базис_8)/Базис_8</f>
        <v>-0.60264062217399172</v>
      </c>
      <c r="O58" s="39">
        <f>(O10-Базис_8)/Базис_8</f>
        <v>-0.16777651720679398</v>
      </c>
      <c r="P58" s="39">
        <f>(P10-Базис_8)/Базис_8</f>
        <v>0</v>
      </c>
      <c r="R58" s="10" t="s">
        <v>8</v>
      </c>
      <c r="S58" s="23"/>
      <c r="T58" s="40">
        <f>(Базис_Ж_18-Базис_Ж_8)/Базис_Ж_8</f>
        <v>-6.295540658700087E-2</v>
      </c>
      <c r="U58" s="40">
        <f>(Базис_Ж_28-Базис_Ж_8)/Базис_Ж_8</f>
        <v>-0.13086563684057126</v>
      </c>
      <c r="V58" s="40">
        <f>(Базис_Ж_38-Базис_Ж_8)/Базис_Ж_8</f>
        <v>-0.16001165840862722</v>
      </c>
      <c r="W58" s="40">
        <f>(Базис_Ж_48-Базис_Ж_8)/Базис_Ж_8</f>
        <v>-0.2489070241911979</v>
      </c>
      <c r="X58" s="40">
        <f>(Базис_Ж_58-Базис_Ж_8)/Базис_Ж_8</f>
        <v>-0.34683765665986593</v>
      </c>
      <c r="Y58" s="40">
        <f>(Базис_Ж_68-Базис_Ж_8)/Базис_Ж_8</f>
        <v>-0.25065578548528128</v>
      </c>
      <c r="Z58" s="40">
        <f>(Базис_Ж_78-Базис_Ж_8)/Базис_Ж_8</f>
        <v>-0.17779073156514136</v>
      </c>
      <c r="AA58" s="40">
        <f>(Базис_Ж_88-Базис_Ж_8)/Базис_Ж_8</f>
        <v>-0.24715826289711454</v>
      </c>
      <c r="AB58" s="40">
        <f>(Базис_Ж_98-Базис_Ж_8)/Базис_Ж_8</f>
        <v>-0.42961235791314484</v>
      </c>
      <c r="AC58" s="40">
        <f>(Базис_Ж_108-Базис_Ж_8)/Базис_Ж_8</f>
        <v>-0.62022733896823079</v>
      </c>
      <c r="AD58" s="40">
        <f>(AD10-Базис_Ж_8)/Базис_Ж_8</f>
        <v>-0.62022733896823079</v>
      </c>
      <c r="AE58" s="40">
        <f>(AE10-Базис_Ж_8)/Базис_Ж_8</f>
        <v>-0.2431838054105615</v>
      </c>
      <c r="AF58" s="40">
        <f>(AF10-Базис_Ж_8)/Базис_Ж_8</f>
        <v>0</v>
      </c>
      <c r="AH58" s="19" t="s">
        <v>8</v>
      </c>
      <c r="AI58" s="24"/>
      <c r="AJ58" s="41">
        <f>(Базис_М_18-Базис_М_8)/Базис_М_8</f>
        <v>-7.6263107721639654E-3</v>
      </c>
      <c r="AK58" s="41">
        <f>(Базис_М_28-Базис_М_8)/Базис_М_8</f>
        <v>1.6205910390848427E-2</v>
      </c>
      <c r="AL58" s="41">
        <f>(Базис_М_38-Базис_М_8)/Базис_М_8</f>
        <v>-5.5290753098188754E-2</v>
      </c>
      <c r="AM58" s="41">
        <f>(Базис_М_48-Базис_М_8)/Базис_М_8</f>
        <v>-0.13107721639656816</v>
      </c>
      <c r="AN58" s="41">
        <f>(Базис_М_58-Базис_М_8)/Базис_М_8</f>
        <v>-8.7702573879885601E-2</v>
      </c>
      <c r="AO58" s="41">
        <f>(Базис_М_68-Базис_М_8)/Базис_М_8</f>
        <v>7.6263107721639661E-2</v>
      </c>
      <c r="AP58" s="41">
        <f>(Базис_М_78-Базис_М_8)/Базис_М_8</f>
        <v>0.23689227836034318</v>
      </c>
      <c r="AQ58" s="41">
        <f>(Базис_М_88-Базис_М_8)/Базис_М_8</f>
        <v>0.22592945662535749</v>
      </c>
      <c r="AR58" s="41">
        <f>(Базис_М_98-Базис_М_8)/Базис_М_8</f>
        <v>-0.18875119161105816</v>
      </c>
      <c r="AS58" s="41">
        <f>(Базис_М_108-Базис_М_8)/Базис_М_8</f>
        <v>-0.57387988560533842</v>
      </c>
      <c r="AT58" s="41">
        <f>(AT10-Базис_М_8)/Базис_М_8</f>
        <v>-0.57387988560533842</v>
      </c>
      <c r="AU58" s="41">
        <f>(AU10-Базис_М_8)/Базис_М_8</f>
        <v>-4.4457925296819474E-2</v>
      </c>
      <c r="AV58" s="41">
        <f>(AV10-Базис_М_8)/Базис_М_8</f>
        <v>0.23689227836034318</v>
      </c>
    </row>
    <row r="59" spans="2:48">
      <c r="B59" s="5" t="s">
        <v>9</v>
      </c>
      <c r="C59" s="22"/>
      <c r="D59" s="39">
        <f>(Базис_19-Базис_9)/Базис_9</f>
        <v>-5.7681793329688355E-2</v>
      </c>
      <c r="E59" s="39">
        <f>(Базис_29-Базис_9)/Базис_9</f>
        <v>-0.18985784581738654</v>
      </c>
      <c r="F59" s="39">
        <f>(Базис_39-Базис_9)/Базис_9</f>
        <v>-0.30590486604702022</v>
      </c>
      <c r="G59" s="39">
        <f>(Базис_49-Базис_9)/Базис_9</f>
        <v>-0.3085019136139967</v>
      </c>
      <c r="H59" s="39">
        <f>(Базис_59-Базис_9)/Базис_9</f>
        <v>-0.18835429196282122</v>
      </c>
      <c r="I59" s="39">
        <f>(Базис_69-Базис_9)/Базис_9</f>
        <v>-0.18917441224712958</v>
      </c>
      <c r="J59" s="39">
        <f>(Базис_79-Базис_9)/Базис_9</f>
        <v>-0.17933296883542921</v>
      </c>
      <c r="K59" s="39">
        <f>(Базис_89-Базис_9)/Базис_9</f>
        <v>-0.14256424275560414</v>
      </c>
      <c r="L59" s="39">
        <f>(Базис_99-Базис_9)/Базис_9</f>
        <v>-0.2714598141060689</v>
      </c>
      <c r="M59" s="39">
        <f>(Базис_109-Базис_9)/Базис_9</f>
        <v>-0.41088026243849096</v>
      </c>
      <c r="N59" s="39">
        <f>(N11-Базис_9)/Базис_9</f>
        <v>-0.41088026243849096</v>
      </c>
      <c r="O59" s="39">
        <f>(O11-Базис_9)/Базис_9</f>
        <v>-0.20397385555942141</v>
      </c>
      <c r="P59" s="39">
        <f>(P11-Базис_9)/Базис_9</f>
        <v>0</v>
      </c>
      <c r="R59" s="10" t="s">
        <v>9</v>
      </c>
      <c r="S59" s="23"/>
      <c r="T59" s="40">
        <f>(Базис_Ж_19-Базис_Ж_9)/Базис_Ж_9</f>
        <v>-2.8076841883048344E-2</v>
      </c>
      <c r="U59" s="40">
        <f>(Базис_Ж_29-Базис_Ж_9)/Базис_Ж_9</f>
        <v>-0.17458306945324045</v>
      </c>
      <c r="V59" s="40">
        <f>(Базис_Ж_39-Базис_Ж_9)/Базис_Ж_9</f>
        <v>-0.28161283512771795</v>
      </c>
      <c r="W59" s="40">
        <f>(Базис_Ж_49-Базис_Ж_9)/Базис_Ж_9</f>
        <v>-0.28309056364787838</v>
      </c>
      <c r="X59" s="40">
        <f>(Базис_Ж_59-Базис_Ж_9)/Базис_Ж_9</f>
        <v>-0.18914925058053619</v>
      </c>
      <c r="Y59" s="40">
        <f>(Базис_Ж_69-Базис_Ж_9)/Базис_Ж_9</f>
        <v>-0.19189360354654844</v>
      </c>
      <c r="Z59" s="40">
        <f>(Базис_Ж_79-Базис_Ж_9)/Базис_Ж_9</f>
        <v>-0.21828161283512773</v>
      </c>
      <c r="AA59" s="40">
        <f>(Базис_Ж_89-Базис_Ж_9)/Базис_Ж_9</f>
        <v>-0.17774963056786997</v>
      </c>
      <c r="AB59" s="40">
        <f>(Базис_Ж_99-Базис_Ж_9)/Базис_Ж_9</f>
        <v>-0.2949123918091619</v>
      </c>
      <c r="AC59" s="40">
        <f>(Базис_Ж_109-Базис_Ж_9)/Базис_Ж_9</f>
        <v>-0.41777496305678702</v>
      </c>
      <c r="AD59" s="40">
        <f>(AD11-Базис_Ж_9)/Базис_Ж_9</f>
        <v>-0.41777496305678702</v>
      </c>
      <c r="AE59" s="40">
        <f>(AE11-Базис_Ж_9)/Базис_Ж_9</f>
        <v>-0.20519316022799239</v>
      </c>
      <c r="AF59" s="40">
        <f>(AF11-Базис_Ж_9)/Базис_Ж_9</f>
        <v>0</v>
      </c>
      <c r="AH59" s="19" t="s">
        <v>9</v>
      </c>
      <c r="AI59" s="24"/>
      <c r="AJ59" s="41">
        <f>(Базис_М_19-Базис_М_9)/Базис_М_9</f>
        <v>-0.11205893757270259</v>
      </c>
      <c r="AK59" s="41">
        <f>(Базис_М_29-Базис_М_9)/Базис_М_9</f>
        <v>-0.21791392012407909</v>
      </c>
      <c r="AL59" s="41">
        <f>(Базис_М_39-Базис_М_9)/Базис_М_9</f>
        <v>-0.35052345870492441</v>
      </c>
      <c r="AM59" s="41">
        <f>(Базис_М_49-Базис_М_9)/Базис_М_9</f>
        <v>-0.35517642497091895</v>
      </c>
      <c r="AN59" s="41">
        <f>(Базис_М_59-Базис_М_9)/Базис_М_9</f>
        <v>-0.18689414501744861</v>
      </c>
      <c r="AO59" s="41">
        <f>(Базис_М_69-Базис_М_9)/Базис_М_9</f>
        <v>-0.18417991469561845</v>
      </c>
      <c r="AP59" s="41">
        <f>(Базис_М_79-Базис_М_9)/Базис_М_9</f>
        <v>-0.10779371849554091</v>
      </c>
      <c r="AQ59" s="41">
        <f>(Базис_М_89-Базис_М_9)/Базис_М_9</f>
        <v>-7.7937184955409078E-2</v>
      </c>
      <c r="AR59" s="41">
        <f>(Базис_М_99-Базис_М_9)/Базис_М_9</f>
        <v>-0.22838309422256689</v>
      </c>
      <c r="AS59" s="41">
        <f>(Базис_М_109-Базис_М_9)/Базис_М_9</f>
        <v>-0.39821636293136875</v>
      </c>
      <c r="AT59" s="41">
        <f>(AT11-Базис_М_9)/Базис_М_9</f>
        <v>-0.39821636293136875</v>
      </c>
      <c r="AU59" s="41">
        <f>(AU11-Базис_М_9)/Базис_М_9</f>
        <v>-0.20173428742641625</v>
      </c>
      <c r="AV59" s="41">
        <f>(AV11-Базис_М_9)/Базис_М_9</f>
        <v>0</v>
      </c>
    </row>
    <row r="60" spans="2:48">
      <c r="B60" s="5" t="s">
        <v>10</v>
      </c>
      <c r="C60" s="22"/>
      <c r="D60" s="39">
        <f>(Базис_20-Базис_10)/Базис_10</f>
        <v>0.11277853569804457</v>
      </c>
      <c r="E60" s="39">
        <f>(Базис_30-Базис_10)/Базис_10</f>
        <v>9.7771714415643474E-2</v>
      </c>
      <c r="F60" s="39">
        <f>(Базис_40-Базис_10)/Базис_10</f>
        <v>3.2287403365165987E-2</v>
      </c>
      <c r="G60" s="39">
        <f>(Базис_50-Базис_10)/Базис_10</f>
        <v>5.8663028649386086E-2</v>
      </c>
      <c r="H60" s="39">
        <f>(Базис_60-Базис_10)/Базис_10</f>
        <v>0.21100500227376079</v>
      </c>
      <c r="I60" s="39">
        <f>(Базис_70-Базис_10)/Базис_10</f>
        <v>0.40563892678490221</v>
      </c>
      <c r="J60" s="39">
        <f>(Базис_80-Базис_10)/Базис_10</f>
        <v>0.52614824920418368</v>
      </c>
      <c r="K60" s="39">
        <f>(Базис_90-Базис_10)/Базис_10</f>
        <v>0.39381537062301047</v>
      </c>
      <c r="L60" s="39">
        <f>(Базис_100-Базис_10)/Базис_10</f>
        <v>0.33151432469304232</v>
      </c>
      <c r="M60" s="39">
        <f>(Базис_110-Базис_10)/Базис_10</f>
        <v>0.34333788085493405</v>
      </c>
      <c r="N60" s="39">
        <f>(N12-Базис_10)/Базис_10</f>
        <v>0</v>
      </c>
      <c r="O60" s="39">
        <f>(O12-Базис_10)/Базис_10</f>
        <v>0.22845094877837038</v>
      </c>
      <c r="P60" s="39">
        <f>(P12-Базис_10)/Базис_10</f>
        <v>0.52614824920418368</v>
      </c>
      <c r="R60" s="10" t="s">
        <v>18</v>
      </c>
      <c r="S60" s="23"/>
      <c r="T60" s="40">
        <f>(Базис_Ж_20-Базис_Ж_10)/Базис_Ж_10</f>
        <v>0.12928501469147893</v>
      </c>
      <c r="U60" s="40">
        <f>(Базис_Ж_30-Базис_Ж_10)/Базис_Ж_10</f>
        <v>0.14201762977473065</v>
      </c>
      <c r="V60" s="40">
        <f>(Базис_Ж_40-Базис_Ж_10)/Базис_Ж_10</f>
        <v>6.953966699314397E-2</v>
      </c>
      <c r="W60" s="40">
        <f>(Базис_Ж_50-Базис_Ж_10)/Базис_Ж_10</f>
        <v>0.14887365328109697</v>
      </c>
      <c r="X60" s="40">
        <f>(Базис_Ж_60-Базис_Ж_10)/Базис_Ж_10</f>
        <v>0.5053868756121449</v>
      </c>
      <c r="Y60" s="40">
        <f>(Базис_Ж_70-Базис_Ж_10)/Базис_Ж_10</f>
        <v>0.6513222331047992</v>
      </c>
      <c r="Z60" s="40">
        <f>(Базис_Ж_80-Базис_Ж_10)/Базис_Ж_10</f>
        <v>0.64152791380999019</v>
      </c>
      <c r="AA60" s="40">
        <f>(Базис_Ж_90-Базис_Ж_10)/Базис_Ж_10</f>
        <v>0.42703232125367285</v>
      </c>
      <c r="AB60" s="40">
        <f>(Базис_Ж_100-Базис_Ж_10)/Базис_Ж_10</f>
        <v>0.40254652301665034</v>
      </c>
      <c r="AC60" s="40">
        <f>(Базис_Ж_110-Базис_Ж_10)/Базис_Ж_10</f>
        <v>0.56611165523996088</v>
      </c>
      <c r="AD60" s="40">
        <f>(AD12-Базис_Ж_10)/Базис_Ж_10</f>
        <v>0</v>
      </c>
      <c r="AE60" s="40">
        <f>(AE12-Базис_Ж_10)/Базис_Ж_10</f>
        <v>0.33487668061615178</v>
      </c>
      <c r="AF60" s="40">
        <f>(AF12-Базис_Ж_10)/Базис_Ж_10</f>
        <v>0.6513222331047992</v>
      </c>
      <c r="AH60" s="19" t="s">
        <v>18</v>
      </c>
      <c r="AI60" s="24"/>
      <c r="AJ60" s="41">
        <f>(Базис_М_20-Базис_М_10)/Базис_М_10</f>
        <v>9.8471986417657045E-2</v>
      </c>
      <c r="AK60" s="41">
        <f>(Базис_М_30-Базис_М_10)/Базис_М_10</f>
        <v>5.9422750424448216E-2</v>
      </c>
      <c r="AL60" s="41">
        <f>(Базис_М_40-Базис_М_10)/Базис_М_10</f>
        <v>0</v>
      </c>
      <c r="AM60" s="41">
        <f>(Базис_М_50-Базис_М_10)/Базис_М_10</f>
        <v>-1.9524617996604415E-2</v>
      </c>
      <c r="AN60" s="41">
        <f>(Базис_М_60-Базис_М_10)/Базис_М_10</f>
        <v>-4.4142614601018676E-2</v>
      </c>
      <c r="AO60" s="41">
        <f>(Базис_М_70-Базис_М_10)/Базис_М_10</f>
        <v>0.19269949066213921</v>
      </c>
      <c r="AP60" s="41">
        <f>(Базис_М_80-Базис_М_10)/Базис_М_10</f>
        <v>0.42614601018675724</v>
      </c>
      <c r="AQ60" s="41">
        <f>(Базис_М_90-Базис_М_10)/Базис_М_10</f>
        <v>0.36502546689303905</v>
      </c>
      <c r="AR60" s="41">
        <f>(Базис_М_100-Базис_М_10)/Базис_М_10</f>
        <v>0.2699490662139219</v>
      </c>
      <c r="AS60" s="41">
        <f>(Базис_М_110-Базис_М_10)/Базис_М_10</f>
        <v>0.15025466893039049</v>
      </c>
      <c r="AT60" s="41">
        <f>(AT12-Базис_М_10)/Базис_М_10</f>
        <v>-4.4142614601018676E-2</v>
      </c>
      <c r="AU60" s="41">
        <f>(AU12-Базис_М_10)/Базис_М_10</f>
        <v>0.13620929155733913</v>
      </c>
      <c r="AV60" s="41">
        <f>(AV12-Базис_М_10)/Базис_М_10</f>
        <v>0.42614601018675724</v>
      </c>
    </row>
  </sheetData>
  <mergeCells count="12">
    <mergeCell ref="AH38:AV38"/>
    <mergeCell ref="R50:AF50"/>
    <mergeCell ref="AH50:AV50"/>
    <mergeCell ref="B14:P14"/>
    <mergeCell ref="B26:P26"/>
    <mergeCell ref="B38:P38"/>
    <mergeCell ref="B50:P50"/>
    <mergeCell ref="AH14:AV14"/>
    <mergeCell ref="R14:AF14"/>
    <mergeCell ref="R26:AF26"/>
    <mergeCell ref="AH26:AV26"/>
    <mergeCell ref="R38:AF3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C634-700F-47D2-B810-B430FFD2A574}">
  <dimension ref="A1:M32"/>
  <sheetViews>
    <sheetView workbookViewId="0">
      <selection activeCell="L32" sqref="L32"/>
    </sheetView>
  </sheetViews>
  <sheetFormatPr defaultRowHeight="15"/>
  <cols>
    <col min="1" max="1" width="30.7109375" customWidth="1"/>
  </cols>
  <sheetData>
    <row r="1" spans="2:13">
      <c r="B1" s="25" t="s">
        <v>29</v>
      </c>
      <c r="C1" s="25" t="s">
        <v>30</v>
      </c>
      <c r="D1" s="25" t="s">
        <v>31</v>
      </c>
      <c r="E1" s="25" t="s">
        <v>32</v>
      </c>
      <c r="F1" s="25" t="s">
        <v>33</v>
      </c>
      <c r="G1" s="25" t="s">
        <v>34</v>
      </c>
      <c r="H1" s="25" t="s">
        <v>36</v>
      </c>
      <c r="I1" s="25" t="s">
        <v>35</v>
      </c>
      <c r="J1" s="25" t="s">
        <v>37</v>
      </c>
      <c r="K1" s="25" t="s">
        <v>38</v>
      </c>
      <c r="L1" s="25" t="s">
        <v>39</v>
      </c>
      <c r="M1" s="25" t="s">
        <v>40</v>
      </c>
    </row>
    <row r="2" spans="2:13">
      <c r="B2">
        <f ca="1">RAND()*200</f>
        <v>114.39397987859421</v>
      </c>
      <c r="C2">
        <f ca="1">SIN(B2)</f>
        <v>0.96265512947080789</v>
      </c>
      <c r="D2">
        <f ca="1">COS(B2)</f>
        <v>0.27073068112709725</v>
      </c>
      <c r="E2">
        <f ca="1">TAN(B2)</f>
        <v>3.5557666588179559</v>
      </c>
      <c r="F2">
        <f ca="1">LN(B2)</f>
        <v>4.7396484541221744</v>
      </c>
      <c r="G2">
        <f ca="1">LOG10(B2)</f>
        <v>2.0584031697865379</v>
      </c>
      <c r="H2">
        <f t="shared" ref="H2:H26" ca="1" si="0">SQRT(B2)</f>
        <v>10.695512137274877</v>
      </c>
      <c r="I2">
        <f ca="1">MOD(B2,27)</f>
        <v>6.3939798785942088</v>
      </c>
      <c r="J2">
        <f ca="1">ODD(B2)</f>
        <v>115</v>
      </c>
      <c r="K2">
        <f ca="1">ROUND(B2,2)</f>
        <v>114.39</v>
      </c>
      <c r="L2">
        <f ca="1">TRUNC(B2)</f>
        <v>114</v>
      </c>
      <c r="M2" t="str">
        <f ca="1">ROMAN(L2)</f>
        <v>CXIV</v>
      </c>
    </row>
    <row r="3" spans="2:13">
      <c r="B3">
        <f t="shared" ref="B3:B26" ca="1" si="1">RAND()*200</f>
        <v>119.06154391972112</v>
      </c>
      <c r="C3">
        <f t="shared" ref="C3:C26" ca="1" si="2">SIN(B3)</f>
        <v>-0.31359524924469706</v>
      </c>
      <c r="D3">
        <f t="shared" ref="D3:D26" ca="1" si="3">COS(B3)</f>
        <v>0.94955674904197085</v>
      </c>
      <c r="E3">
        <f t="shared" ref="E3:E25" ca="1" si="4">TAN(B3)</f>
        <v>-0.33025435242400247</v>
      </c>
      <c r="F3">
        <f t="shared" ref="F3:F26" ca="1" si="5">LN(B3)</f>
        <v>4.7796405352181948</v>
      </c>
      <c r="G3">
        <f t="shared" ref="G3:G26" ca="1" si="6">LOG10(B3)</f>
        <v>2.0757715099263674</v>
      </c>
      <c r="H3">
        <f t="shared" ca="1" si="0"/>
        <v>10.911532610945224</v>
      </c>
      <c r="I3">
        <f t="shared" ref="I3:I26" ca="1" si="7">MOD(B3,27)</f>
        <v>11.061543919721117</v>
      </c>
      <c r="J3">
        <f t="shared" ref="J3:J26" ca="1" si="8">ODD(B3)</f>
        <v>121</v>
      </c>
      <c r="K3">
        <f t="shared" ref="K3:K26" ca="1" si="9">ROUND(B3,2)</f>
        <v>119.06</v>
      </c>
      <c r="L3">
        <f t="shared" ref="L3:L26" ca="1" si="10">TRUNC(B3)</f>
        <v>119</v>
      </c>
      <c r="M3" t="str">
        <f t="shared" ref="M3:M26" ca="1" si="11">ROMAN(L3)</f>
        <v>CXIX</v>
      </c>
    </row>
    <row r="4" spans="2:13">
      <c r="B4">
        <f t="shared" ca="1" si="1"/>
        <v>180.89284895538205</v>
      </c>
      <c r="C4">
        <f t="shared" ca="1" si="2"/>
        <v>-0.96859709577084752</v>
      </c>
      <c r="D4">
        <f t="shared" ca="1" si="3"/>
        <v>0.24863560900297366</v>
      </c>
      <c r="E4">
        <f t="shared" ca="1" si="4"/>
        <v>-3.8956491375266493</v>
      </c>
      <c r="F4">
        <f t="shared" ca="1" si="5"/>
        <v>5.1979048612461174</v>
      </c>
      <c r="G4">
        <f t="shared" ca="1" si="6"/>
        <v>2.2574213986972764</v>
      </c>
      <c r="H4">
        <f t="shared" ca="1" si="0"/>
        <v>13.449641220321903</v>
      </c>
      <c r="I4">
        <f t="shared" ca="1" si="7"/>
        <v>18.89284895538205</v>
      </c>
      <c r="J4">
        <f t="shared" ca="1" si="8"/>
        <v>181</v>
      </c>
      <c r="K4">
        <f t="shared" ca="1" si="9"/>
        <v>180.89</v>
      </c>
      <c r="L4">
        <f t="shared" ca="1" si="10"/>
        <v>180</v>
      </c>
      <c r="M4" t="str">
        <f t="shared" ca="1" si="11"/>
        <v>CLXXX</v>
      </c>
    </row>
    <row r="5" spans="2:13">
      <c r="B5">
        <f t="shared" ca="1" si="1"/>
        <v>34.247480383998678</v>
      </c>
      <c r="C5">
        <f t="shared" ca="1" si="2"/>
        <v>0.30509559198366171</v>
      </c>
      <c r="D5">
        <f t="shared" ca="1" si="3"/>
        <v>-0.95232173121909747</v>
      </c>
      <c r="E5">
        <f t="shared" ca="1" si="4"/>
        <v>-0.32037029291886376</v>
      </c>
      <c r="F5">
        <f t="shared" ca="1" si="5"/>
        <v>3.5336129965714695</v>
      </c>
      <c r="G5">
        <f t="shared" ca="1" si="6"/>
        <v>1.5346286255926036</v>
      </c>
      <c r="H5">
        <f t="shared" ca="1" si="0"/>
        <v>5.8521346860781218</v>
      </c>
      <c r="I5">
        <f t="shared" ca="1" si="7"/>
        <v>7.2474803839986777</v>
      </c>
      <c r="J5">
        <f t="shared" ca="1" si="8"/>
        <v>35</v>
      </c>
      <c r="K5">
        <f t="shared" ca="1" si="9"/>
        <v>34.25</v>
      </c>
      <c r="L5">
        <f t="shared" ca="1" si="10"/>
        <v>34</v>
      </c>
      <c r="M5" t="str">
        <f t="shared" ca="1" si="11"/>
        <v>XXXIV</v>
      </c>
    </row>
    <row r="6" spans="2:13">
      <c r="B6">
        <f t="shared" ca="1" si="1"/>
        <v>1.6360132935492766</v>
      </c>
      <c r="C6">
        <f t="shared" ca="1" si="2"/>
        <v>0.99787412727344738</v>
      </c>
      <c r="D6">
        <f t="shared" ca="1" si="3"/>
        <v>-6.517074587770072E-2</v>
      </c>
      <c r="E6">
        <f t="shared" ca="1" si="4"/>
        <v>-15.311687994887395</v>
      </c>
      <c r="F6">
        <f t="shared" ca="1" si="5"/>
        <v>0.49226236378890958</v>
      </c>
      <c r="G6">
        <f t="shared" ca="1" si="6"/>
        <v>0.21378682824217457</v>
      </c>
      <c r="H6">
        <f t="shared" ca="1" si="0"/>
        <v>1.2790673530151868</v>
      </c>
      <c r="I6">
        <f t="shared" ca="1" si="7"/>
        <v>1.6360132935492766</v>
      </c>
      <c r="J6">
        <f t="shared" ca="1" si="8"/>
        <v>3</v>
      </c>
      <c r="K6">
        <f t="shared" ca="1" si="9"/>
        <v>1.64</v>
      </c>
      <c r="L6">
        <f t="shared" ca="1" si="10"/>
        <v>1</v>
      </c>
      <c r="M6" t="str">
        <f t="shared" ca="1" si="11"/>
        <v>I</v>
      </c>
    </row>
    <row r="7" spans="2:13">
      <c r="B7">
        <f t="shared" ca="1" si="1"/>
        <v>124.42416183381341</v>
      </c>
      <c r="C7">
        <f t="shared" ca="1" si="2"/>
        <v>-0.94563589476608889</v>
      </c>
      <c r="D7">
        <f t="shared" ca="1" si="3"/>
        <v>0.3252272352216809</v>
      </c>
      <c r="E7">
        <f t="shared" ca="1" si="4"/>
        <v>-2.907615944653362</v>
      </c>
      <c r="F7">
        <f t="shared" ca="1" si="5"/>
        <v>4.8236963884053798</v>
      </c>
      <c r="G7">
        <f t="shared" ca="1" si="6"/>
        <v>2.0949047238611014</v>
      </c>
      <c r="H7">
        <f t="shared" ca="1" si="0"/>
        <v>11.154557895040638</v>
      </c>
      <c r="I7">
        <f t="shared" ca="1" si="7"/>
        <v>16.424161833813415</v>
      </c>
      <c r="J7">
        <f t="shared" ca="1" si="8"/>
        <v>125</v>
      </c>
      <c r="K7">
        <f t="shared" ca="1" si="9"/>
        <v>124.42</v>
      </c>
      <c r="L7">
        <f t="shared" ca="1" si="10"/>
        <v>124</v>
      </c>
      <c r="M7" t="str">
        <f t="shared" ca="1" si="11"/>
        <v>CXXIV</v>
      </c>
    </row>
    <row r="8" spans="2:13">
      <c r="B8">
        <f t="shared" ca="1" si="1"/>
        <v>152.98180964337257</v>
      </c>
      <c r="C8">
        <f t="shared" ca="1" si="2"/>
        <v>0.81702380210506875</v>
      </c>
      <c r="D8">
        <f t="shared" ca="1" si="3"/>
        <v>-0.57660394274907401</v>
      </c>
      <c r="E8">
        <f t="shared" ca="1" si="4"/>
        <v>-1.4169584033881997</v>
      </c>
      <c r="F8">
        <f t="shared" ca="1" si="5"/>
        <v>5.0303190231045267</v>
      </c>
      <c r="G8">
        <f t="shared" ca="1" si="6"/>
        <v>2.1846397939472526</v>
      </c>
      <c r="H8">
        <f t="shared" ca="1" si="0"/>
        <v>12.368581553410745</v>
      </c>
      <c r="I8">
        <f t="shared" ca="1" si="7"/>
        <v>17.981809643372571</v>
      </c>
      <c r="J8">
        <f t="shared" ca="1" si="8"/>
        <v>153</v>
      </c>
      <c r="K8">
        <f t="shared" ca="1" si="9"/>
        <v>152.97999999999999</v>
      </c>
      <c r="L8">
        <f t="shared" ca="1" si="10"/>
        <v>152</v>
      </c>
      <c r="M8" t="str">
        <f t="shared" ca="1" si="11"/>
        <v>CLII</v>
      </c>
    </row>
    <row r="9" spans="2:13">
      <c r="B9">
        <f t="shared" ca="1" si="1"/>
        <v>23.492642933624698</v>
      </c>
      <c r="C9">
        <f t="shared" ca="1" si="2"/>
        <v>-0.99759957954654932</v>
      </c>
      <c r="D9">
        <f t="shared" ca="1" si="3"/>
        <v>-6.9246508132526502E-2</v>
      </c>
      <c r="E9">
        <f t="shared" ca="1" si="4"/>
        <v>14.406496536075245</v>
      </c>
      <c r="F9">
        <f t="shared" ca="1" si="5"/>
        <v>3.1566873054802498</v>
      </c>
      <c r="G9">
        <f t="shared" ca="1" si="6"/>
        <v>1.3709318778641171</v>
      </c>
      <c r="H9">
        <f t="shared" ca="1" si="0"/>
        <v>4.8469209745594881</v>
      </c>
      <c r="I9">
        <f t="shared" ca="1" si="7"/>
        <v>23.492642933624698</v>
      </c>
      <c r="J9">
        <f t="shared" ca="1" si="8"/>
        <v>25</v>
      </c>
      <c r="K9">
        <f t="shared" ca="1" si="9"/>
        <v>23.49</v>
      </c>
      <c r="L9">
        <f t="shared" ca="1" si="10"/>
        <v>23</v>
      </c>
      <c r="M9" t="str">
        <f t="shared" ca="1" si="11"/>
        <v>XXIII</v>
      </c>
    </row>
    <row r="10" spans="2:13">
      <c r="B10">
        <f t="shared" ca="1" si="1"/>
        <v>195.4146202928425</v>
      </c>
      <c r="C10">
        <f t="shared" ca="1" si="2"/>
        <v>0.59388234465123335</v>
      </c>
      <c r="D10">
        <f t="shared" ca="1" si="3"/>
        <v>0.80455190057046888</v>
      </c>
      <c r="E10">
        <f t="shared" ca="1" si="4"/>
        <v>0.73815293237159718</v>
      </c>
      <c r="F10">
        <f t="shared" ca="1" si="5"/>
        <v>5.2751235591885557</v>
      </c>
      <c r="G10">
        <f t="shared" ca="1" si="6"/>
        <v>2.2909570531134316</v>
      </c>
      <c r="H10">
        <f t="shared" ca="1" si="0"/>
        <v>13.979077948593122</v>
      </c>
      <c r="I10">
        <f t="shared" ca="1" si="7"/>
        <v>6.4146202928424998</v>
      </c>
      <c r="J10">
        <f t="shared" ca="1" si="8"/>
        <v>197</v>
      </c>
      <c r="K10">
        <f t="shared" ca="1" si="9"/>
        <v>195.41</v>
      </c>
      <c r="L10">
        <f t="shared" ca="1" si="10"/>
        <v>195</v>
      </c>
      <c r="M10" t="str">
        <f t="shared" ca="1" si="11"/>
        <v>CXCV</v>
      </c>
    </row>
    <row r="11" spans="2:13">
      <c r="B11">
        <f t="shared" ca="1" si="1"/>
        <v>71.212313369002729</v>
      </c>
      <c r="C11">
        <f t="shared" ca="1" si="2"/>
        <v>0.8645818706599997</v>
      </c>
      <c r="D11">
        <f t="shared" ca="1" si="3"/>
        <v>-0.50249197896688413</v>
      </c>
      <c r="E11">
        <f t="shared" ca="1" si="4"/>
        <v>-1.7205884011075496</v>
      </c>
      <c r="F11">
        <f t="shared" ca="1" si="5"/>
        <v>4.2656657440413133</v>
      </c>
      <c r="G11">
        <f t="shared" ca="1" si="6"/>
        <v>1.8525550942808715</v>
      </c>
      <c r="H11">
        <f t="shared" ca="1" si="0"/>
        <v>8.4387388494373212</v>
      </c>
      <c r="I11">
        <f t="shared" ca="1" si="7"/>
        <v>17.212313369002729</v>
      </c>
      <c r="J11">
        <f t="shared" ca="1" si="8"/>
        <v>73</v>
      </c>
      <c r="K11">
        <f t="shared" ca="1" si="9"/>
        <v>71.209999999999994</v>
      </c>
      <c r="L11">
        <f t="shared" ca="1" si="10"/>
        <v>71</v>
      </c>
      <c r="M11" t="str">
        <f t="shared" ca="1" si="11"/>
        <v>LXXI</v>
      </c>
    </row>
    <row r="12" spans="2:13">
      <c r="B12">
        <f t="shared" ca="1" si="1"/>
        <v>164.66986409751686</v>
      </c>
      <c r="C12">
        <f t="shared" ca="1" si="2"/>
        <v>0.96541907710478092</v>
      </c>
      <c r="D12">
        <f t="shared" ca="1" si="3"/>
        <v>0.26070290670062185</v>
      </c>
      <c r="E12">
        <f t="shared" ca="1" si="4"/>
        <v>3.7031389075129102</v>
      </c>
      <c r="F12">
        <f t="shared" ca="1" si="5"/>
        <v>5.1039426459275496</v>
      </c>
      <c r="G12">
        <f t="shared" ca="1" si="6"/>
        <v>2.2166141270770177</v>
      </c>
      <c r="H12">
        <f t="shared" ca="1" si="0"/>
        <v>12.8323756217435</v>
      </c>
      <c r="I12">
        <f t="shared" ca="1" si="7"/>
        <v>2.6698640975168644</v>
      </c>
      <c r="J12">
        <f t="shared" ca="1" si="8"/>
        <v>165</v>
      </c>
      <c r="K12">
        <f t="shared" ca="1" si="9"/>
        <v>164.67</v>
      </c>
      <c r="L12">
        <f t="shared" ca="1" si="10"/>
        <v>164</v>
      </c>
      <c r="M12" t="str">
        <f t="shared" ca="1" si="11"/>
        <v>CLXIV</v>
      </c>
    </row>
    <row r="13" spans="2:13">
      <c r="B13">
        <f t="shared" ca="1" si="1"/>
        <v>79.269960124708263</v>
      </c>
      <c r="C13">
        <f t="shared" ca="1" si="2"/>
        <v>-0.66697677298405</v>
      </c>
      <c r="D13">
        <f t="shared" ca="1" si="3"/>
        <v>-0.74507850881620719</v>
      </c>
      <c r="E13">
        <f t="shared" ca="1" si="4"/>
        <v>0.89517650165987672</v>
      </c>
      <c r="F13">
        <f t="shared" ca="1" si="5"/>
        <v>4.3728592438176301</v>
      </c>
      <c r="G13">
        <f t="shared" ca="1" si="6"/>
        <v>1.8991086397296235</v>
      </c>
      <c r="H13">
        <f t="shared" ca="1" si="0"/>
        <v>8.9033679090953139</v>
      </c>
      <c r="I13">
        <f t="shared" ca="1" si="7"/>
        <v>25.269960124708263</v>
      </c>
      <c r="J13">
        <f t="shared" ca="1" si="8"/>
        <v>81</v>
      </c>
      <c r="K13">
        <f t="shared" ca="1" si="9"/>
        <v>79.27</v>
      </c>
      <c r="L13">
        <f t="shared" ca="1" si="10"/>
        <v>79</v>
      </c>
      <c r="M13" t="str">
        <f t="shared" ca="1" si="11"/>
        <v>LXXIX</v>
      </c>
    </row>
    <row r="14" spans="2:13">
      <c r="B14">
        <f t="shared" ca="1" si="1"/>
        <v>128.41589232649616</v>
      </c>
      <c r="C14">
        <f t="shared" ca="1" si="2"/>
        <v>0.37963938754916671</v>
      </c>
      <c r="D14">
        <f t="shared" ca="1" si="3"/>
        <v>-0.92513454990141497</v>
      </c>
      <c r="E14">
        <f t="shared" ca="1" si="4"/>
        <v>-0.41036126862803057</v>
      </c>
      <c r="F14">
        <f t="shared" ca="1" si="5"/>
        <v>4.8552741556099468</v>
      </c>
      <c r="G14">
        <f t="shared" ca="1" si="6"/>
        <v>2.1086187739088706</v>
      </c>
      <c r="H14">
        <f t="shared" ca="1" si="0"/>
        <v>11.332073611060606</v>
      </c>
      <c r="I14">
        <f t="shared" ca="1" si="7"/>
        <v>20.415892326496163</v>
      </c>
      <c r="J14">
        <f t="shared" ca="1" si="8"/>
        <v>129</v>
      </c>
      <c r="K14">
        <f t="shared" ca="1" si="9"/>
        <v>128.41999999999999</v>
      </c>
      <c r="L14">
        <f t="shared" ca="1" si="10"/>
        <v>128</v>
      </c>
      <c r="M14" t="str">
        <f t="shared" ca="1" si="11"/>
        <v>CXXVIII</v>
      </c>
    </row>
    <row r="15" spans="2:13">
      <c r="B15">
        <f t="shared" ca="1" si="1"/>
        <v>60.660976034913425</v>
      </c>
      <c r="C15">
        <f t="shared" ca="1" si="2"/>
        <v>-0.82529003987810245</v>
      </c>
      <c r="D15">
        <f t="shared" ca="1" si="3"/>
        <v>-0.56470908446562107</v>
      </c>
      <c r="E15">
        <f t="shared" ca="1" si="4"/>
        <v>1.4614428253072407</v>
      </c>
      <c r="F15">
        <f t="shared" ca="1" si="5"/>
        <v>4.1053005923867323</v>
      </c>
      <c r="G15">
        <f t="shared" ca="1" si="6"/>
        <v>1.7829093938277087</v>
      </c>
      <c r="H15">
        <f t="shared" ca="1" si="0"/>
        <v>7.7885156502964943</v>
      </c>
      <c r="I15">
        <f t="shared" ca="1" si="7"/>
        <v>6.6609760349134248</v>
      </c>
      <c r="J15">
        <f t="shared" ca="1" si="8"/>
        <v>61</v>
      </c>
      <c r="K15">
        <f t="shared" ca="1" si="9"/>
        <v>60.66</v>
      </c>
      <c r="L15">
        <f t="shared" ca="1" si="10"/>
        <v>60</v>
      </c>
      <c r="M15" t="str">
        <f t="shared" ca="1" si="11"/>
        <v>LX</v>
      </c>
    </row>
    <row r="16" spans="2:13">
      <c r="B16">
        <f t="shared" ca="1" si="1"/>
        <v>173.39701916721839</v>
      </c>
      <c r="C16">
        <f t="shared" ca="1" si="2"/>
        <v>-0.57239460807298248</v>
      </c>
      <c r="D16">
        <f t="shared" ca="1" si="3"/>
        <v>-0.81997830010859241</v>
      </c>
      <c r="E16">
        <f t="shared" ca="1" si="4"/>
        <v>0.69806067794376803</v>
      </c>
      <c r="F16">
        <f t="shared" ca="1" si="5"/>
        <v>5.1555838736982125</v>
      </c>
      <c r="G16">
        <f t="shared" ca="1" si="6"/>
        <v>2.2390416273365252</v>
      </c>
      <c r="H16">
        <f t="shared" ca="1" si="0"/>
        <v>13.168030193131331</v>
      </c>
      <c r="I16">
        <f t="shared" ca="1" si="7"/>
        <v>11.397019167218389</v>
      </c>
      <c r="J16">
        <f t="shared" ca="1" si="8"/>
        <v>175</v>
      </c>
      <c r="K16">
        <f t="shared" ca="1" si="9"/>
        <v>173.4</v>
      </c>
      <c r="L16">
        <f t="shared" ca="1" si="10"/>
        <v>173</v>
      </c>
      <c r="M16" t="str">
        <f t="shared" ca="1" si="11"/>
        <v>CLXXIII</v>
      </c>
    </row>
    <row r="17" spans="1:13">
      <c r="B17">
        <f t="shared" ca="1" si="1"/>
        <v>197.85201118280489</v>
      </c>
      <c r="C17">
        <f t="shared" ca="1" si="2"/>
        <v>6.8272843111069431E-2</v>
      </c>
      <c r="D17">
        <f t="shared" ca="1" si="3"/>
        <v>-0.99766668727262375</v>
      </c>
      <c r="E17">
        <f t="shared" ca="1" si="4"/>
        <v>-6.8432517575294269E-2</v>
      </c>
      <c r="F17">
        <f t="shared" ca="1" si="5"/>
        <v>5.2875193329695831</v>
      </c>
      <c r="G17">
        <f t="shared" ca="1" si="6"/>
        <v>2.2963404692654525</v>
      </c>
      <c r="H17">
        <f t="shared" ca="1" si="0"/>
        <v>14.065987742878383</v>
      </c>
      <c r="I17">
        <f t="shared" ca="1" si="7"/>
        <v>8.8520111828048869</v>
      </c>
      <c r="J17">
        <f t="shared" ca="1" si="8"/>
        <v>199</v>
      </c>
      <c r="K17">
        <f t="shared" ca="1" si="9"/>
        <v>197.85</v>
      </c>
      <c r="L17">
        <f t="shared" ca="1" si="10"/>
        <v>197</v>
      </c>
      <c r="M17" t="str">
        <f t="shared" ca="1" si="11"/>
        <v>CXCVII</v>
      </c>
    </row>
    <row r="18" spans="1:13">
      <c r="B18">
        <f t="shared" ca="1" si="1"/>
        <v>23.976146471055593</v>
      </c>
      <c r="C18">
        <f t="shared" ca="1" si="2"/>
        <v>-0.91543794805687417</v>
      </c>
      <c r="D18">
        <f t="shared" ca="1" si="3"/>
        <v>0.4024591448301551</v>
      </c>
      <c r="E18">
        <f t="shared" ca="1" si="4"/>
        <v>-2.2746108762001302</v>
      </c>
      <c r="F18">
        <f t="shared" ca="1" si="5"/>
        <v>3.1770594390654212</v>
      </c>
      <c r="G18">
        <f t="shared" ca="1" si="6"/>
        <v>1.3797793830647529</v>
      </c>
      <c r="H18">
        <f t="shared" ca="1" si="0"/>
        <v>4.8965443397416095</v>
      </c>
      <c r="I18">
        <f t="shared" ca="1" si="7"/>
        <v>23.976146471055593</v>
      </c>
      <c r="J18">
        <f t="shared" ca="1" si="8"/>
        <v>25</v>
      </c>
      <c r="K18">
        <f t="shared" ca="1" si="9"/>
        <v>23.98</v>
      </c>
      <c r="L18">
        <f t="shared" ca="1" si="10"/>
        <v>23</v>
      </c>
      <c r="M18" t="str">
        <f t="shared" ca="1" si="11"/>
        <v>XXIII</v>
      </c>
    </row>
    <row r="19" spans="1:13">
      <c r="B19">
        <f t="shared" ca="1" si="1"/>
        <v>189.35775496292763</v>
      </c>
      <c r="C19">
        <f t="shared" ca="1" si="2"/>
        <v>0.75927332281467619</v>
      </c>
      <c r="D19">
        <f t="shared" ca="1" si="3"/>
        <v>0.65077186575785573</v>
      </c>
      <c r="E19">
        <f t="shared" ca="1" si="4"/>
        <v>1.1667273322125953</v>
      </c>
      <c r="F19">
        <f t="shared" ca="1" si="5"/>
        <v>5.2436381092151239</v>
      </c>
      <c r="G19">
        <f t="shared" ca="1" si="6"/>
        <v>2.2772830959297292</v>
      </c>
      <c r="H19">
        <f t="shared" ca="1" si="0"/>
        <v>13.76073235561711</v>
      </c>
      <c r="I19">
        <f t="shared" ca="1" si="7"/>
        <v>0.35775496292762909</v>
      </c>
      <c r="J19">
        <f t="shared" ca="1" si="8"/>
        <v>191</v>
      </c>
      <c r="K19">
        <f t="shared" ca="1" si="9"/>
        <v>189.36</v>
      </c>
      <c r="L19">
        <f t="shared" ca="1" si="10"/>
        <v>189</v>
      </c>
      <c r="M19" t="str">
        <f t="shared" ca="1" si="11"/>
        <v>CLXXXIX</v>
      </c>
    </row>
    <row r="20" spans="1:13">
      <c r="B20">
        <f t="shared" ca="1" si="1"/>
        <v>7.8629922247588357</v>
      </c>
      <c r="C20">
        <f t="shared" ca="1" si="2"/>
        <v>0.9999594049015218</v>
      </c>
      <c r="D20">
        <f t="shared" ca="1" si="3"/>
        <v>-9.010468855415921E-3</v>
      </c>
      <c r="E20">
        <f t="shared" ca="1" si="4"/>
        <v>-110.97751082070234</v>
      </c>
      <c r="F20">
        <f t="shared" ca="1" si="5"/>
        <v>2.0621672241698765</v>
      </c>
      <c r="G20">
        <f t="shared" ca="1" si="6"/>
        <v>0.89558784621872345</v>
      </c>
      <c r="H20">
        <f t="shared" ca="1" si="0"/>
        <v>2.8041027486094077</v>
      </c>
      <c r="I20">
        <f t="shared" ca="1" si="7"/>
        <v>7.8629922247588357</v>
      </c>
      <c r="J20">
        <f t="shared" ca="1" si="8"/>
        <v>9</v>
      </c>
      <c r="K20">
        <f t="shared" ca="1" si="9"/>
        <v>7.86</v>
      </c>
      <c r="L20">
        <f t="shared" ca="1" si="10"/>
        <v>7</v>
      </c>
      <c r="M20" t="str">
        <f t="shared" ca="1" si="11"/>
        <v>VII</v>
      </c>
    </row>
    <row r="21" spans="1:13">
      <c r="B21">
        <f t="shared" ca="1" si="1"/>
        <v>105.49126158821278</v>
      </c>
      <c r="C21">
        <f t="shared" ca="1" si="2"/>
        <v>-0.96942794555313172</v>
      </c>
      <c r="D21">
        <f t="shared" ca="1" si="3"/>
        <v>0.24537615691145362</v>
      </c>
      <c r="E21">
        <f t="shared" ca="1" si="4"/>
        <v>-3.9507829846033462</v>
      </c>
      <c r="F21">
        <f t="shared" ca="1" si="5"/>
        <v>4.6586281209379017</v>
      </c>
      <c r="G21">
        <f t="shared" ca="1" si="6"/>
        <v>2.0232164861626454</v>
      </c>
      <c r="H21">
        <f t="shared" ca="1" si="0"/>
        <v>10.270893904048117</v>
      </c>
      <c r="I21">
        <f t="shared" ca="1" si="7"/>
        <v>24.49126158821278</v>
      </c>
      <c r="J21">
        <f t="shared" ca="1" si="8"/>
        <v>107</v>
      </c>
      <c r="K21">
        <f t="shared" ca="1" si="9"/>
        <v>105.49</v>
      </c>
      <c r="L21">
        <f t="shared" ca="1" si="10"/>
        <v>105</v>
      </c>
      <c r="M21" t="str">
        <f t="shared" ca="1" si="11"/>
        <v>CV</v>
      </c>
    </row>
    <row r="22" spans="1:13">
      <c r="B22">
        <f t="shared" ca="1" si="1"/>
        <v>69.751689772360905</v>
      </c>
      <c r="C22">
        <f t="shared" ca="1" si="2"/>
        <v>0.59450619499886015</v>
      </c>
      <c r="D22">
        <f t="shared" ca="1" si="3"/>
        <v>0.80409102973977842</v>
      </c>
      <c r="E22">
        <f t="shared" ca="1" si="4"/>
        <v>0.73935185571123152</v>
      </c>
      <c r="F22">
        <f t="shared" ca="1" si="5"/>
        <v>4.2449416465350653</v>
      </c>
      <c r="G22">
        <f t="shared" ca="1" si="6"/>
        <v>1.843554733091483</v>
      </c>
      <c r="H22">
        <f t="shared" ca="1" si="0"/>
        <v>8.3517477076574167</v>
      </c>
      <c r="I22">
        <f t="shared" ca="1" si="7"/>
        <v>15.751689772360905</v>
      </c>
      <c r="J22">
        <f t="shared" ca="1" si="8"/>
        <v>71</v>
      </c>
      <c r="K22">
        <f t="shared" ca="1" si="9"/>
        <v>69.75</v>
      </c>
      <c r="L22">
        <f t="shared" ca="1" si="10"/>
        <v>69</v>
      </c>
      <c r="M22" t="str">
        <f t="shared" ca="1" si="11"/>
        <v>LXIX</v>
      </c>
    </row>
    <row r="23" spans="1:13">
      <c r="B23">
        <f t="shared" ca="1" si="1"/>
        <v>119.86685680707598</v>
      </c>
      <c r="C23">
        <f t="shared" ca="1" si="2"/>
        <v>0.46738984282774637</v>
      </c>
      <c r="D23">
        <f t="shared" ca="1" si="3"/>
        <v>0.88405131911074852</v>
      </c>
      <c r="E23">
        <f t="shared" ca="1" si="4"/>
        <v>0.52869084941571665</v>
      </c>
      <c r="F23">
        <f t="shared" ca="1" si="5"/>
        <v>4.7863816001940256</v>
      </c>
      <c r="G23">
        <f t="shared" ca="1" si="6"/>
        <v>2.0786991172475218</v>
      </c>
      <c r="H23">
        <f t="shared" ca="1" si="0"/>
        <v>10.948372335971953</v>
      </c>
      <c r="I23">
        <f t="shared" ca="1" si="7"/>
        <v>11.866856807075976</v>
      </c>
      <c r="J23">
        <f t="shared" ca="1" si="8"/>
        <v>121</v>
      </c>
      <c r="K23">
        <f t="shared" ca="1" si="9"/>
        <v>119.87</v>
      </c>
      <c r="L23">
        <f t="shared" ca="1" si="10"/>
        <v>119</v>
      </c>
      <c r="M23" t="str">
        <f t="shared" ca="1" si="11"/>
        <v>CXIX</v>
      </c>
    </row>
    <row r="24" spans="1:13">
      <c r="B24">
        <f t="shared" ca="1" si="1"/>
        <v>8.9070594314534688</v>
      </c>
      <c r="C24">
        <f t="shared" ca="1" si="2"/>
        <v>0.49489894238686483</v>
      </c>
      <c r="D24">
        <f t="shared" ca="1" si="3"/>
        <v>-0.86895053761670615</v>
      </c>
      <c r="E24">
        <f t="shared" ca="1" si="4"/>
        <v>-0.56953637861164963</v>
      </c>
      <c r="F24">
        <f t="shared" ca="1" si="5"/>
        <v>2.1868441568708836</v>
      </c>
      <c r="G24">
        <f t="shared" ca="1" si="6"/>
        <v>0.94973435011139395</v>
      </c>
      <c r="H24">
        <f t="shared" ca="1" si="0"/>
        <v>2.9844697069083259</v>
      </c>
      <c r="I24">
        <f t="shared" ca="1" si="7"/>
        <v>8.9070594314534688</v>
      </c>
      <c r="J24">
        <f t="shared" ca="1" si="8"/>
        <v>9</v>
      </c>
      <c r="K24">
        <f t="shared" ca="1" si="9"/>
        <v>8.91</v>
      </c>
      <c r="L24">
        <f t="shared" ca="1" si="10"/>
        <v>8</v>
      </c>
      <c r="M24" t="str">
        <f t="shared" ca="1" si="11"/>
        <v>VIII</v>
      </c>
    </row>
    <row r="25" spans="1:13">
      <c r="B25">
        <f t="shared" ca="1" si="1"/>
        <v>68.947680598965036</v>
      </c>
      <c r="C25">
        <f t="shared" ca="1" si="2"/>
        <v>-0.16657762976622281</v>
      </c>
      <c r="D25">
        <f t="shared" ca="1" si="3"/>
        <v>0.98602834303151099</v>
      </c>
      <c r="E25">
        <f t="shared" ca="1" si="4"/>
        <v>-0.1689379731763952</v>
      </c>
      <c r="F25">
        <f t="shared" ca="1" si="5"/>
        <v>4.2333479647897549</v>
      </c>
      <c r="G25">
        <f t="shared" ca="1" si="6"/>
        <v>1.8385196610845522</v>
      </c>
      <c r="H25">
        <f t="shared" ca="1" si="0"/>
        <v>8.3034740078454536</v>
      </c>
      <c r="I25">
        <f t="shared" ca="1" si="7"/>
        <v>14.947680598965036</v>
      </c>
      <c r="J25">
        <f t="shared" ca="1" si="8"/>
        <v>69</v>
      </c>
      <c r="K25">
        <f t="shared" ca="1" si="9"/>
        <v>68.95</v>
      </c>
      <c r="L25">
        <f t="shared" ca="1" si="10"/>
        <v>68</v>
      </c>
      <c r="M25" t="str">
        <f t="shared" ca="1" si="11"/>
        <v>LXVIII</v>
      </c>
    </row>
    <row r="26" spans="1:13">
      <c r="B26">
        <f t="shared" ca="1" si="1"/>
        <v>124.01213725548432</v>
      </c>
      <c r="C26">
        <f t="shared" ca="1" si="2"/>
        <v>-0.99673966983687523</v>
      </c>
      <c r="D26">
        <f t="shared" ca="1" si="3"/>
        <v>-8.0684760478524409E-2</v>
      </c>
      <c r="E26">
        <f ca="1">TAN(B26)</f>
        <v>12.353505964762382</v>
      </c>
      <c r="F26">
        <f t="shared" ca="1" si="5"/>
        <v>4.8203794419076109</v>
      </c>
      <c r="G26">
        <f t="shared" ca="1" si="6"/>
        <v>2.0934641923003521</v>
      </c>
      <c r="H26">
        <f t="shared" ca="1" si="0"/>
        <v>11.136073691184174</v>
      </c>
      <c r="I26">
        <f t="shared" ca="1" si="7"/>
        <v>16.012137255484319</v>
      </c>
      <c r="J26">
        <f t="shared" ca="1" si="8"/>
        <v>125</v>
      </c>
      <c r="K26">
        <f t="shared" ca="1" si="9"/>
        <v>124.01</v>
      </c>
      <c r="L26">
        <f t="shared" ca="1" si="10"/>
        <v>124</v>
      </c>
      <c r="M26" t="str">
        <f t="shared" ca="1" si="11"/>
        <v>CXXIV</v>
      </c>
    </row>
    <row r="27" spans="1:13">
      <c r="A27" s="25" t="s">
        <v>27</v>
      </c>
      <c r="B27">
        <f ca="1">SUM(B2:B26)</f>
        <v>2540.196716549854</v>
      </c>
      <c r="C27">
        <f t="shared" ref="C27:L27" ca="1" si="12">SUM(C2:C26)</f>
        <v>0.93219944836248281</v>
      </c>
      <c r="D27">
        <f t="shared" ca="1" si="12"/>
        <v>-0.34486486341407291</v>
      </c>
      <c r="E27">
        <f t="shared" ca="1" si="12"/>
        <v>-104.0767863046127</v>
      </c>
      <c r="F27">
        <f t="shared" ca="1" si="12"/>
        <v>105.58842877926222</v>
      </c>
      <c r="G27">
        <f t="shared" ca="1" si="12"/>
        <v>45.856471971668086</v>
      </c>
      <c r="H27">
        <f t="shared" ca="1" si="12"/>
        <v>234.52252675446582</v>
      </c>
      <c r="I27">
        <f t="shared" ca="1" si="12"/>
        <v>326.19671654985387</v>
      </c>
      <c r="J27">
        <f t="shared" ca="1" si="12"/>
        <v>2565</v>
      </c>
      <c r="K27">
        <f t="shared" ca="1" si="12"/>
        <v>2540.19</v>
      </c>
      <c r="L27">
        <f t="shared" ca="1" si="12"/>
        <v>2526</v>
      </c>
    </row>
    <row r="28" spans="1:13">
      <c r="A28" s="25" t="s">
        <v>28</v>
      </c>
      <c r="B28">
        <f ca="1">AVERAGE(B2:B26)</f>
        <v>101.60786866199416</v>
      </c>
      <c r="C28">
        <f t="shared" ref="C28:L28" ca="1" si="13">AVERAGE(C2:C26)</f>
        <v>3.7287977934499311E-2</v>
      </c>
      <c r="D28">
        <f t="shared" ca="1" si="13"/>
        <v>-1.3794594536562916E-2</v>
      </c>
      <c r="E28">
        <f t="shared" ca="1" si="13"/>
        <v>-4.163071452184508</v>
      </c>
      <c r="F28">
        <f t="shared" ca="1" si="13"/>
        <v>4.2235371511704889</v>
      </c>
      <c r="G28">
        <f t="shared" ca="1" si="13"/>
        <v>1.8342588788667233</v>
      </c>
      <c r="H28">
        <f t="shared" ca="1" si="13"/>
        <v>9.3809010701786324</v>
      </c>
      <c r="I28">
        <f t="shared" ca="1" si="13"/>
        <v>13.047868661994155</v>
      </c>
      <c r="J28">
        <f t="shared" ca="1" si="13"/>
        <v>102.6</v>
      </c>
      <c r="K28">
        <f t="shared" ca="1" si="13"/>
        <v>101.60760000000001</v>
      </c>
      <c r="L28">
        <f t="shared" ca="1" si="13"/>
        <v>101.04</v>
      </c>
    </row>
    <row r="29" spans="1:13">
      <c r="A29" s="25" t="s">
        <v>11</v>
      </c>
      <c r="B29">
        <f ca="1">MIN(B2:B26)</f>
        <v>1.6360132935492766</v>
      </c>
      <c r="C29">
        <f t="shared" ref="C29:L29" ca="1" si="14">MIN(C2:C26)</f>
        <v>-0.99759957954654932</v>
      </c>
      <c r="D29">
        <f t="shared" ca="1" si="14"/>
        <v>-0.99766668727262375</v>
      </c>
      <c r="E29">
        <f t="shared" ca="1" si="14"/>
        <v>-110.97751082070234</v>
      </c>
      <c r="F29">
        <f t="shared" ca="1" si="14"/>
        <v>0.49226236378890958</v>
      </c>
      <c r="G29">
        <f t="shared" ca="1" si="14"/>
        <v>0.21378682824217457</v>
      </c>
      <c r="H29">
        <f t="shared" ca="1" si="14"/>
        <v>1.2790673530151868</v>
      </c>
      <c r="I29">
        <f t="shared" ca="1" si="14"/>
        <v>0.35775496292762909</v>
      </c>
      <c r="J29">
        <f t="shared" ca="1" si="14"/>
        <v>3</v>
      </c>
      <c r="K29">
        <f t="shared" ca="1" si="14"/>
        <v>1.64</v>
      </c>
      <c r="L29">
        <f t="shared" ca="1" si="14"/>
        <v>1</v>
      </c>
    </row>
    <row r="30" spans="1:13">
      <c r="A30" s="25" t="s">
        <v>24</v>
      </c>
      <c r="B30">
        <f ca="1">MAX(B2:B26)</f>
        <v>197.85201118280489</v>
      </c>
      <c r="C30">
        <f t="shared" ref="C30:L30" ca="1" si="15">MAX(C2:C26)</f>
        <v>0.9999594049015218</v>
      </c>
      <c r="D30">
        <f t="shared" ca="1" si="15"/>
        <v>0.98602834303151099</v>
      </c>
      <c r="E30">
        <f t="shared" ca="1" si="15"/>
        <v>14.406496536075245</v>
      </c>
      <c r="F30">
        <f t="shared" ca="1" si="15"/>
        <v>5.2875193329695831</v>
      </c>
      <c r="G30">
        <f t="shared" ca="1" si="15"/>
        <v>2.2963404692654525</v>
      </c>
      <c r="H30">
        <f t="shared" ca="1" si="15"/>
        <v>14.065987742878383</v>
      </c>
      <c r="I30">
        <f t="shared" ca="1" si="15"/>
        <v>25.269960124708263</v>
      </c>
      <c r="J30">
        <f t="shared" ca="1" si="15"/>
        <v>199</v>
      </c>
      <c r="K30">
        <f t="shared" ca="1" si="15"/>
        <v>197.85</v>
      </c>
      <c r="L30">
        <f t="shared" ca="1" si="15"/>
        <v>197</v>
      </c>
    </row>
    <row r="31" spans="1:13">
      <c r="A31" s="25" t="s">
        <v>25</v>
      </c>
      <c r="B31">
        <f ca="1">COUNTIF(B2:B26,"&gt;150")</f>
        <v>7</v>
      </c>
      <c r="C31">
        <f t="shared" ref="C31:L31" ca="1" si="16">COUNTIF(C2:C26,"&gt;150")</f>
        <v>0</v>
      </c>
      <c r="D31">
        <f t="shared" ca="1" si="16"/>
        <v>0</v>
      </c>
      <c r="E31">
        <f t="shared" ca="1" si="16"/>
        <v>0</v>
      </c>
      <c r="F31">
        <f t="shared" ca="1" si="16"/>
        <v>0</v>
      </c>
      <c r="G31">
        <f t="shared" ca="1" si="16"/>
        <v>0</v>
      </c>
      <c r="H31">
        <f t="shared" ca="1" si="16"/>
        <v>0</v>
      </c>
      <c r="I31">
        <f t="shared" ca="1" si="16"/>
        <v>0</v>
      </c>
      <c r="J31">
        <f t="shared" ca="1" si="16"/>
        <v>7</v>
      </c>
      <c r="K31">
        <f t="shared" ca="1" si="16"/>
        <v>7</v>
      </c>
      <c r="L31">
        <f t="shared" ca="1" si="16"/>
        <v>7</v>
      </c>
    </row>
    <row r="32" spans="1:13">
      <c r="A32" s="25" t="s">
        <v>26</v>
      </c>
      <c r="B32">
        <f ca="1">SUMIF(B2:B26,"&lt;130")</f>
        <v>1285.6307882477888</v>
      </c>
      <c r="C32">
        <f t="shared" ref="C32:L32" ca="1" si="17">SUMIF(C2:C26,"&lt;130")</f>
        <v>0.93219944836248281</v>
      </c>
      <c r="D32">
        <f t="shared" ca="1" si="17"/>
        <v>-0.34486486341407291</v>
      </c>
      <c r="E32">
        <f t="shared" ca="1" si="17"/>
        <v>-104.0767863046127</v>
      </c>
      <c r="F32">
        <f t="shared" ca="1" si="17"/>
        <v>105.58842877926222</v>
      </c>
      <c r="G32">
        <f t="shared" ca="1" si="17"/>
        <v>45.856471971668086</v>
      </c>
      <c r="H32">
        <f t="shared" ca="1" si="17"/>
        <v>234.52252675446582</v>
      </c>
      <c r="I32">
        <f t="shared" ca="1" si="17"/>
        <v>326.19671654985387</v>
      </c>
      <c r="J32">
        <f t="shared" ca="1" si="17"/>
        <v>1304</v>
      </c>
      <c r="K32">
        <f t="shared" ca="1" si="17"/>
        <v>1285.6300000000001</v>
      </c>
      <c r="L32">
        <f t="shared" ca="1" si="17"/>
        <v>1276</v>
      </c>
    </row>
  </sheetData>
  <conditionalFormatting sqref="B2:M32">
    <cfRule type="cellIs" dxfId="5" priority="1" operator="greaterThan">
      <formula>80</formula>
    </cfRule>
    <cfRule type="cellIs" dxfId="4" priority="2" operator="greaterThan">
      <formula>80</formula>
    </cfRule>
    <cfRule type="cellIs" dxfId="3" priority="3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CD23-2449-46D3-B197-20E9B71A2823}">
  <dimension ref="A1:A26"/>
  <sheetViews>
    <sheetView workbookViewId="0">
      <selection activeCell="A2" sqref="A2"/>
    </sheetView>
  </sheetViews>
  <sheetFormatPr defaultRowHeight="15"/>
  <sheetData>
    <row r="1" spans="1:1">
      <c r="A1" s="26" t="s">
        <v>41</v>
      </c>
    </row>
    <row r="2" spans="1:1">
      <c r="A2">
        <f ca="1">IF(Лист2!H2&gt;10,TRUNC(2*Лист2!H2),EXP(Лист2!H2))</f>
        <v>21</v>
      </c>
    </row>
    <row r="3" spans="1:1">
      <c r="A3">
        <f ca="1">IF(Лист2!H3&gt;10,TRUNC(2*Лист2!H3),EXP(Лист2!H3))</f>
        <v>21</v>
      </c>
    </row>
    <row r="4" spans="1:1">
      <c r="A4">
        <f ca="1">IF(Лист2!H4&gt;10,TRUNC(2*Лист2!H4),EXP(Лист2!H4))</f>
        <v>26</v>
      </c>
    </row>
    <row r="5" spans="1:1">
      <c r="A5">
        <f ca="1">IF(Лист2!H5&gt;10,TRUNC(2*Лист2!H5),EXP(Лист2!H5))</f>
        <v>347.97640859335269</v>
      </c>
    </row>
    <row r="6" spans="1:1">
      <c r="A6">
        <f ca="1">IF(Лист2!H6&gt;10,TRUNC(2*Лист2!H6),EXP(Лист2!H6))</f>
        <v>3.5932868941208733</v>
      </c>
    </row>
    <row r="7" spans="1:1">
      <c r="A7">
        <f ca="1">IF(Лист2!H7&gt;10,TRUNC(2*Лист2!H7),EXP(Лист2!H7))</f>
        <v>22</v>
      </c>
    </row>
    <row r="8" spans="1:1">
      <c r="A8">
        <f ca="1">IF(Лист2!H8&gt;10,TRUNC(2*Лист2!H8),EXP(Лист2!H8))</f>
        <v>24</v>
      </c>
    </row>
    <row r="9" spans="1:1">
      <c r="A9">
        <f ca="1">IF(Лист2!H9&gt;10,TRUNC(2*Лист2!H9),EXP(Лист2!H9))</f>
        <v>127.34767882977161</v>
      </c>
    </row>
    <row r="10" spans="1:1">
      <c r="A10">
        <f ca="1">IF(Лист2!H10&gt;10,TRUNC(2*Лист2!H10),EXP(Лист2!H10))</f>
        <v>27</v>
      </c>
    </row>
    <row r="11" spans="1:1">
      <c r="A11">
        <f ca="1">IF(Лист2!H11&gt;10,TRUNC(2*Лист2!H11),EXP(Лист2!H11))</f>
        <v>4622.7213591487298</v>
      </c>
    </row>
    <row r="12" spans="1:1">
      <c r="A12">
        <f ca="1">IF(Лист2!H12&gt;10,TRUNC(2*Лист2!H12),EXP(Лист2!H12))</f>
        <v>25</v>
      </c>
    </row>
    <row r="13" spans="1:1">
      <c r="A13">
        <f ca="1">IF(Лист2!H13&gt;10,TRUNC(2*Лист2!H13),EXP(Лист2!H13))</f>
        <v>7356.7085888441134</v>
      </c>
    </row>
    <row r="14" spans="1:1">
      <c r="A14">
        <f ca="1">IF(Лист2!H14&gt;10,TRUNC(2*Лист2!H14),EXP(Лист2!H14))</f>
        <v>22</v>
      </c>
    </row>
    <row r="15" spans="1:1">
      <c r="A15">
        <f ca="1">IF(Лист2!H15&gt;10,TRUNC(2*Лист2!H15),EXP(Лист2!H15))</f>
        <v>2412.7335825207965</v>
      </c>
    </row>
    <row r="16" spans="1:1">
      <c r="A16">
        <f ca="1">IF(Лист2!H16&gt;10,TRUNC(2*Лист2!H16),EXP(Лист2!H16))</f>
        <v>26</v>
      </c>
    </row>
    <row r="17" spans="1:1">
      <c r="A17">
        <f ca="1">IF(Лист2!H17&gt;10,TRUNC(2*Лист2!H17),EXP(Лист2!H17))</f>
        <v>28</v>
      </c>
    </row>
    <row r="18" spans="1:1">
      <c r="A18">
        <f ca="1">IF(Лист2!H18&gt;10,TRUNC(2*Лист2!H18),EXP(Лист2!H18))</f>
        <v>133.82652072396451</v>
      </c>
    </row>
    <row r="19" spans="1:1">
      <c r="A19">
        <f ca="1">IF(Лист2!H19&gt;10,TRUNC(2*Лист2!H19),EXP(Лист2!H19))</f>
        <v>27</v>
      </c>
    </row>
    <row r="20" spans="1:1">
      <c r="A20">
        <f ca="1">IF(Лист2!H20&gt;10,TRUNC(2*Лист2!H20),EXP(Лист2!H20))</f>
        <v>16.512253614878606</v>
      </c>
    </row>
    <row r="21" spans="1:1">
      <c r="A21">
        <f ca="1">IF(Лист2!H21&gt;10,TRUNC(2*Лист2!H21),EXP(Лист2!H21))</f>
        <v>20</v>
      </c>
    </row>
    <row r="22" spans="1:1">
      <c r="A22">
        <f ca="1">IF(Лист2!H22&gt;10,TRUNC(2*Лист2!H22),EXP(Лист2!H22))</f>
        <v>4237.5803266787452</v>
      </c>
    </row>
    <row r="23" spans="1:1">
      <c r="A23">
        <f ca="1">IF(Лист2!H23&gt;10,TRUNC(2*Лист2!H23),EXP(Лист2!H23))</f>
        <v>21</v>
      </c>
    </row>
    <row r="24" spans="1:1">
      <c r="A24">
        <f ca="1">IF(Лист2!H24&gt;10,TRUNC(2*Лист2!H24),EXP(Лист2!H24))</f>
        <v>19.776012372522981</v>
      </c>
    </row>
    <row r="25" spans="1:1">
      <c r="A25">
        <f ca="1">IF(Лист2!H25&gt;10,TRUNC(2*Лист2!H25),EXP(Лист2!H25))</f>
        <v>4037.8756677458136</v>
      </c>
    </row>
    <row r="26" spans="1:1">
      <c r="A26">
        <f ca="1">IF(Лист2!H26&gt;10,TRUNC(2*Лист2!H26),EXP(Лист2!H26))</f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A4CB-799A-4572-AEAA-251AAF75EE5D}">
  <dimension ref="A1:M32"/>
  <sheetViews>
    <sheetView tabSelected="1" topLeftCell="A12" workbookViewId="0">
      <selection activeCell="G33" sqref="G33"/>
    </sheetView>
  </sheetViews>
  <sheetFormatPr defaultRowHeight="15"/>
  <cols>
    <col min="1" max="1" width="31.7109375" customWidth="1"/>
  </cols>
  <sheetData>
    <row r="1" spans="2:13">
      <c r="B1" s="25" t="s">
        <v>29</v>
      </c>
      <c r="C1" s="25" t="s">
        <v>30</v>
      </c>
      <c r="D1" s="25" t="s">
        <v>31</v>
      </c>
      <c r="E1" s="25" t="s">
        <v>32</v>
      </c>
      <c r="F1" s="25" t="s">
        <v>33</v>
      </c>
      <c r="G1" s="25" t="s">
        <v>34</v>
      </c>
      <c r="H1" s="25" t="s">
        <v>36</v>
      </c>
      <c r="I1" s="25" t="s">
        <v>35</v>
      </c>
      <c r="J1" s="25" t="s">
        <v>37</v>
      </c>
      <c r="K1" s="25" t="s">
        <v>38</v>
      </c>
      <c r="L1" s="25" t="s">
        <v>39</v>
      </c>
      <c r="M1" s="25" t="s">
        <v>40</v>
      </c>
    </row>
    <row r="2" spans="2:13">
      <c r="B2">
        <f ca="1">RAND()*500-100</f>
        <v>192.13835485727793</v>
      </c>
      <c r="C2">
        <f ca="1">SIN(B2)</f>
        <v>-0.48048091299659446</v>
      </c>
      <c r="D2">
        <f ca="1">COS(B2)</f>
        <v>-0.87700518370529545</v>
      </c>
      <c r="E2">
        <f ca="1">TAN(B2)</f>
        <v>0.54786553366377011</v>
      </c>
      <c r="F2">
        <f ca="1">LN(ABS(B2))</f>
        <v>5.2582157107365362</v>
      </c>
      <c r="G2">
        <f ca="1">LOG10(ABS(B2))</f>
        <v>2.2836140678298631</v>
      </c>
      <c r="H2">
        <f ca="1">SQRT(ABS(B2))</f>
        <v>13.861398012367943</v>
      </c>
      <c r="I2">
        <f ca="1">MOD(TRUNC(B2),27)</f>
        <v>3</v>
      </c>
      <c r="J2">
        <f ca="1">ODD(B2)</f>
        <v>193</v>
      </c>
      <c r="K2">
        <f ca="1">ROUND(B2,2)</f>
        <v>192.14</v>
      </c>
      <c r="L2">
        <f ca="1">TRUNC(B2)</f>
        <v>192</v>
      </c>
      <c r="M2" t="str">
        <f ca="1">ROMAN(ABS(L2))</f>
        <v>CXCII</v>
      </c>
    </row>
    <row r="3" spans="2:13">
      <c r="B3">
        <f t="shared" ref="B3:B26" ca="1" si="0">RAND()*500-100</f>
        <v>113.68795938691775</v>
      </c>
      <c r="C3">
        <f t="shared" ref="C3:C26" ca="1" si="1">SIN(B3)</f>
        <v>0.55687930334034796</v>
      </c>
      <c r="D3">
        <f t="shared" ref="D3:D26" ca="1" si="2">COS(B3)</f>
        <v>0.8305934273223986</v>
      </c>
      <c r="E3">
        <f t="shared" ref="E3:E26" ca="1" si="3">TAN(B3)</f>
        <v>0.67045955942075219</v>
      </c>
      <c r="F3">
        <f t="shared" ref="F3:F26" ca="1" si="4">LN(ABS(B3))</f>
        <v>4.7334574970566994</v>
      </c>
      <c r="G3">
        <f t="shared" ref="G3:G26" ca="1" si="5">LOG10(ABS(B3))</f>
        <v>2.0557144712953024</v>
      </c>
      <c r="H3">
        <f t="shared" ref="H3:H26" ca="1" si="6">SQRT(ABS(B3))</f>
        <v>10.662455598356214</v>
      </c>
      <c r="I3">
        <f t="shared" ref="I3:I26" ca="1" si="7">MOD(TRUNC(B3),27)</f>
        <v>5</v>
      </c>
      <c r="J3">
        <f t="shared" ref="J3:J26" ca="1" si="8">ODD(B3)</f>
        <v>115</v>
      </c>
      <c r="K3">
        <f t="shared" ref="K3:K26" ca="1" si="9">ROUND(B3,2)</f>
        <v>113.69</v>
      </c>
      <c r="L3">
        <f t="shared" ref="L3:L26" ca="1" si="10">TRUNC(B3)</f>
        <v>113</v>
      </c>
      <c r="M3" t="str">
        <f t="shared" ref="M3:M26" ca="1" si="11">ROMAN(ABS(L3))</f>
        <v>CXIII</v>
      </c>
    </row>
    <row r="4" spans="2:13">
      <c r="B4">
        <f t="shared" ca="1" si="0"/>
        <v>-69.703579916963434</v>
      </c>
      <c r="C4">
        <f t="shared" ca="1" si="1"/>
        <v>-0.55514853620687254</v>
      </c>
      <c r="D4">
        <f t="shared" ca="1" si="2"/>
        <v>0.83175122647782529</v>
      </c>
      <c r="E4">
        <f t="shared" ca="1" si="3"/>
        <v>-0.66744540739390545</v>
      </c>
      <c r="F4">
        <f t="shared" ca="1" si="4"/>
        <v>4.2442516782403823</v>
      </c>
      <c r="G4">
        <f t="shared" ca="1" si="5"/>
        <v>1.8432550836684138</v>
      </c>
      <c r="H4">
        <f t="shared" ca="1" si="6"/>
        <v>8.3488669840262411</v>
      </c>
      <c r="I4">
        <f t="shared" ca="1" si="7"/>
        <v>12</v>
      </c>
      <c r="J4">
        <f t="shared" ca="1" si="8"/>
        <v>-71</v>
      </c>
      <c r="K4">
        <f t="shared" ca="1" si="9"/>
        <v>-69.7</v>
      </c>
      <c r="L4">
        <f t="shared" ca="1" si="10"/>
        <v>-69</v>
      </c>
      <c r="M4" t="str">
        <f t="shared" ca="1" si="11"/>
        <v>LXIX</v>
      </c>
    </row>
    <row r="5" spans="2:13">
      <c r="B5">
        <f t="shared" ca="1" si="0"/>
        <v>245.70108184522468</v>
      </c>
      <c r="C5">
        <f t="shared" ca="1" si="1"/>
        <v>0.6106291915926837</v>
      </c>
      <c r="D5">
        <f t="shared" ca="1" si="2"/>
        <v>0.79191665620497309</v>
      </c>
      <c r="E5">
        <f t="shared" ca="1" si="3"/>
        <v>0.77107759611843985</v>
      </c>
      <c r="F5">
        <f t="shared" ca="1" si="4"/>
        <v>5.5041156826319071</v>
      </c>
      <c r="G5">
        <f t="shared" ca="1" si="5"/>
        <v>2.3904070687241874</v>
      </c>
      <c r="H5">
        <f t="shared" ca="1" si="6"/>
        <v>15.674855082112392</v>
      </c>
      <c r="I5">
        <f t="shared" ca="1" si="7"/>
        <v>2</v>
      </c>
      <c r="J5">
        <f t="shared" ca="1" si="8"/>
        <v>247</v>
      </c>
      <c r="K5">
        <f t="shared" ca="1" si="9"/>
        <v>245.7</v>
      </c>
      <c r="L5">
        <f t="shared" ca="1" si="10"/>
        <v>245</v>
      </c>
      <c r="M5" t="str">
        <f t="shared" ca="1" si="11"/>
        <v>CCXLV</v>
      </c>
    </row>
    <row r="6" spans="2:13">
      <c r="B6">
        <f t="shared" ca="1" si="0"/>
        <v>350.14508358532402</v>
      </c>
      <c r="C6">
        <f t="shared" ca="1" si="1"/>
        <v>-0.98986442924058893</v>
      </c>
      <c r="D6">
        <f t="shared" ca="1" si="2"/>
        <v>-0.14201553339055228</v>
      </c>
      <c r="E6">
        <f t="shared" ca="1" si="3"/>
        <v>6.9701138009910153</v>
      </c>
      <c r="F6">
        <f t="shared" ca="1" si="4"/>
        <v>5.8583475931213993</v>
      </c>
      <c r="G6">
        <f t="shared" ca="1" si="5"/>
        <v>2.5442480327638202</v>
      </c>
      <c r="H6">
        <f t="shared" ca="1" si="6"/>
        <v>18.712164054040464</v>
      </c>
      <c r="I6">
        <f t="shared" ca="1" si="7"/>
        <v>26</v>
      </c>
      <c r="J6">
        <f t="shared" ca="1" si="8"/>
        <v>351</v>
      </c>
      <c r="K6">
        <f t="shared" ca="1" si="9"/>
        <v>350.15</v>
      </c>
      <c r="L6">
        <f t="shared" ca="1" si="10"/>
        <v>350</v>
      </c>
      <c r="M6" t="str">
        <f t="shared" ca="1" si="11"/>
        <v>CCCL</v>
      </c>
    </row>
    <row r="7" spans="2:13">
      <c r="B7">
        <f t="shared" ca="1" si="0"/>
        <v>334.86239131060751</v>
      </c>
      <c r="C7">
        <f t="shared" ca="1" si="1"/>
        <v>0.96028521381677567</v>
      </c>
      <c r="D7">
        <f t="shared" ca="1" si="2"/>
        <v>-0.27902026472080749</v>
      </c>
      <c r="E7">
        <f t="shared" ca="1" si="3"/>
        <v>-3.4416325093005473</v>
      </c>
      <c r="F7">
        <f t="shared" ca="1" si="4"/>
        <v>5.8137196752279108</v>
      </c>
      <c r="G7">
        <f t="shared" ca="1" si="5"/>
        <v>2.5248663742838469</v>
      </c>
      <c r="H7">
        <f t="shared" ca="1" si="6"/>
        <v>18.299245648676546</v>
      </c>
      <c r="I7">
        <f t="shared" ca="1" si="7"/>
        <v>10</v>
      </c>
      <c r="J7">
        <f t="shared" ca="1" si="8"/>
        <v>335</v>
      </c>
      <c r="K7">
        <f t="shared" ca="1" si="9"/>
        <v>334.86</v>
      </c>
      <c r="L7">
        <f t="shared" ca="1" si="10"/>
        <v>334</v>
      </c>
      <c r="M7" t="str">
        <f t="shared" ca="1" si="11"/>
        <v>CCCXXXIV</v>
      </c>
    </row>
    <row r="8" spans="2:13">
      <c r="B8">
        <f t="shared" ca="1" si="0"/>
        <v>312.91828227706969</v>
      </c>
      <c r="C8">
        <f t="shared" ca="1" si="1"/>
        <v>-0.94610284372319886</v>
      </c>
      <c r="D8">
        <f t="shared" ca="1" si="2"/>
        <v>0.32386634449858531</v>
      </c>
      <c r="E8">
        <f t="shared" ca="1" si="3"/>
        <v>-2.9212755810980275</v>
      </c>
      <c r="F8">
        <f t="shared" ca="1" si="4"/>
        <v>5.7459420774661032</v>
      </c>
      <c r="G8">
        <f t="shared" ca="1" si="5"/>
        <v>2.4954309375792358</v>
      </c>
      <c r="H8">
        <f t="shared" ca="1" si="6"/>
        <v>17.689496382799305</v>
      </c>
      <c r="I8">
        <f t="shared" ca="1" si="7"/>
        <v>15</v>
      </c>
      <c r="J8">
        <f t="shared" ca="1" si="8"/>
        <v>313</v>
      </c>
      <c r="K8">
        <f t="shared" ca="1" si="9"/>
        <v>312.92</v>
      </c>
      <c r="L8">
        <f t="shared" ca="1" si="10"/>
        <v>312</v>
      </c>
      <c r="M8" t="str">
        <f t="shared" ca="1" si="11"/>
        <v>CCCXII</v>
      </c>
    </row>
    <row r="9" spans="2:13">
      <c r="B9">
        <f t="shared" ca="1" si="0"/>
        <v>379.65047738891832</v>
      </c>
      <c r="C9">
        <f t="shared" ca="1" si="1"/>
        <v>0.46375929841519076</v>
      </c>
      <c r="D9">
        <f t="shared" ca="1" si="2"/>
        <v>-0.88596123681200079</v>
      </c>
      <c r="E9">
        <f t="shared" ca="1" si="3"/>
        <v>-0.52345326087172772</v>
      </c>
      <c r="F9">
        <f t="shared" ca="1" si="4"/>
        <v>5.9392510331032522</v>
      </c>
      <c r="G9">
        <f t="shared" ca="1" si="5"/>
        <v>2.5793839503149303</v>
      </c>
      <c r="H9">
        <f t="shared" ca="1" si="6"/>
        <v>19.484621561347254</v>
      </c>
      <c r="I9">
        <f t="shared" ca="1" si="7"/>
        <v>1</v>
      </c>
      <c r="J9">
        <f t="shared" ca="1" si="8"/>
        <v>381</v>
      </c>
      <c r="K9">
        <f t="shared" ca="1" si="9"/>
        <v>379.65</v>
      </c>
      <c r="L9">
        <f t="shared" ca="1" si="10"/>
        <v>379</v>
      </c>
      <c r="M9" t="str">
        <f t="shared" ca="1" si="11"/>
        <v>CCCLXXIX</v>
      </c>
    </row>
    <row r="10" spans="2:13">
      <c r="B10">
        <f t="shared" ca="1" si="0"/>
        <v>316.2934058482079</v>
      </c>
      <c r="C10">
        <f t="shared" ca="1" si="1"/>
        <v>0.84547400379455706</v>
      </c>
      <c r="D10">
        <f t="shared" ca="1" si="2"/>
        <v>-0.53401658111673023</v>
      </c>
      <c r="E10">
        <f t="shared" ca="1" si="3"/>
        <v>-1.5832354906031385</v>
      </c>
      <c r="F10">
        <f t="shared" ca="1" si="4"/>
        <v>5.7566702823175158</v>
      </c>
      <c r="G10">
        <f t="shared" ca="1" si="5"/>
        <v>2.5000901377469322</v>
      </c>
      <c r="H10">
        <f t="shared" ca="1" si="6"/>
        <v>17.784639604113654</v>
      </c>
      <c r="I10">
        <f t="shared" ca="1" si="7"/>
        <v>19</v>
      </c>
      <c r="J10">
        <f t="shared" ca="1" si="8"/>
        <v>317</v>
      </c>
      <c r="K10">
        <f t="shared" ca="1" si="9"/>
        <v>316.29000000000002</v>
      </c>
      <c r="L10">
        <f t="shared" ca="1" si="10"/>
        <v>316</v>
      </c>
      <c r="M10" t="str">
        <f t="shared" ca="1" si="11"/>
        <v>CCCXVI</v>
      </c>
    </row>
    <row r="11" spans="2:13">
      <c r="B11">
        <f t="shared" ca="1" si="0"/>
        <v>295.32526001624183</v>
      </c>
      <c r="C11">
        <f t="shared" ca="1" si="1"/>
        <v>1.5549952067381459E-2</v>
      </c>
      <c r="D11">
        <f t="shared" ca="1" si="2"/>
        <v>0.99987909218600135</v>
      </c>
      <c r="E11">
        <f t="shared" ca="1" si="3"/>
        <v>1.5551832405441274E-2</v>
      </c>
      <c r="F11">
        <f t="shared" ca="1" si="4"/>
        <v>5.6880773252752075</v>
      </c>
      <c r="G11">
        <f t="shared" ca="1" si="5"/>
        <v>2.4703005950060311</v>
      </c>
      <c r="H11">
        <f t="shared" ca="1" si="6"/>
        <v>17.185030113917225</v>
      </c>
      <c r="I11">
        <f t="shared" ca="1" si="7"/>
        <v>25</v>
      </c>
      <c r="J11">
        <f t="shared" ca="1" si="8"/>
        <v>297</v>
      </c>
      <c r="K11">
        <f t="shared" ca="1" si="9"/>
        <v>295.33</v>
      </c>
      <c r="L11">
        <f t="shared" ca="1" si="10"/>
        <v>295</v>
      </c>
      <c r="M11" t="str">
        <f t="shared" ca="1" si="11"/>
        <v>CCXCV</v>
      </c>
    </row>
    <row r="12" spans="2:13">
      <c r="B12">
        <f t="shared" ca="1" si="0"/>
        <v>39.011408063017996</v>
      </c>
      <c r="C12">
        <f t="shared" ca="1" si="1"/>
        <v>0.96677448431394875</v>
      </c>
      <c r="D12">
        <f t="shared" ca="1" si="2"/>
        <v>0.25563078155710917</v>
      </c>
      <c r="E12">
        <f t="shared" ca="1" si="3"/>
        <v>3.7819173357179081</v>
      </c>
      <c r="F12">
        <f t="shared" ca="1" si="4"/>
        <v>3.6638541177919985</v>
      </c>
      <c r="G12">
        <f t="shared" ca="1" si="5"/>
        <v>1.5911916258555718</v>
      </c>
      <c r="H12">
        <f t="shared" ca="1" si="6"/>
        <v>6.2459113076490285</v>
      </c>
      <c r="I12">
        <f t="shared" ca="1" si="7"/>
        <v>12</v>
      </c>
      <c r="J12">
        <f t="shared" ca="1" si="8"/>
        <v>41</v>
      </c>
      <c r="K12">
        <f t="shared" ca="1" si="9"/>
        <v>39.01</v>
      </c>
      <c r="L12">
        <f t="shared" ca="1" si="10"/>
        <v>39</v>
      </c>
      <c r="M12" t="str">
        <f t="shared" ca="1" si="11"/>
        <v>XXXIX</v>
      </c>
    </row>
    <row r="13" spans="2:13">
      <c r="B13">
        <f t="shared" ca="1" si="0"/>
        <v>-96.694600616525705</v>
      </c>
      <c r="C13">
        <f t="shared" ca="1" si="1"/>
        <v>-0.64021003374683494</v>
      </c>
      <c r="D13">
        <f t="shared" ca="1" si="2"/>
        <v>-0.76819991713737934</v>
      </c>
      <c r="E13">
        <f t="shared" ca="1" si="3"/>
        <v>0.83338987607876103</v>
      </c>
      <c r="F13">
        <f t="shared" ca="1" si="4"/>
        <v>4.5715575644631672</v>
      </c>
      <c r="G13">
        <f t="shared" ca="1" si="5"/>
        <v>1.9854022239494229</v>
      </c>
      <c r="H13">
        <f t="shared" ca="1" si="6"/>
        <v>9.833341274283411</v>
      </c>
      <c r="I13">
        <f t="shared" ca="1" si="7"/>
        <v>12</v>
      </c>
      <c r="J13">
        <f t="shared" ca="1" si="8"/>
        <v>-97</v>
      </c>
      <c r="K13">
        <f t="shared" ca="1" si="9"/>
        <v>-96.69</v>
      </c>
      <c r="L13">
        <f t="shared" ca="1" si="10"/>
        <v>-96</v>
      </c>
      <c r="M13" t="str">
        <f t="shared" ca="1" si="11"/>
        <v>XCVI</v>
      </c>
    </row>
    <row r="14" spans="2:13">
      <c r="B14">
        <f t="shared" ca="1" si="0"/>
        <v>-34.458702038922723</v>
      </c>
      <c r="C14">
        <f t="shared" ca="1" si="1"/>
        <v>-9.8656406966462773E-2</v>
      </c>
      <c r="D14">
        <f t="shared" ca="1" si="2"/>
        <v>-0.99512155707956984</v>
      </c>
      <c r="E14">
        <f t="shared" ca="1" si="3"/>
        <v>9.9140056071134033E-2</v>
      </c>
      <c r="F14">
        <f t="shared" ca="1" si="4"/>
        <v>3.5397615646597891</v>
      </c>
      <c r="G14">
        <f t="shared" ca="1" si="5"/>
        <v>1.5372989147849672</v>
      </c>
      <c r="H14">
        <f t="shared" ca="1" si="6"/>
        <v>5.8701534936424551</v>
      </c>
      <c r="I14">
        <f t="shared" ca="1" si="7"/>
        <v>20</v>
      </c>
      <c r="J14">
        <f t="shared" ca="1" si="8"/>
        <v>-35</v>
      </c>
      <c r="K14">
        <f t="shared" ca="1" si="9"/>
        <v>-34.46</v>
      </c>
      <c r="L14">
        <f t="shared" ca="1" si="10"/>
        <v>-34</v>
      </c>
      <c r="M14" t="str">
        <f t="shared" ca="1" si="11"/>
        <v>XXXIV</v>
      </c>
    </row>
    <row r="15" spans="2:13">
      <c r="B15">
        <f t="shared" ca="1" si="0"/>
        <v>-74.515235184307656</v>
      </c>
      <c r="C15">
        <f t="shared" ca="1" si="1"/>
        <v>0.77263956164900793</v>
      </c>
      <c r="D15">
        <f t="shared" ca="1" si="2"/>
        <v>0.63484494782177237</v>
      </c>
      <c r="E15">
        <f t="shared" ca="1" si="3"/>
        <v>1.2170523909814912</v>
      </c>
      <c r="F15">
        <f t="shared" ca="1" si="4"/>
        <v>4.3110036035966433</v>
      </c>
      <c r="G15">
        <f t="shared" ca="1" si="5"/>
        <v>1.8722450765070557</v>
      </c>
      <c r="H15">
        <f t="shared" ca="1" si="6"/>
        <v>8.6322207562311366</v>
      </c>
      <c r="I15">
        <f t="shared" ca="1" si="7"/>
        <v>7</v>
      </c>
      <c r="J15">
        <f t="shared" ca="1" si="8"/>
        <v>-75</v>
      </c>
      <c r="K15">
        <f t="shared" ca="1" si="9"/>
        <v>-74.52</v>
      </c>
      <c r="L15">
        <f t="shared" ca="1" si="10"/>
        <v>-74</v>
      </c>
      <c r="M15" t="str">
        <f t="shared" ca="1" si="11"/>
        <v>LXXIV</v>
      </c>
    </row>
    <row r="16" spans="2:13">
      <c r="B16">
        <f t="shared" ca="1" si="0"/>
        <v>255.24886954997424</v>
      </c>
      <c r="C16">
        <f t="shared" ca="1" si="1"/>
        <v>-0.70318316160297656</v>
      </c>
      <c r="D16">
        <f t="shared" ca="1" si="2"/>
        <v>-0.71100874905871736</v>
      </c>
      <c r="E16">
        <f t="shared" ca="1" si="3"/>
        <v>0.98899368331810145</v>
      </c>
      <c r="F16">
        <f t="shared" ca="1" si="4"/>
        <v>5.5422390282395684</v>
      </c>
      <c r="G16">
        <f t="shared" ca="1" si="5"/>
        <v>2.4069638273532852</v>
      </c>
      <c r="H16">
        <f t="shared" ca="1" si="6"/>
        <v>15.976509930206104</v>
      </c>
      <c r="I16">
        <f t="shared" ca="1" si="7"/>
        <v>12</v>
      </c>
      <c r="J16">
        <f t="shared" ca="1" si="8"/>
        <v>257</v>
      </c>
      <c r="K16">
        <f t="shared" ca="1" si="9"/>
        <v>255.25</v>
      </c>
      <c r="L16">
        <f t="shared" ca="1" si="10"/>
        <v>255</v>
      </c>
      <c r="M16" t="str">
        <f t="shared" ca="1" si="11"/>
        <v>CCLV</v>
      </c>
    </row>
    <row r="17" spans="1:13">
      <c r="B17">
        <f t="shared" ca="1" si="0"/>
        <v>-65.83129335448875</v>
      </c>
      <c r="C17">
        <f t="shared" ca="1" si="1"/>
        <v>-0.14167410185991383</v>
      </c>
      <c r="D17">
        <f t="shared" ca="1" si="2"/>
        <v>-0.98991335421954318</v>
      </c>
      <c r="E17">
        <f t="shared" ca="1" si="3"/>
        <v>0.14311767919487356</v>
      </c>
      <c r="F17">
        <f t="shared" ca="1" si="4"/>
        <v>4.1870953081725348</v>
      </c>
      <c r="G17">
        <f t="shared" ca="1" si="5"/>
        <v>1.8184323875423276</v>
      </c>
      <c r="H17">
        <f t="shared" ca="1" si="6"/>
        <v>8.1136485846066044</v>
      </c>
      <c r="I17">
        <f t="shared" ca="1" si="7"/>
        <v>16</v>
      </c>
      <c r="J17">
        <f t="shared" ca="1" si="8"/>
        <v>-67</v>
      </c>
      <c r="K17">
        <f t="shared" ca="1" si="9"/>
        <v>-65.83</v>
      </c>
      <c r="L17">
        <f t="shared" ca="1" si="10"/>
        <v>-65</v>
      </c>
      <c r="M17" t="str">
        <f t="shared" ca="1" si="11"/>
        <v>LXV</v>
      </c>
    </row>
    <row r="18" spans="1:13">
      <c r="B18">
        <f t="shared" ca="1" si="0"/>
        <v>190.91937393561381</v>
      </c>
      <c r="C18">
        <f t="shared" ca="1" si="1"/>
        <v>0.65771248303677754</v>
      </c>
      <c r="D18">
        <f t="shared" ca="1" si="2"/>
        <v>-0.75326906856554032</v>
      </c>
      <c r="E18">
        <f t="shared" ca="1" si="3"/>
        <v>-0.87314415324296746</v>
      </c>
      <c r="F18">
        <f t="shared" ca="1" si="4"/>
        <v>5.251851212934822</v>
      </c>
      <c r="G18">
        <f t="shared" ca="1" si="5"/>
        <v>2.280850001554493</v>
      </c>
      <c r="H18">
        <f t="shared" ca="1" si="6"/>
        <v>13.817357704554579</v>
      </c>
      <c r="I18">
        <f t="shared" ca="1" si="7"/>
        <v>1</v>
      </c>
      <c r="J18">
        <f t="shared" ca="1" si="8"/>
        <v>191</v>
      </c>
      <c r="K18">
        <f t="shared" ca="1" si="9"/>
        <v>190.92</v>
      </c>
      <c r="L18">
        <f t="shared" ca="1" si="10"/>
        <v>190</v>
      </c>
      <c r="M18" t="str">
        <f t="shared" ca="1" si="11"/>
        <v>CXC</v>
      </c>
    </row>
    <row r="19" spans="1:13">
      <c r="B19">
        <f t="shared" ca="1" si="0"/>
        <v>208.77253651880801</v>
      </c>
      <c r="C19">
        <f t="shared" ca="1" si="1"/>
        <v>0.98973940738164023</v>
      </c>
      <c r="D19">
        <f t="shared" ca="1" si="2"/>
        <v>0.14288423802449171</v>
      </c>
      <c r="E19">
        <f t="shared" ca="1" si="3"/>
        <v>6.9268620602644049</v>
      </c>
      <c r="F19">
        <f t="shared" ca="1" si="4"/>
        <v>5.3412453172753063</v>
      </c>
      <c r="G19">
        <f t="shared" ca="1" si="5"/>
        <v>2.3196733677842492</v>
      </c>
      <c r="H19">
        <f t="shared" ca="1" si="6"/>
        <v>14.448963164144617</v>
      </c>
      <c r="I19">
        <f t="shared" ca="1" si="7"/>
        <v>19</v>
      </c>
      <c r="J19">
        <f t="shared" ca="1" si="8"/>
        <v>209</v>
      </c>
      <c r="K19">
        <f t="shared" ca="1" si="9"/>
        <v>208.77</v>
      </c>
      <c r="L19">
        <f t="shared" ca="1" si="10"/>
        <v>208</v>
      </c>
      <c r="M19" t="str">
        <f t="shared" ca="1" si="11"/>
        <v>CCVIII</v>
      </c>
    </row>
    <row r="20" spans="1:13">
      <c r="B20">
        <f t="shared" ca="1" si="0"/>
        <v>238.11968702908865</v>
      </c>
      <c r="C20">
        <f t="shared" ca="1" si="1"/>
        <v>-0.59828144707932818</v>
      </c>
      <c r="D20">
        <f t="shared" ca="1" si="2"/>
        <v>0.80128603512145713</v>
      </c>
      <c r="E20">
        <f t="shared" ca="1" si="3"/>
        <v>-0.74665153372932802</v>
      </c>
      <c r="F20">
        <f t="shared" ca="1" si="4"/>
        <v>5.472773433943189</v>
      </c>
      <c r="G20">
        <f t="shared" ca="1" si="5"/>
        <v>2.3767953030682381</v>
      </c>
      <c r="H20">
        <f t="shared" ca="1" si="6"/>
        <v>15.431127211875634</v>
      </c>
      <c r="I20">
        <f t="shared" ca="1" si="7"/>
        <v>22</v>
      </c>
      <c r="J20">
        <f t="shared" ca="1" si="8"/>
        <v>239</v>
      </c>
      <c r="K20">
        <f t="shared" ca="1" si="9"/>
        <v>238.12</v>
      </c>
      <c r="L20">
        <f t="shared" ca="1" si="10"/>
        <v>238</v>
      </c>
      <c r="M20" t="str">
        <f t="shared" ca="1" si="11"/>
        <v>CCXXXVIII</v>
      </c>
    </row>
    <row r="21" spans="1:13">
      <c r="B21">
        <f t="shared" ca="1" si="0"/>
        <v>93.167224650613861</v>
      </c>
      <c r="C21">
        <f t="shared" ca="1" si="1"/>
        <v>-0.88221923807267921</v>
      </c>
      <c r="D21">
        <f t="shared" ca="1" si="2"/>
        <v>0.47083884289049616</v>
      </c>
      <c r="E21">
        <f t="shared" ca="1" si="3"/>
        <v>-1.8737180489542968</v>
      </c>
      <c r="F21">
        <f t="shared" ca="1" si="4"/>
        <v>4.5343959930033551</v>
      </c>
      <c r="G21">
        <f t="shared" ca="1" si="5"/>
        <v>1.9692631585255731</v>
      </c>
      <c r="H21">
        <f t="shared" ca="1" si="6"/>
        <v>9.6523170612352907</v>
      </c>
      <c r="I21">
        <f t="shared" ca="1" si="7"/>
        <v>12</v>
      </c>
      <c r="J21">
        <f t="shared" ca="1" si="8"/>
        <v>95</v>
      </c>
      <c r="K21">
        <f t="shared" ca="1" si="9"/>
        <v>93.17</v>
      </c>
      <c r="L21">
        <f t="shared" ca="1" si="10"/>
        <v>93</v>
      </c>
      <c r="M21" t="str">
        <f t="shared" ca="1" si="11"/>
        <v>XCIII</v>
      </c>
    </row>
    <row r="22" spans="1:13">
      <c r="B22">
        <f t="shared" ca="1" si="0"/>
        <v>270.62771621925708</v>
      </c>
      <c r="C22">
        <f t="shared" ca="1" si="1"/>
        <v>0.4356389562811665</v>
      </c>
      <c r="D22">
        <f t="shared" ca="1" si="2"/>
        <v>0.90012149167223865</v>
      </c>
      <c r="E22">
        <f t="shared" ca="1" si="3"/>
        <v>0.48397795221158413</v>
      </c>
      <c r="F22">
        <f t="shared" ca="1" si="4"/>
        <v>5.6007441355442866</v>
      </c>
      <c r="G22">
        <f t="shared" ca="1" si="5"/>
        <v>2.4323722726188821</v>
      </c>
      <c r="H22">
        <f t="shared" ca="1" si="6"/>
        <v>16.450766432578668</v>
      </c>
      <c r="I22">
        <f t="shared" ca="1" si="7"/>
        <v>0</v>
      </c>
      <c r="J22">
        <f t="shared" ca="1" si="8"/>
        <v>271</v>
      </c>
      <c r="K22">
        <f t="shared" ca="1" si="9"/>
        <v>270.63</v>
      </c>
      <c r="L22">
        <f t="shared" ca="1" si="10"/>
        <v>270</v>
      </c>
      <c r="M22" t="str">
        <f t="shared" ca="1" si="11"/>
        <v>CCLXX</v>
      </c>
    </row>
    <row r="23" spans="1:13">
      <c r="B23">
        <f t="shared" ca="1" si="0"/>
        <v>397.6428997281173</v>
      </c>
      <c r="C23">
        <f t="shared" ca="1" si="1"/>
        <v>0.97333960986093393</v>
      </c>
      <c r="D23">
        <f t="shared" ca="1" si="2"/>
        <v>-0.22936870727229755</v>
      </c>
      <c r="E23">
        <f t="shared" ca="1" si="3"/>
        <v>-4.2435588596025138</v>
      </c>
      <c r="F23">
        <f t="shared" ca="1" si="4"/>
        <v>5.9855543656624848</v>
      </c>
      <c r="G23">
        <f t="shared" ca="1" si="5"/>
        <v>2.5994932321391362</v>
      </c>
      <c r="H23">
        <f t="shared" ca="1" si="6"/>
        <v>19.940985425201969</v>
      </c>
      <c r="I23">
        <f t="shared" ca="1" si="7"/>
        <v>19</v>
      </c>
      <c r="J23">
        <f t="shared" ca="1" si="8"/>
        <v>399</v>
      </c>
      <c r="K23">
        <f t="shared" ca="1" si="9"/>
        <v>397.64</v>
      </c>
      <c r="L23">
        <f t="shared" ca="1" si="10"/>
        <v>397</v>
      </c>
      <c r="M23" t="str">
        <f t="shared" ca="1" si="11"/>
        <v>CCCXCVII</v>
      </c>
    </row>
    <row r="24" spans="1:13">
      <c r="B24">
        <f t="shared" ca="1" si="0"/>
        <v>260.56407897522627</v>
      </c>
      <c r="C24">
        <f t="shared" ca="1" si="1"/>
        <v>0.18700382104055388</v>
      </c>
      <c r="D24">
        <f t="shared" ca="1" si="2"/>
        <v>-0.98235918630419117</v>
      </c>
      <c r="E24">
        <f t="shared" ca="1" si="3"/>
        <v>-0.19036196092805452</v>
      </c>
      <c r="F24">
        <f t="shared" ca="1" si="4"/>
        <v>5.5628488154939957</v>
      </c>
      <c r="G24">
        <f t="shared" ca="1" si="5"/>
        <v>2.4159145442310828</v>
      </c>
      <c r="H24">
        <f t="shared" ca="1" si="6"/>
        <v>16.141997366349255</v>
      </c>
      <c r="I24">
        <f t="shared" ca="1" si="7"/>
        <v>17</v>
      </c>
      <c r="J24">
        <f t="shared" ca="1" si="8"/>
        <v>261</v>
      </c>
      <c r="K24">
        <f t="shared" ca="1" si="9"/>
        <v>260.56</v>
      </c>
      <c r="L24">
        <f t="shared" ca="1" si="10"/>
        <v>260</v>
      </c>
      <c r="M24" t="str">
        <f t="shared" ca="1" si="11"/>
        <v>CCLX</v>
      </c>
    </row>
    <row r="25" spans="1:13">
      <c r="B25">
        <f t="shared" ca="1" si="0"/>
        <v>80.542966176070081</v>
      </c>
      <c r="C25">
        <f t="shared" ca="1" si="1"/>
        <v>-0.90798212379145748</v>
      </c>
      <c r="D25">
        <f t="shared" ca="1" si="2"/>
        <v>0.41900890548430408</v>
      </c>
      <c r="E25">
        <f t="shared" ca="1" si="3"/>
        <v>-2.1669757179551645</v>
      </c>
      <c r="F25">
        <f t="shared" ca="1" si="4"/>
        <v>4.3887907833529249</v>
      </c>
      <c r="G25">
        <f t="shared" ca="1" si="5"/>
        <v>1.9060276194380255</v>
      </c>
      <c r="H25">
        <f t="shared" ca="1" si="6"/>
        <v>8.9745733144294988</v>
      </c>
      <c r="I25">
        <f t="shared" ca="1" si="7"/>
        <v>26</v>
      </c>
      <c r="J25">
        <f t="shared" ca="1" si="8"/>
        <v>81</v>
      </c>
      <c r="K25">
        <f t="shared" ca="1" si="9"/>
        <v>80.540000000000006</v>
      </c>
      <c r="L25">
        <f t="shared" ca="1" si="10"/>
        <v>80</v>
      </c>
      <c r="M25" t="str">
        <f t="shared" ca="1" si="11"/>
        <v>LXXX</v>
      </c>
    </row>
    <row r="26" spans="1:13">
      <c r="B26">
        <f t="shared" ca="1" si="0"/>
        <v>110.26431013462832</v>
      </c>
      <c r="C26">
        <f t="shared" ca="1" si="1"/>
        <v>-0.30369387644122681</v>
      </c>
      <c r="D26">
        <f t="shared" ca="1" si="2"/>
        <v>-0.95276966230674076</v>
      </c>
      <c r="E26">
        <f t="shared" ca="1" si="3"/>
        <v>0.31874847453261335</v>
      </c>
      <c r="F26">
        <f t="shared" ca="1" si="4"/>
        <v>4.7028803030435213</v>
      </c>
      <c r="G26">
        <f t="shared" ca="1" si="5"/>
        <v>2.0424349646632942</v>
      </c>
      <c r="H26">
        <f t="shared" ca="1" si="6"/>
        <v>10.500681412871657</v>
      </c>
      <c r="I26">
        <f t="shared" ca="1" si="7"/>
        <v>2</v>
      </c>
      <c r="J26">
        <f t="shared" ca="1" si="8"/>
        <v>111</v>
      </c>
      <c r="K26">
        <f t="shared" ca="1" si="9"/>
        <v>110.26</v>
      </c>
      <c r="L26">
        <f t="shared" ca="1" si="10"/>
        <v>110</v>
      </c>
      <c r="M26" t="str">
        <f t="shared" ca="1" si="11"/>
        <v>CX</v>
      </c>
    </row>
    <row r="27" spans="1:13">
      <c r="A27" s="25" t="s">
        <v>27</v>
      </c>
      <c r="B27">
        <f ca="1">SUM(B2:B26)</f>
        <v>4344.3999563849966</v>
      </c>
      <c r="C27">
        <f t="shared" ref="C27:L27" ca="1" si="12">SUM(C2:C26)</f>
        <v>1.1879281748628312</v>
      </c>
      <c r="D27">
        <f t="shared" ca="1" si="12"/>
        <v>-1.6974070124277132</v>
      </c>
      <c r="E27">
        <f t="shared" ca="1" si="12"/>
        <v>4.5368153072906203</v>
      </c>
      <c r="F27">
        <f t="shared" ca="1" si="12"/>
        <v>127.19864410235451</v>
      </c>
      <c r="G27">
        <f t="shared" ca="1" si="12"/>
        <v>55.241669239228166</v>
      </c>
      <c r="H27">
        <f t="shared" ca="1" si="12"/>
        <v>337.73332748161715</v>
      </c>
      <c r="I27">
        <f t="shared" ca="1" si="12"/>
        <v>315</v>
      </c>
      <c r="J27">
        <f t="shared" ca="1" si="12"/>
        <v>4359</v>
      </c>
      <c r="K27">
        <f t="shared" ca="1" si="12"/>
        <v>4344.4000000000005</v>
      </c>
      <c r="L27">
        <f t="shared" ca="1" si="12"/>
        <v>4338</v>
      </c>
    </row>
    <row r="28" spans="1:13">
      <c r="A28" s="25" t="s">
        <v>28</v>
      </c>
      <c r="B28">
        <f ca="1">AVERAGE(B2:B26)</f>
        <v>173.77599825539986</v>
      </c>
      <c r="C28">
        <f t="shared" ref="C28:L28" ca="1" si="13">AVERAGE(C2:C26)</f>
        <v>4.7517126994513249E-2</v>
      </c>
      <c r="D28">
        <f t="shared" ca="1" si="13"/>
        <v>-6.7896280497108524E-2</v>
      </c>
      <c r="E28">
        <f t="shared" ca="1" si="13"/>
        <v>0.18147261229162481</v>
      </c>
      <c r="F28">
        <f t="shared" ca="1" si="13"/>
        <v>5.0879457640941803</v>
      </c>
      <c r="G28">
        <f t="shared" ca="1" si="13"/>
        <v>2.2096667695691266</v>
      </c>
      <c r="H28">
        <f t="shared" ca="1" si="13"/>
        <v>13.509333099264687</v>
      </c>
      <c r="I28">
        <f t="shared" ca="1" si="13"/>
        <v>12.6</v>
      </c>
      <c r="J28">
        <f t="shared" ca="1" si="13"/>
        <v>174.36</v>
      </c>
      <c r="K28">
        <f t="shared" ca="1" si="13"/>
        <v>173.77600000000001</v>
      </c>
      <c r="L28">
        <f t="shared" ca="1" si="13"/>
        <v>173.52</v>
      </c>
    </row>
    <row r="29" spans="1:13">
      <c r="A29" s="25" t="s">
        <v>11</v>
      </c>
      <c r="B29">
        <f ca="1">MIN(B2:B26)</f>
        <v>-96.694600616525705</v>
      </c>
      <c r="C29">
        <f t="shared" ref="C29:L29" ca="1" si="14">MIN(C2:C26)</f>
        <v>-0.98986442924058893</v>
      </c>
      <c r="D29">
        <f t="shared" ca="1" si="14"/>
        <v>-0.99512155707956984</v>
      </c>
      <c r="E29">
        <f t="shared" ca="1" si="14"/>
        <v>-4.2435588596025138</v>
      </c>
      <c r="F29">
        <f t="shared" ca="1" si="14"/>
        <v>3.5397615646597891</v>
      </c>
      <c r="G29">
        <f t="shared" ca="1" si="14"/>
        <v>1.5372989147849672</v>
      </c>
      <c r="H29">
        <f t="shared" ca="1" si="14"/>
        <v>5.8701534936424551</v>
      </c>
      <c r="I29">
        <f t="shared" ca="1" si="14"/>
        <v>0</v>
      </c>
      <c r="J29">
        <f t="shared" ca="1" si="14"/>
        <v>-97</v>
      </c>
      <c r="K29">
        <f t="shared" ca="1" si="14"/>
        <v>-96.69</v>
      </c>
      <c r="L29">
        <f t="shared" ca="1" si="14"/>
        <v>-96</v>
      </c>
    </row>
    <row r="30" spans="1:13">
      <c r="A30" s="25" t="s">
        <v>24</v>
      </c>
      <c r="B30">
        <f ca="1">MAX(B2:B26)</f>
        <v>397.6428997281173</v>
      </c>
      <c r="C30">
        <f t="shared" ref="C30:L30" ca="1" si="15">MAX(C2:C26)</f>
        <v>0.98973940738164023</v>
      </c>
      <c r="D30">
        <f t="shared" ca="1" si="15"/>
        <v>0.99987909218600135</v>
      </c>
      <c r="E30">
        <f t="shared" ca="1" si="15"/>
        <v>6.9701138009910153</v>
      </c>
      <c r="F30">
        <f t="shared" ca="1" si="15"/>
        <v>5.9855543656624848</v>
      </c>
      <c r="G30">
        <f t="shared" ca="1" si="15"/>
        <v>2.5994932321391362</v>
      </c>
      <c r="H30">
        <f t="shared" ca="1" si="15"/>
        <v>19.940985425201969</v>
      </c>
      <c r="I30">
        <f t="shared" ca="1" si="15"/>
        <v>26</v>
      </c>
      <c r="J30">
        <f t="shared" ca="1" si="15"/>
        <v>399</v>
      </c>
      <c r="K30">
        <f t="shared" ca="1" si="15"/>
        <v>397.64</v>
      </c>
      <c r="L30">
        <f t="shared" ca="1" si="15"/>
        <v>397</v>
      </c>
    </row>
    <row r="31" spans="1:13">
      <c r="A31" s="25" t="s">
        <v>25</v>
      </c>
      <c r="B31">
        <f ca="1">COUNTIF(B2:B26,"&gt;150")</f>
        <v>15</v>
      </c>
      <c r="C31">
        <f t="shared" ref="C31:L31" ca="1" si="16">COUNTIF(C2:C26,"&gt;150")</f>
        <v>0</v>
      </c>
      <c r="D31">
        <f t="shared" ca="1" si="16"/>
        <v>0</v>
      </c>
      <c r="E31">
        <f t="shared" ca="1" si="16"/>
        <v>0</v>
      </c>
      <c r="F31">
        <f t="shared" ca="1" si="16"/>
        <v>0</v>
      </c>
      <c r="G31">
        <f t="shared" ca="1" si="16"/>
        <v>0</v>
      </c>
      <c r="H31">
        <f t="shared" ca="1" si="16"/>
        <v>0</v>
      </c>
      <c r="I31">
        <f t="shared" ca="1" si="16"/>
        <v>0</v>
      </c>
      <c r="J31">
        <f t="shared" ca="1" si="16"/>
        <v>15</v>
      </c>
      <c r="K31">
        <f t="shared" ca="1" si="16"/>
        <v>15</v>
      </c>
      <c r="L31">
        <f t="shared" ca="1" si="16"/>
        <v>15</v>
      </c>
    </row>
    <row r="32" spans="1:13">
      <c r="A32" s="25" t="s">
        <v>26</v>
      </c>
      <c r="B32">
        <f ca="1">SUMIF(B2:B26,"&lt;130")</f>
        <v>95.470457300039726</v>
      </c>
      <c r="C32">
        <f t="shared" ref="C32:L32" ca="1" si="17">SUMIF(C2:C26,"&lt;130")</f>
        <v>1.1879281748628312</v>
      </c>
      <c r="D32">
        <f t="shared" ca="1" si="17"/>
        <v>-1.6974070124277132</v>
      </c>
      <c r="E32">
        <f t="shared" ca="1" si="17"/>
        <v>4.5368153072906203</v>
      </c>
      <c r="F32">
        <f t="shared" ca="1" si="17"/>
        <v>127.19864410235451</v>
      </c>
      <c r="G32">
        <f t="shared" ca="1" si="17"/>
        <v>55.241669239228166</v>
      </c>
      <c r="H32">
        <f t="shared" ca="1" si="17"/>
        <v>337.73332748161715</v>
      </c>
      <c r="I32">
        <f t="shared" ca="1" si="17"/>
        <v>315</v>
      </c>
      <c r="J32">
        <f t="shared" ca="1" si="17"/>
        <v>98</v>
      </c>
      <c r="K32">
        <f t="shared" ca="1" si="17"/>
        <v>95.470000000000013</v>
      </c>
      <c r="L32">
        <f t="shared" ca="1" si="17"/>
        <v>97</v>
      </c>
    </row>
  </sheetData>
  <conditionalFormatting sqref="B2:M32">
    <cfRule type="cellIs" dxfId="2" priority="1" operator="greaterThan">
      <formula>80</formula>
    </cfRule>
    <cfRule type="cellIs" dxfId="1" priority="2" operator="greaterThan">
      <formula>80</formula>
    </cfRule>
    <cfRule type="cellIs" dxfId="0" priority="3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510F-26B8-46D0-BE24-A30B3C51FB5F}">
  <dimension ref="A1:A26"/>
  <sheetViews>
    <sheetView workbookViewId="0">
      <selection activeCell="A2" sqref="A2"/>
    </sheetView>
  </sheetViews>
  <sheetFormatPr defaultRowHeight="15"/>
  <sheetData>
    <row r="1" spans="1:1">
      <c r="A1" s="25" t="s">
        <v>41</v>
      </c>
    </row>
    <row r="2" spans="1:1">
      <c r="A2">
        <f ca="1">IF(Лист4!H2&gt;10,TRUNC(2*Лист4!H2),EXP(Лист4!H2))</f>
        <v>27</v>
      </c>
    </row>
    <row r="3" spans="1:1">
      <c r="A3">
        <f ca="1">IF(Лист4!H3&gt;10,TRUNC(2*Лист4!H3),EXP(Лист4!H3))</f>
        <v>21</v>
      </c>
    </row>
    <row r="4" spans="1:1">
      <c r="A4">
        <f ca="1">IF(Лист4!H4&gt;10,TRUNC(2*Лист4!H4),EXP(Лист4!H4))</f>
        <v>4225.3905949465825</v>
      </c>
    </row>
    <row r="5" spans="1:1">
      <c r="A5">
        <f ca="1">IF(Лист4!H5&gt;10,TRUNC(2*Лист4!H5),EXP(Лист4!H5))</f>
        <v>31</v>
      </c>
    </row>
    <row r="6" spans="1:1">
      <c r="A6">
        <f ca="1">IF(Лист4!H6&gt;10,TRUNC(2*Лист4!H6),EXP(Лист4!H6))</f>
        <v>37</v>
      </c>
    </row>
    <row r="7" spans="1:1">
      <c r="A7">
        <f ca="1">IF(Лист4!H7&gt;10,TRUNC(2*Лист4!H7),EXP(Лист4!H7))</f>
        <v>36</v>
      </c>
    </row>
    <row r="8" spans="1:1">
      <c r="A8">
        <f ca="1">IF(Лист4!H8&gt;10,TRUNC(2*Лист4!H8),EXP(Лист4!H8))</f>
        <v>35</v>
      </c>
    </row>
    <row r="9" spans="1:1">
      <c r="A9">
        <f ca="1">IF(Лист4!H9&gt;10,TRUNC(2*Лист4!H9),EXP(Лист4!H9))</f>
        <v>38</v>
      </c>
    </row>
    <row r="10" spans="1:1">
      <c r="A10">
        <f ca="1">IF(Лист4!H10&gt;10,TRUNC(2*Лист4!H10),EXP(Лист4!H10))</f>
        <v>35</v>
      </c>
    </row>
    <row r="11" spans="1:1">
      <c r="A11">
        <f ca="1">IF(Лист4!H11&gt;10,TRUNC(2*Лист4!H11),EXP(Лист4!H11))</f>
        <v>34</v>
      </c>
    </row>
    <row r="12" spans="1:1">
      <c r="A12">
        <f ca="1">IF(Лист4!H12&gt;10,TRUNC(2*Лист4!H12),EXP(Лист4!H12))</f>
        <v>515.89915361434134</v>
      </c>
    </row>
    <row r="13" spans="1:1">
      <c r="A13">
        <f ca="1">IF(Лист4!H13&gt;10,TRUNC(2*Лист4!H13),EXP(Лист4!H13))</f>
        <v>18645.148818840193</v>
      </c>
    </row>
    <row r="14" spans="1:1">
      <c r="A14">
        <f ca="1">IF(Лист4!H14&gt;10,TRUNC(2*Лист4!H14),EXP(Лист4!H14))</f>
        <v>354.30335940740201</v>
      </c>
    </row>
    <row r="15" spans="1:1">
      <c r="A15">
        <f ca="1">IF(Лист4!H15&gt;10,TRUNC(2*Лист4!H15),EXP(Лист4!H15))</f>
        <v>5609.5218111589984</v>
      </c>
    </row>
    <row r="16" spans="1:1">
      <c r="A16">
        <f ca="1">IF(Лист4!H16&gt;10,TRUNC(2*Лист4!H16),EXP(Лист4!H16))</f>
        <v>31</v>
      </c>
    </row>
    <row r="17" spans="1:1">
      <c r="A17">
        <f ca="1">IF(Лист4!H17&gt;10,TRUNC(2*Лист4!H17),EXP(Лист4!H17))</f>
        <v>3339.7411554742985</v>
      </c>
    </row>
    <row r="18" spans="1:1">
      <c r="A18">
        <f ca="1">IF(Лист4!H18&gt;10,TRUNC(2*Лист4!H18),EXP(Лист4!H18))</f>
        <v>27</v>
      </c>
    </row>
    <row r="19" spans="1:1">
      <c r="A19">
        <f ca="1">IF(Лист4!H19&gt;10,TRUNC(2*Лист4!H19),EXP(Лист4!H19))</f>
        <v>28</v>
      </c>
    </row>
    <row r="20" spans="1:1">
      <c r="A20">
        <f ca="1">IF(Лист4!H20&gt;10,TRUNC(2*Лист4!H20),EXP(Лист4!H20))</f>
        <v>30</v>
      </c>
    </row>
    <row r="21" spans="1:1">
      <c r="A21">
        <f ca="1">IF(Лист4!H21&gt;10,TRUNC(2*Лист4!H21),EXP(Лист4!H21))</f>
        <v>15557.79473639211</v>
      </c>
    </row>
    <row r="22" spans="1:1">
      <c r="A22">
        <f ca="1">IF(Лист4!H22&gt;10,TRUNC(2*Лист4!H22),EXP(Лист4!H22))</f>
        <v>32</v>
      </c>
    </row>
    <row r="23" spans="1:1">
      <c r="A23">
        <f ca="1">IF(Лист4!H23&gt;10,TRUNC(2*Лист4!H23),EXP(Лист4!H23))</f>
        <v>39</v>
      </c>
    </row>
    <row r="24" spans="1:1">
      <c r="A24">
        <f ca="1">IF(Лист4!H24&gt;10,TRUNC(2*Лист4!H24),EXP(Лист4!H24))</f>
        <v>32</v>
      </c>
    </row>
    <row r="25" spans="1:1">
      <c r="A25">
        <f ca="1">IF(Лист4!H25&gt;10,TRUNC(2*Лист4!H25),EXP(Лист4!H25))</f>
        <v>7899.6466880984726</v>
      </c>
    </row>
    <row r="26" spans="1:1">
      <c r="A26">
        <f ca="1">IF(Лист4!H26&gt;10,TRUNC(2*Лист4!H26),EXP(Лист4!H26))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330</vt:i4>
      </vt:variant>
    </vt:vector>
  </HeadingPairs>
  <TitlesOfParts>
    <vt:vector size="335" baseType="lpstr">
      <vt:lpstr>Основа</vt:lpstr>
      <vt:lpstr>Лист2</vt:lpstr>
      <vt:lpstr>Лист3</vt:lpstr>
      <vt:lpstr>Лист4</vt:lpstr>
      <vt:lpstr>Лист5</vt:lpstr>
      <vt:lpstr>Базис_1</vt:lpstr>
      <vt:lpstr>Базис_10</vt:lpstr>
      <vt:lpstr>Базис_100</vt:lpstr>
      <vt:lpstr>Базис_101</vt:lpstr>
      <vt:lpstr>Базис_102</vt:lpstr>
      <vt:lpstr>Базис_103</vt:lpstr>
      <vt:lpstr>Базис_104</vt:lpstr>
      <vt:lpstr>Базис_105</vt:lpstr>
      <vt:lpstr>Базис_106</vt:lpstr>
      <vt:lpstr>Базис_107</vt:lpstr>
      <vt:lpstr>Базис_108</vt:lpstr>
      <vt:lpstr>Базис_109</vt:lpstr>
      <vt:lpstr>Базис_11</vt:lpstr>
      <vt:lpstr>Базис_110</vt:lpstr>
      <vt:lpstr>Базис_12</vt:lpstr>
      <vt:lpstr>Базис_13</vt:lpstr>
      <vt:lpstr>Базис_14</vt:lpstr>
      <vt:lpstr>Базис_15</vt:lpstr>
      <vt:lpstr>Базис_16</vt:lpstr>
      <vt:lpstr>Базис_17</vt:lpstr>
      <vt:lpstr>Базис_18</vt:lpstr>
      <vt:lpstr>Базис_19</vt:lpstr>
      <vt:lpstr>Базис_2</vt:lpstr>
      <vt:lpstr>Базис_20</vt:lpstr>
      <vt:lpstr>Базис_21</vt:lpstr>
      <vt:lpstr>Базис_22</vt:lpstr>
      <vt:lpstr>Базис_23</vt:lpstr>
      <vt:lpstr>Базис_24</vt:lpstr>
      <vt:lpstr>Базис_25</vt:lpstr>
      <vt:lpstr>Базис_26</vt:lpstr>
      <vt:lpstr>Базис_27</vt:lpstr>
      <vt:lpstr>Базис_28</vt:lpstr>
      <vt:lpstr>Базис_29</vt:lpstr>
      <vt:lpstr>Базис_3</vt:lpstr>
      <vt:lpstr>Базис_30</vt:lpstr>
      <vt:lpstr>Базис_31</vt:lpstr>
      <vt:lpstr>Базис_32</vt:lpstr>
      <vt:lpstr>Базис_33</vt:lpstr>
      <vt:lpstr>Базис_34</vt:lpstr>
      <vt:lpstr>Базис_35</vt:lpstr>
      <vt:lpstr>Базис_36</vt:lpstr>
      <vt:lpstr>Базис_37</vt:lpstr>
      <vt:lpstr>Базис_38</vt:lpstr>
      <vt:lpstr>Базис_39</vt:lpstr>
      <vt:lpstr>Базис_4</vt:lpstr>
      <vt:lpstr>Базис_40</vt:lpstr>
      <vt:lpstr>Базис_41</vt:lpstr>
      <vt:lpstr>Базис_42</vt:lpstr>
      <vt:lpstr>Базис_43</vt:lpstr>
      <vt:lpstr>Базис_44</vt:lpstr>
      <vt:lpstr>Базис_45</vt:lpstr>
      <vt:lpstr>Базис_46</vt:lpstr>
      <vt:lpstr>Базис_47</vt:lpstr>
      <vt:lpstr>Базис_48</vt:lpstr>
      <vt:lpstr>Базис_49</vt:lpstr>
      <vt:lpstr>Базис_5</vt:lpstr>
      <vt:lpstr>Базис_50</vt:lpstr>
      <vt:lpstr>Базис_51</vt:lpstr>
      <vt:lpstr>Базис_52</vt:lpstr>
      <vt:lpstr>Базис_53</vt:lpstr>
      <vt:lpstr>Базис_54</vt:lpstr>
      <vt:lpstr>Базис_55</vt:lpstr>
      <vt:lpstr>Базис_56</vt:lpstr>
      <vt:lpstr>Базис_57</vt:lpstr>
      <vt:lpstr>Базис_58</vt:lpstr>
      <vt:lpstr>Базис_59</vt:lpstr>
      <vt:lpstr>Базис_6</vt:lpstr>
      <vt:lpstr>Базис_60</vt:lpstr>
      <vt:lpstr>Базис_61</vt:lpstr>
      <vt:lpstr>Базис_62</vt:lpstr>
      <vt:lpstr>Базис_63</vt:lpstr>
      <vt:lpstr>Базис_64</vt:lpstr>
      <vt:lpstr>Базис_65</vt:lpstr>
      <vt:lpstr>Базис_66</vt:lpstr>
      <vt:lpstr>Базис_67</vt:lpstr>
      <vt:lpstr>Базис_68</vt:lpstr>
      <vt:lpstr>Базис_69</vt:lpstr>
      <vt:lpstr>Базис_7</vt:lpstr>
      <vt:lpstr>Базис_70</vt:lpstr>
      <vt:lpstr>Базис_71</vt:lpstr>
      <vt:lpstr>Базис_72</vt:lpstr>
      <vt:lpstr>Базис_73</vt:lpstr>
      <vt:lpstr>Базис_74</vt:lpstr>
      <vt:lpstr>Базис_75</vt:lpstr>
      <vt:lpstr>Базис_76</vt:lpstr>
      <vt:lpstr>Базис_77</vt:lpstr>
      <vt:lpstr>Базис_78</vt:lpstr>
      <vt:lpstr>Базис_79</vt:lpstr>
      <vt:lpstr>Базис_8</vt:lpstr>
      <vt:lpstr>Базис_80</vt:lpstr>
      <vt:lpstr>Базис_81</vt:lpstr>
      <vt:lpstr>Базис_82</vt:lpstr>
      <vt:lpstr>Базис_83</vt:lpstr>
      <vt:lpstr>Базис_84</vt:lpstr>
      <vt:lpstr>Базис_85</vt:lpstr>
      <vt:lpstr>Базис_86</vt:lpstr>
      <vt:lpstr>Базис_87</vt:lpstr>
      <vt:lpstr>Базис_88</vt:lpstr>
      <vt:lpstr>Базис_89</vt:lpstr>
      <vt:lpstr>Базис_9</vt:lpstr>
      <vt:lpstr>Базис_90</vt:lpstr>
      <vt:lpstr>Базис_91</vt:lpstr>
      <vt:lpstr>Базис_92</vt:lpstr>
      <vt:lpstr>Базис_93</vt:lpstr>
      <vt:lpstr>Базис_94</vt:lpstr>
      <vt:lpstr>Базис_95</vt:lpstr>
      <vt:lpstr>Базис_96</vt:lpstr>
      <vt:lpstr>Базис_97</vt:lpstr>
      <vt:lpstr>Базис_98</vt:lpstr>
      <vt:lpstr>Базис_99</vt:lpstr>
      <vt:lpstr>Базис_Ж_1</vt:lpstr>
      <vt:lpstr>Базис_Ж_10</vt:lpstr>
      <vt:lpstr>Базис_Ж_100</vt:lpstr>
      <vt:lpstr>Базис_Ж_101</vt:lpstr>
      <vt:lpstr>Базис_Ж_102</vt:lpstr>
      <vt:lpstr>Базис_Ж_103</vt:lpstr>
      <vt:lpstr>Базис_Ж_104</vt:lpstr>
      <vt:lpstr>Базис_Ж_105</vt:lpstr>
      <vt:lpstr>Базис_Ж_106</vt:lpstr>
      <vt:lpstr>Базис_Ж_107</vt:lpstr>
      <vt:lpstr>Базис_Ж_108</vt:lpstr>
      <vt:lpstr>Базис_Ж_109</vt:lpstr>
      <vt:lpstr>Базис_Ж_11</vt:lpstr>
      <vt:lpstr>Базис_Ж_110</vt:lpstr>
      <vt:lpstr>Базис_Ж_12</vt:lpstr>
      <vt:lpstr>Базис_Ж_13</vt:lpstr>
      <vt:lpstr>Базис_Ж_14</vt:lpstr>
      <vt:lpstr>Базис_Ж_15</vt:lpstr>
      <vt:lpstr>Базис_Ж_16</vt:lpstr>
      <vt:lpstr>Базис_Ж_17</vt:lpstr>
      <vt:lpstr>Базис_Ж_18</vt:lpstr>
      <vt:lpstr>Базис_Ж_19</vt:lpstr>
      <vt:lpstr>Базис_Ж_2</vt:lpstr>
      <vt:lpstr>Базис_Ж_20</vt:lpstr>
      <vt:lpstr>Базис_Ж_21</vt:lpstr>
      <vt:lpstr>Базис_Ж_22</vt:lpstr>
      <vt:lpstr>Базис_Ж_23</vt:lpstr>
      <vt:lpstr>Базис_Ж_24</vt:lpstr>
      <vt:lpstr>Базис_Ж_25</vt:lpstr>
      <vt:lpstr>Базис_Ж_26</vt:lpstr>
      <vt:lpstr>Базис_Ж_27</vt:lpstr>
      <vt:lpstr>Базис_Ж_28</vt:lpstr>
      <vt:lpstr>Базис_Ж_29</vt:lpstr>
      <vt:lpstr>Базис_Ж_3</vt:lpstr>
      <vt:lpstr>Базис_Ж_30</vt:lpstr>
      <vt:lpstr>Базис_Ж_31</vt:lpstr>
      <vt:lpstr>Базис_Ж_32</vt:lpstr>
      <vt:lpstr>Базис_Ж_33</vt:lpstr>
      <vt:lpstr>Базис_Ж_34</vt:lpstr>
      <vt:lpstr>Базис_Ж_35</vt:lpstr>
      <vt:lpstr>Базис_Ж_36</vt:lpstr>
      <vt:lpstr>Базис_Ж_37</vt:lpstr>
      <vt:lpstr>Базис_Ж_38</vt:lpstr>
      <vt:lpstr>Базис_Ж_39</vt:lpstr>
      <vt:lpstr>Базис_Ж_4</vt:lpstr>
      <vt:lpstr>Базис_Ж_40</vt:lpstr>
      <vt:lpstr>Базис_Ж_41</vt:lpstr>
      <vt:lpstr>Базис_Ж_42</vt:lpstr>
      <vt:lpstr>Базис_Ж_43</vt:lpstr>
      <vt:lpstr>Базис_Ж_44</vt:lpstr>
      <vt:lpstr>Базис_Ж_45</vt:lpstr>
      <vt:lpstr>Базис_Ж_46</vt:lpstr>
      <vt:lpstr>Базис_Ж_47</vt:lpstr>
      <vt:lpstr>Базис_Ж_48</vt:lpstr>
      <vt:lpstr>Базис_Ж_49</vt:lpstr>
      <vt:lpstr>Базис_Ж_5</vt:lpstr>
      <vt:lpstr>Базис_Ж_50</vt:lpstr>
      <vt:lpstr>Базис_Ж_51</vt:lpstr>
      <vt:lpstr>Базис_Ж_52</vt:lpstr>
      <vt:lpstr>Базис_Ж_53</vt:lpstr>
      <vt:lpstr>Базис_Ж_54</vt:lpstr>
      <vt:lpstr>Базис_Ж_55</vt:lpstr>
      <vt:lpstr>Базис_Ж_56</vt:lpstr>
      <vt:lpstr>Базис_Ж_57</vt:lpstr>
      <vt:lpstr>Базис_Ж_58</vt:lpstr>
      <vt:lpstr>Базис_Ж_59</vt:lpstr>
      <vt:lpstr>Базис_Ж_6</vt:lpstr>
      <vt:lpstr>Базис_Ж_60</vt:lpstr>
      <vt:lpstr>Базис_Ж_61</vt:lpstr>
      <vt:lpstr>Базис_Ж_62</vt:lpstr>
      <vt:lpstr>Базис_Ж_63</vt:lpstr>
      <vt:lpstr>Базис_Ж_64</vt:lpstr>
      <vt:lpstr>Базис_Ж_65</vt:lpstr>
      <vt:lpstr>Базис_Ж_66</vt:lpstr>
      <vt:lpstr>Базис_Ж_67</vt:lpstr>
      <vt:lpstr>Базис_Ж_68</vt:lpstr>
      <vt:lpstr>Базис_Ж_69</vt:lpstr>
      <vt:lpstr>Базис_Ж_7</vt:lpstr>
      <vt:lpstr>Базис_Ж_70</vt:lpstr>
      <vt:lpstr>Базис_Ж_71</vt:lpstr>
      <vt:lpstr>Базис_Ж_72</vt:lpstr>
      <vt:lpstr>Базис_Ж_73</vt:lpstr>
      <vt:lpstr>Базис_Ж_74</vt:lpstr>
      <vt:lpstr>Базис_Ж_75</vt:lpstr>
      <vt:lpstr>Базис_Ж_76</vt:lpstr>
      <vt:lpstr>Базис_Ж_77</vt:lpstr>
      <vt:lpstr>Базис_Ж_78</vt:lpstr>
      <vt:lpstr>Базис_Ж_79</vt:lpstr>
      <vt:lpstr>Базис_Ж_8</vt:lpstr>
      <vt:lpstr>Базис_Ж_80</vt:lpstr>
      <vt:lpstr>Базис_Ж_81</vt:lpstr>
      <vt:lpstr>Базис_Ж_82</vt:lpstr>
      <vt:lpstr>Базис_Ж_83</vt:lpstr>
      <vt:lpstr>Базис_Ж_84</vt:lpstr>
      <vt:lpstr>Базис_Ж_85</vt:lpstr>
      <vt:lpstr>Базис_Ж_86</vt:lpstr>
      <vt:lpstr>Базис_Ж_87</vt:lpstr>
      <vt:lpstr>Базис_Ж_88</vt:lpstr>
      <vt:lpstr>Базис_Ж_89</vt:lpstr>
      <vt:lpstr>Базис_Ж_9</vt:lpstr>
      <vt:lpstr>Базис_Ж_90</vt:lpstr>
      <vt:lpstr>Базис_Ж_91</vt:lpstr>
      <vt:lpstr>Базис_Ж_92</vt:lpstr>
      <vt:lpstr>Базис_Ж_93</vt:lpstr>
      <vt:lpstr>Базис_Ж_94</vt:lpstr>
      <vt:lpstr>Базис_Ж_95</vt:lpstr>
      <vt:lpstr>Базис_Ж_96</vt:lpstr>
      <vt:lpstr>Базис_Ж_97</vt:lpstr>
      <vt:lpstr>Базис_Ж_98</vt:lpstr>
      <vt:lpstr>Базис_Ж_99</vt:lpstr>
      <vt:lpstr>Базис_М_1</vt:lpstr>
      <vt:lpstr>Базис_М_10</vt:lpstr>
      <vt:lpstr>Базис_М_100</vt:lpstr>
      <vt:lpstr>Базис_М_101</vt:lpstr>
      <vt:lpstr>Базис_М_102</vt:lpstr>
      <vt:lpstr>Базис_М_103</vt:lpstr>
      <vt:lpstr>Базис_М_104</vt:lpstr>
      <vt:lpstr>Базис_М_105</vt:lpstr>
      <vt:lpstr>Базис_М_106</vt:lpstr>
      <vt:lpstr>Базис_М_107</vt:lpstr>
      <vt:lpstr>Базис_М_108</vt:lpstr>
      <vt:lpstr>Базис_М_109</vt:lpstr>
      <vt:lpstr>Базис_М_11</vt:lpstr>
      <vt:lpstr>Базис_М_110</vt:lpstr>
      <vt:lpstr>Базис_М_12</vt:lpstr>
      <vt:lpstr>Базис_М_13</vt:lpstr>
      <vt:lpstr>Базис_М_14</vt:lpstr>
      <vt:lpstr>Базис_М_15</vt:lpstr>
      <vt:lpstr>Базис_М_16</vt:lpstr>
      <vt:lpstr>Базис_М_17</vt:lpstr>
      <vt:lpstr>Базис_М_18</vt:lpstr>
      <vt:lpstr>Базис_М_19</vt:lpstr>
      <vt:lpstr>Базис_М_2</vt:lpstr>
      <vt:lpstr>Базис_М_20</vt:lpstr>
      <vt:lpstr>Базис_М_21</vt:lpstr>
      <vt:lpstr>Базис_М_22</vt:lpstr>
      <vt:lpstr>Базис_М_23</vt:lpstr>
      <vt:lpstr>Базис_М_24</vt:lpstr>
      <vt:lpstr>Базис_М_25</vt:lpstr>
      <vt:lpstr>Базис_М_26</vt:lpstr>
      <vt:lpstr>Базис_М_27</vt:lpstr>
      <vt:lpstr>Базис_М_28</vt:lpstr>
      <vt:lpstr>Базис_М_29</vt:lpstr>
      <vt:lpstr>Базис_М_3</vt:lpstr>
      <vt:lpstr>Базис_М_30</vt:lpstr>
      <vt:lpstr>Базис_М_31</vt:lpstr>
      <vt:lpstr>Базис_М_32</vt:lpstr>
      <vt:lpstr>Базис_М_33</vt:lpstr>
      <vt:lpstr>Базис_М_34</vt:lpstr>
      <vt:lpstr>Базис_М_35</vt:lpstr>
      <vt:lpstr>Базис_М_36</vt:lpstr>
      <vt:lpstr>Базис_М_37</vt:lpstr>
      <vt:lpstr>Базис_М_38</vt:lpstr>
      <vt:lpstr>Базис_М_39</vt:lpstr>
      <vt:lpstr>Базис_М_4</vt:lpstr>
      <vt:lpstr>Базис_М_40</vt:lpstr>
      <vt:lpstr>Базис_М_41</vt:lpstr>
      <vt:lpstr>Базис_М_42</vt:lpstr>
      <vt:lpstr>Базис_М_43</vt:lpstr>
      <vt:lpstr>Базис_М_44</vt:lpstr>
      <vt:lpstr>Базис_М_45</vt:lpstr>
      <vt:lpstr>Базис_М_46</vt:lpstr>
      <vt:lpstr>Базис_М_47</vt:lpstr>
      <vt:lpstr>Базис_М_48</vt:lpstr>
      <vt:lpstr>Базис_М_49</vt:lpstr>
      <vt:lpstr>Базис_М_5</vt:lpstr>
      <vt:lpstr>Базис_М_50</vt:lpstr>
      <vt:lpstr>Базис_М_51</vt:lpstr>
      <vt:lpstr>Базис_М_52</vt:lpstr>
      <vt:lpstr>Базис_М_53</vt:lpstr>
      <vt:lpstr>Базис_М_54</vt:lpstr>
      <vt:lpstr>Базис_М_55</vt:lpstr>
      <vt:lpstr>Базис_М_56</vt:lpstr>
      <vt:lpstr>Базис_М_57</vt:lpstr>
      <vt:lpstr>Базис_М_58</vt:lpstr>
      <vt:lpstr>Базис_М_59</vt:lpstr>
      <vt:lpstr>Базис_М_6</vt:lpstr>
      <vt:lpstr>Базис_М_60</vt:lpstr>
      <vt:lpstr>Базис_М_61</vt:lpstr>
      <vt:lpstr>Базис_М_62</vt:lpstr>
      <vt:lpstr>Базис_М_63</vt:lpstr>
      <vt:lpstr>Базис_М_64</vt:lpstr>
      <vt:lpstr>Базис_М_65</vt:lpstr>
      <vt:lpstr>Базис_М_66</vt:lpstr>
      <vt:lpstr>Базис_М_67</vt:lpstr>
      <vt:lpstr>Базис_М_68</vt:lpstr>
      <vt:lpstr>Базис_М_69</vt:lpstr>
      <vt:lpstr>Базис_М_7</vt:lpstr>
      <vt:lpstr>Базис_М_70</vt:lpstr>
      <vt:lpstr>Базис_М_71</vt:lpstr>
      <vt:lpstr>Базис_М_72</vt:lpstr>
      <vt:lpstr>Базис_М_73</vt:lpstr>
      <vt:lpstr>Базис_М_74</vt:lpstr>
      <vt:lpstr>Базис_М_75</vt:lpstr>
      <vt:lpstr>Базис_М_76</vt:lpstr>
      <vt:lpstr>Базис_М_77</vt:lpstr>
      <vt:lpstr>Базис_М_78</vt:lpstr>
      <vt:lpstr>Базис_М_79</vt:lpstr>
      <vt:lpstr>Базис_М_8</vt:lpstr>
      <vt:lpstr>Базис_М_80</vt:lpstr>
      <vt:lpstr>Базис_М_81</vt:lpstr>
      <vt:lpstr>Базис_М_82</vt:lpstr>
      <vt:lpstr>Базис_М_83</vt:lpstr>
      <vt:lpstr>Базис_М_84</vt:lpstr>
      <vt:lpstr>Базис_М_85</vt:lpstr>
      <vt:lpstr>Базис_М_86</vt:lpstr>
      <vt:lpstr>Базис_М_87</vt:lpstr>
      <vt:lpstr>Базис_М_88</vt:lpstr>
      <vt:lpstr>Базис_М_89</vt:lpstr>
      <vt:lpstr>Базис_М_9</vt:lpstr>
      <vt:lpstr>Базис_М_90</vt:lpstr>
      <vt:lpstr>Базис_М_91</vt:lpstr>
      <vt:lpstr>Базис_М_92</vt:lpstr>
      <vt:lpstr>Базис_М_93</vt:lpstr>
      <vt:lpstr>Базис_М_94</vt:lpstr>
      <vt:lpstr>Базис_М_95</vt:lpstr>
      <vt:lpstr>Базис_М_96</vt:lpstr>
      <vt:lpstr>Базис_М_97</vt:lpstr>
      <vt:lpstr>Базис_М_98</vt:lpstr>
      <vt:lpstr>Базис_М_99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Студент KRSU</cp:lastModifiedBy>
  <dcterms:created xsi:type="dcterms:W3CDTF">2015-06-05T18:19:34Z</dcterms:created>
  <dcterms:modified xsi:type="dcterms:W3CDTF">2026-03-05T08:49:19Z</dcterms:modified>
</cp:coreProperties>
</file>