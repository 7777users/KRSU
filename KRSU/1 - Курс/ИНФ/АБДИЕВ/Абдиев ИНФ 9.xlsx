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4.xml" ContentType="application/vnd.openxmlformats-officedocument.spreadsheetml.chartsheet+xml"/>
  <Override PartName="/xl/worksheets/sheet6.xml" ContentType="application/vnd.openxmlformats-officedocument.spreadsheetml.worksheet+xml"/>
  <Override PartName="/xl/chartsheets/sheet5.xml" ContentType="application/vnd.openxmlformats-officedocument.spreadsheetml.chartsheet+xml"/>
  <Override PartName="/xl/worksheets/sheet7.xml" ContentType="application/vnd.openxmlformats-officedocument.spreadsheetml.worksheet+xml"/>
  <Override PartName="/xl/chartsheets/sheet6.xml" ContentType="application/vnd.openxmlformats-officedocument.spreadsheetml.chartsheet+xml"/>
  <Override PartName="/xl/worksheets/sheet8.xml" ContentType="application/vnd.openxmlformats-officedocument.spreadsheetml.worksheet+xml"/>
  <Override PartName="/xl/chartsheets/sheet7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8.xml" ContentType="application/vnd.openxmlformats-officedocument.spreadsheetml.chartsheet+xml"/>
  <Override PartName="/xl/worksheets/sheet11.xml" ContentType="application/vnd.openxmlformats-officedocument.spreadsheetml.worksheet+xml"/>
  <Override PartName="/xl/chartsheets/sheet9.xml" ContentType="application/vnd.openxmlformats-officedocument.spreadsheetml.chartsheet+xml"/>
  <Override PartName="/xl/worksheets/sheet12.xml" ContentType="application/vnd.openxmlformats-officedocument.spreadsheetml.worksheet+xml"/>
  <Override PartName="/xl/chartsheets/sheet10.xml" ContentType="application/vnd.openxmlformats-officedocument.spreadsheetml.chartsheet+xml"/>
  <Override PartName="/xl/worksheets/sheet13.xml" ContentType="application/vnd.openxmlformats-officedocument.spreadsheetml.worksheet+xml"/>
  <Override PartName="/xl/chartsheets/sheet11.xml" ContentType="application/vnd.openxmlformats-officedocument.spreadsheetml.chartsheet+xml"/>
  <Override PartName="/xl/worksheets/sheet14.xml" ContentType="application/vnd.openxmlformats-officedocument.spreadsheetml.worksheet+xml"/>
  <Override PartName="/xl/chartsheets/sheet12.xml" ContentType="application/vnd.openxmlformats-officedocument.spreadsheetml.chart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heets/sheet13.xml" ContentType="application/vnd.openxmlformats-officedocument.spreadsheetml.chartsheet+xml"/>
  <Override PartName="/xl/worksheets/sheet17.xml" ContentType="application/vnd.openxmlformats-officedocument.spreadsheetml.worksheet+xml"/>
  <Override PartName="/xl/chartsheets/sheet14.xml" ContentType="application/vnd.openxmlformats-officedocument.spreadsheetml.chartsheet+xml"/>
  <Override PartName="/xl/worksheets/sheet18.xml" ContentType="application/vnd.openxmlformats-officedocument.spreadsheetml.worksheet+xml"/>
  <Override PartName="/xl/chartsheets/sheet15.xml" ContentType="application/vnd.openxmlformats-officedocument.spreadsheetml.chartsheet+xml"/>
  <Override PartName="/xl/worksheets/sheet19.xml" ContentType="application/vnd.openxmlformats-officedocument.spreadsheetml.worksheet+xml"/>
  <Override PartName="/xl/chartsheets/sheet16.xml" ContentType="application/vnd.openxmlformats-officedocument.spreadsheetml.chartsheet+xml"/>
  <Override PartName="/xl/worksheets/sheet20.xml" ContentType="application/vnd.openxmlformats-officedocument.spreadsheetml.worksheet+xml"/>
  <Override PartName="/xl/chartsheets/sheet17.xml" ContentType="application/vnd.openxmlformats-officedocument.spreadsheetml.chartsheet+xml"/>
  <Override PartName="/xl/worksheets/sheet21.xml" ContentType="application/vnd.openxmlformats-officedocument.spreadsheetml.work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PC-11-213-00\Downloads\"/>
    </mc:Choice>
  </mc:AlternateContent>
  <xr:revisionPtr revIDLastSave="0" documentId="13_ncr:1_{D9DF3C47-1CDE-4452-8709-6110288E1BAE}" xr6:coauthVersionLast="47" xr6:coauthVersionMax="47" xr10:uidLastSave="{00000000-0000-0000-0000-000000000000}"/>
  <bookViews>
    <workbookView xWindow="-120" yWindow="-120" windowWidth="20730" windowHeight="11160" tabRatio="728" firstSheet="31" activeTab="38" xr2:uid="{00000000-000D-0000-FFFF-FFFF00000000}"/>
  </bookViews>
  <sheets>
    <sheet name="Задание 1" sheetId="1" r:id="rId1"/>
    <sheet name="Диаграмма1" sheetId="28" r:id="rId2"/>
    <sheet name="Задание 2" sheetId="2" r:id="rId3"/>
    <sheet name="Диаграмма2" sheetId="29" r:id="rId4"/>
    <sheet name="Астроида" sheetId="3" r:id="rId5"/>
    <sheet name="Диаграмма3" sheetId="30" r:id="rId6"/>
    <sheet name="Задание 3" sheetId="4" r:id="rId7"/>
    <sheet name="y1" sheetId="5" r:id="rId8"/>
    <sheet name="Диаграмма4" sheetId="31" r:id="rId9"/>
    <sheet name="y2" sheetId="6" r:id="rId10"/>
    <sheet name="Диаграмма5" sheetId="32" r:id="rId11"/>
    <sheet name="y3" sheetId="7" r:id="rId12"/>
    <sheet name="Диаграмма6" sheetId="33" r:id="rId13"/>
    <sheet name="y4" sheetId="8" r:id="rId14"/>
    <sheet name="Диаграмма7" sheetId="34" r:id="rId15"/>
    <sheet name="Задание 4" sheetId="9" r:id="rId16"/>
    <sheet name="g1" sheetId="10" r:id="rId17"/>
    <sheet name="Диаграмма8" sheetId="35" r:id="rId18"/>
    <sheet name="g2" sheetId="11" r:id="rId19"/>
    <sheet name="Диаграмма9" sheetId="36" r:id="rId20"/>
    <sheet name="g3" sheetId="12" r:id="rId21"/>
    <sheet name="Диаграмма10" sheetId="37" r:id="rId22"/>
    <sheet name="g4" sheetId="13" r:id="rId23"/>
    <sheet name="Диаграмма11" sheetId="38" r:id="rId24"/>
    <sheet name="g5" sheetId="14" r:id="rId25"/>
    <sheet name="Диаграмма12" sheetId="39" r:id="rId26"/>
    <sheet name="Задание 5" sheetId="15" r:id="rId27"/>
    <sheet name="z1" sheetId="16" r:id="rId28"/>
    <sheet name="dir" sheetId="51" r:id="rId29"/>
    <sheet name="z2" sheetId="17" r:id="rId30"/>
    <sheet name="dis" sheetId="52" r:id="rId31"/>
    <sheet name="z3" sheetId="18" r:id="rId32"/>
    <sheet name="dit" sheetId="53" r:id="rId33"/>
    <sheet name="z4" sheetId="19" r:id="rId34"/>
    <sheet name="zig" sheetId="54" r:id="rId35"/>
    <sheet name="Задание 6" sheetId="20" r:id="rId36"/>
    <sheet name="Диаграмма18" sheetId="45" r:id="rId37"/>
    <sheet name="Задание 7" sheetId="26" r:id="rId38"/>
    <sheet name="Диаграмма19" sheetId="46" r:id="rId3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6" l="1"/>
  <c r="N4" i="26"/>
  <c r="O4" i="26"/>
  <c r="M5" i="26"/>
  <c r="N5" i="26"/>
  <c r="O5" i="26"/>
  <c r="M6" i="26"/>
  <c r="N6" i="26"/>
  <c r="O6" i="26"/>
  <c r="M7" i="26"/>
  <c r="N7" i="26"/>
  <c r="O7" i="26"/>
  <c r="M8" i="26"/>
  <c r="N8" i="26"/>
  <c r="O8" i="26"/>
  <c r="M9" i="26"/>
  <c r="N9" i="26"/>
  <c r="O9" i="26"/>
  <c r="M10" i="26"/>
  <c r="N10" i="26"/>
  <c r="O10" i="26"/>
  <c r="M11" i="26"/>
  <c r="N11" i="26"/>
  <c r="O11" i="26"/>
  <c r="M12" i="26"/>
  <c r="N12" i="26"/>
  <c r="O12" i="26"/>
  <c r="O3" i="26"/>
  <c r="N3" i="26"/>
  <c r="M3" i="26"/>
  <c r="M3" i="20"/>
  <c r="N3" i="20"/>
  <c r="O3" i="20"/>
  <c r="M4" i="20"/>
  <c r="N4" i="20"/>
  <c r="O4" i="20"/>
  <c r="M5" i="20"/>
  <c r="N5" i="20"/>
  <c r="O5" i="20"/>
  <c r="M6" i="20"/>
  <c r="N6" i="20"/>
  <c r="O6" i="20"/>
  <c r="M7" i="20"/>
  <c r="N7" i="20"/>
  <c r="O7" i="20"/>
  <c r="M8" i="20"/>
  <c r="N8" i="20"/>
  <c r="O8" i="20"/>
  <c r="M9" i="20"/>
  <c r="N9" i="20"/>
  <c r="O9" i="20"/>
  <c r="M10" i="20"/>
  <c r="N10" i="20"/>
  <c r="O10" i="20"/>
  <c r="M11" i="20"/>
  <c r="N11" i="20"/>
  <c r="O11" i="20"/>
  <c r="O2" i="20"/>
  <c r="N2" i="20"/>
  <c r="M2" i="20"/>
  <c r="D102" i="19"/>
  <c r="D101" i="19"/>
  <c r="D100" i="19"/>
  <c r="D99" i="19"/>
  <c r="D98" i="19"/>
  <c r="D97" i="19"/>
  <c r="D96" i="19"/>
  <c r="D95" i="19"/>
  <c r="D94" i="19"/>
  <c r="D93" i="19"/>
  <c r="D92" i="19"/>
  <c r="D91" i="19"/>
  <c r="D90" i="19"/>
  <c r="D89" i="19"/>
  <c r="D88" i="19"/>
  <c r="D87" i="19"/>
  <c r="D86" i="19"/>
  <c r="D85" i="19"/>
  <c r="D84" i="19"/>
  <c r="D83" i="19"/>
  <c r="D82" i="19"/>
  <c r="D81" i="19"/>
  <c r="D80" i="19"/>
  <c r="D79" i="19"/>
  <c r="D78" i="19"/>
  <c r="D77" i="19"/>
  <c r="D76" i="19"/>
  <c r="D75" i="19"/>
  <c r="D74" i="19"/>
  <c r="D73" i="19"/>
  <c r="D72" i="19"/>
  <c r="D71" i="19"/>
  <c r="D70" i="19"/>
  <c r="D69" i="19"/>
  <c r="D68" i="19"/>
  <c r="D67" i="19"/>
  <c r="D66" i="19"/>
  <c r="D65" i="19"/>
  <c r="D64" i="19"/>
  <c r="D63" i="19"/>
  <c r="D62" i="19"/>
  <c r="D61" i="19"/>
  <c r="D60" i="19"/>
  <c r="D59" i="19"/>
  <c r="D58" i="19"/>
  <c r="D57" i="19"/>
  <c r="D56" i="19"/>
  <c r="D55" i="19"/>
  <c r="D54" i="19"/>
  <c r="D53" i="19"/>
  <c r="D52" i="19"/>
  <c r="D51" i="19"/>
  <c r="D50" i="19"/>
  <c r="D49" i="19"/>
  <c r="D48" i="19"/>
  <c r="D47" i="19"/>
  <c r="D46" i="19"/>
  <c r="D45" i="19"/>
  <c r="D44" i="19"/>
  <c r="D43" i="19"/>
  <c r="D42" i="19"/>
  <c r="D41" i="19"/>
  <c r="D40" i="19"/>
  <c r="D39" i="19"/>
  <c r="D38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D4" i="19"/>
  <c r="D3" i="19"/>
  <c r="D2" i="19"/>
  <c r="D102" i="18"/>
  <c r="D101" i="18"/>
  <c r="D100" i="18"/>
  <c r="D99" i="18"/>
  <c r="D98" i="18"/>
  <c r="D97" i="18"/>
  <c r="D96" i="18"/>
  <c r="D95" i="18"/>
  <c r="D94" i="18"/>
  <c r="D93" i="18"/>
  <c r="D92" i="18"/>
  <c r="D91" i="18"/>
  <c r="D90" i="18"/>
  <c r="D89" i="18"/>
  <c r="D88" i="18"/>
  <c r="D87" i="18"/>
  <c r="D86" i="18"/>
  <c r="D85" i="18"/>
  <c r="D84" i="18"/>
  <c r="D83" i="18"/>
  <c r="D82" i="18"/>
  <c r="D81" i="18"/>
  <c r="D80" i="18"/>
  <c r="D79" i="18"/>
  <c r="D78" i="18"/>
  <c r="D77" i="18"/>
  <c r="D76" i="18"/>
  <c r="D75" i="18"/>
  <c r="D74" i="18"/>
  <c r="D73" i="18"/>
  <c r="D72" i="18"/>
  <c r="D71" i="18"/>
  <c r="D70" i="18"/>
  <c r="D69" i="18"/>
  <c r="D68" i="18"/>
  <c r="D67" i="18"/>
  <c r="D66" i="18"/>
  <c r="D65" i="18"/>
  <c r="D64" i="18"/>
  <c r="D63" i="18"/>
  <c r="D62" i="18"/>
  <c r="D61" i="18"/>
  <c r="D60" i="18"/>
  <c r="D59" i="18"/>
  <c r="D58" i="18"/>
  <c r="D57" i="18"/>
  <c r="D56" i="18"/>
  <c r="D55" i="18"/>
  <c r="D54" i="18"/>
  <c r="D53" i="18"/>
  <c r="D52" i="18"/>
  <c r="D51" i="18"/>
  <c r="D50" i="18"/>
  <c r="D49" i="18"/>
  <c r="D48" i="18"/>
  <c r="D47" i="18"/>
  <c r="D46" i="18"/>
  <c r="D45" i="18"/>
  <c r="D44" i="18"/>
  <c r="D43" i="18"/>
  <c r="D42" i="18"/>
  <c r="D41" i="18"/>
  <c r="D40" i="18"/>
  <c r="D39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D2" i="18"/>
  <c r="D102" i="17"/>
  <c r="D101" i="17"/>
  <c r="D100" i="17"/>
  <c r="D99" i="17"/>
  <c r="D98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D80" i="17"/>
  <c r="D79" i="17"/>
  <c r="D78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D2" i="17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D2" i="16"/>
  <c r="G102" i="15"/>
  <c r="F102" i="15"/>
  <c r="E102" i="15"/>
  <c r="D102" i="15"/>
  <c r="G101" i="15"/>
  <c r="F101" i="15"/>
  <c r="E101" i="15"/>
  <c r="D101" i="15"/>
  <c r="G100" i="15"/>
  <c r="F100" i="15"/>
  <c r="E100" i="15"/>
  <c r="D100" i="15"/>
  <c r="G99" i="15"/>
  <c r="F99" i="15"/>
  <c r="E99" i="15"/>
  <c r="D99" i="15"/>
  <c r="G98" i="15"/>
  <c r="F98" i="15"/>
  <c r="E98" i="15"/>
  <c r="D98" i="15"/>
  <c r="G97" i="15"/>
  <c r="F97" i="15"/>
  <c r="E97" i="15"/>
  <c r="D97" i="15"/>
  <c r="G96" i="15"/>
  <c r="F96" i="15"/>
  <c r="E96" i="15"/>
  <c r="D96" i="15"/>
  <c r="G95" i="15"/>
  <c r="F95" i="15"/>
  <c r="E95" i="15"/>
  <c r="D95" i="15"/>
  <c r="G94" i="15"/>
  <c r="F94" i="15"/>
  <c r="E94" i="15"/>
  <c r="D94" i="15"/>
  <c r="G93" i="15"/>
  <c r="F93" i="15"/>
  <c r="E93" i="15"/>
  <c r="D93" i="15"/>
  <c r="G92" i="15"/>
  <c r="F92" i="15"/>
  <c r="E92" i="15"/>
  <c r="D92" i="15"/>
  <c r="G91" i="15"/>
  <c r="F91" i="15"/>
  <c r="E91" i="15"/>
  <c r="D91" i="15"/>
  <c r="G90" i="15"/>
  <c r="F90" i="15"/>
  <c r="E90" i="15"/>
  <c r="D90" i="15"/>
  <c r="G89" i="15"/>
  <c r="F89" i="15"/>
  <c r="E89" i="15"/>
  <c r="D89" i="15"/>
  <c r="G88" i="15"/>
  <c r="F88" i="15"/>
  <c r="E88" i="15"/>
  <c r="D88" i="15"/>
  <c r="G87" i="15"/>
  <c r="F87" i="15"/>
  <c r="E87" i="15"/>
  <c r="D87" i="15"/>
  <c r="G86" i="15"/>
  <c r="F86" i="15"/>
  <c r="E86" i="15"/>
  <c r="D86" i="15"/>
  <c r="G85" i="15"/>
  <c r="F85" i="15"/>
  <c r="E85" i="15"/>
  <c r="D85" i="15"/>
  <c r="G84" i="15"/>
  <c r="F84" i="15"/>
  <c r="E84" i="15"/>
  <c r="D84" i="15"/>
  <c r="G83" i="15"/>
  <c r="F83" i="15"/>
  <c r="E83" i="15"/>
  <c r="D83" i="15"/>
  <c r="G82" i="15"/>
  <c r="F82" i="15"/>
  <c r="E82" i="15"/>
  <c r="D82" i="15"/>
  <c r="G81" i="15"/>
  <c r="F81" i="15"/>
  <c r="E81" i="15"/>
  <c r="D81" i="15"/>
  <c r="G80" i="15"/>
  <c r="F80" i="15"/>
  <c r="E80" i="15"/>
  <c r="D80" i="15"/>
  <c r="G79" i="15"/>
  <c r="F79" i="15"/>
  <c r="E79" i="15"/>
  <c r="D79" i="15"/>
  <c r="G78" i="15"/>
  <c r="F78" i="15"/>
  <c r="E78" i="15"/>
  <c r="D78" i="15"/>
  <c r="G77" i="15"/>
  <c r="F77" i="15"/>
  <c r="E77" i="15"/>
  <c r="D77" i="15"/>
  <c r="G76" i="15"/>
  <c r="F76" i="15"/>
  <c r="E76" i="15"/>
  <c r="D76" i="15"/>
  <c r="G75" i="15"/>
  <c r="F75" i="15"/>
  <c r="E75" i="15"/>
  <c r="D75" i="15"/>
  <c r="G74" i="15"/>
  <c r="F74" i="15"/>
  <c r="E74" i="15"/>
  <c r="D74" i="15"/>
  <c r="G73" i="15"/>
  <c r="F73" i="15"/>
  <c r="E73" i="15"/>
  <c r="D73" i="15"/>
  <c r="G72" i="15"/>
  <c r="F72" i="15"/>
  <c r="E72" i="15"/>
  <c r="D72" i="15"/>
  <c r="G71" i="15"/>
  <c r="F71" i="15"/>
  <c r="E71" i="15"/>
  <c r="D71" i="15"/>
  <c r="G70" i="15"/>
  <c r="F70" i="15"/>
  <c r="E70" i="15"/>
  <c r="D70" i="15"/>
  <c r="G69" i="15"/>
  <c r="F69" i="15"/>
  <c r="E69" i="15"/>
  <c r="D69" i="15"/>
  <c r="G68" i="15"/>
  <c r="F68" i="15"/>
  <c r="E68" i="15"/>
  <c r="D68" i="15"/>
  <c r="G67" i="15"/>
  <c r="F67" i="15"/>
  <c r="E67" i="15"/>
  <c r="D67" i="15"/>
  <c r="G66" i="15"/>
  <c r="F66" i="15"/>
  <c r="E66" i="15"/>
  <c r="D66" i="15"/>
  <c r="G65" i="15"/>
  <c r="F65" i="15"/>
  <c r="E65" i="15"/>
  <c r="D65" i="15"/>
  <c r="G64" i="15"/>
  <c r="F64" i="15"/>
  <c r="E64" i="15"/>
  <c r="D64" i="15"/>
  <c r="G63" i="15"/>
  <c r="F63" i="15"/>
  <c r="E63" i="15"/>
  <c r="D63" i="15"/>
  <c r="G62" i="15"/>
  <c r="F62" i="15"/>
  <c r="E62" i="15"/>
  <c r="D62" i="15"/>
  <c r="G61" i="15"/>
  <c r="F61" i="15"/>
  <c r="E61" i="15"/>
  <c r="D61" i="15"/>
  <c r="G60" i="15"/>
  <c r="F60" i="15"/>
  <c r="E60" i="15"/>
  <c r="D60" i="15"/>
  <c r="G59" i="15"/>
  <c r="F59" i="15"/>
  <c r="E59" i="15"/>
  <c r="D59" i="15"/>
  <c r="G58" i="15"/>
  <c r="F58" i="15"/>
  <c r="E58" i="15"/>
  <c r="D58" i="15"/>
  <c r="G57" i="15"/>
  <c r="F57" i="15"/>
  <c r="E57" i="15"/>
  <c r="D57" i="15"/>
  <c r="G56" i="15"/>
  <c r="F56" i="15"/>
  <c r="E56" i="15"/>
  <c r="D56" i="15"/>
  <c r="G55" i="15"/>
  <c r="F55" i="15"/>
  <c r="E55" i="15"/>
  <c r="D55" i="15"/>
  <c r="G54" i="15"/>
  <c r="F54" i="15"/>
  <c r="E54" i="15"/>
  <c r="D54" i="15"/>
  <c r="G53" i="15"/>
  <c r="F53" i="15"/>
  <c r="E53" i="15"/>
  <c r="D53" i="15"/>
  <c r="G52" i="15"/>
  <c r="F52" i="15"/>
  <c r="E52" i="15"/>
  <c r="D52" i="15"/>
  <c r="G51" i="15"/>
  <c r="F51" i="15"/>
  <c r="E51" i="15"/>
  <c r="D51" i="15"/>
  <c r="G50" i="15"/>
  <c r="F50" i="15"/>
  <c r="E50" i="15"/>
  <c r="D50" i="15"/>
  <c r="G49" i="15"/>
  <c r="F49" i="15"/>
  <c r="E49" i="15"/>
  <c r="D49" i="15"/>
  <c r="G48" i="15"/>
  <c r="F48" i="15"/>
  <c r="E48" i="15"/>
  <c r="D48" i="15"/>
  <c r="G47" i="15"/>
  <c r="F47" i="15"/>
  <c r="E47" i="15"/>
  <c r="D47" i="15"/>
  <c r="G46" i="15"/>
  <c r="F46" i="15"/>
  <c r="E46" i="15"/>
  <c r="D46" i="15"/>
  <c r="G45" i="15"/>
  <c r="F45" i="15"/>
  <c r="E45" i="15"/>
  <c r="D45" i="15"/>
  <c r="G44" i="15"/>
  <c r="F44" i="15"/>
  <c r="E44" i="15"/>
  <c r="D44" i="15"/>
  <c r="G43" i="15"/>
  <c r="F43" i="15"/>
  <c r="E43" i="15"/>
  <c r="D43" i="15"/>
  <c r="G42" i="15"/>
  <c r="F42" i="15"/>
  <c r="E42" i="15"/>
  <c r="D42" i="15"/>
  <c r="G41" i="15"/>
  <c r="F41" i="15"/>
  <c r="E41" i="15"/>
  <c r="D41" i="15"/>
  <c r="G40" i="15"/>
  <c r="F40" i="15"/>
  <c r="E40" i="15"/>
  <c r="D40" i="15"/>
  <c r="G39" i="15"/>
  <c r="F39" i="15"/>
  <c r="E39" i="15"/>
  <c r="D39" i="15"/>
  <c r="G38" i="15"/>
  <c r="F38" i="15"/>
  <c r="E38" i="15"/>
  <c r="D38" i="15"/>
  <c r="G37" i="15"/>
  <c r="F37" i="15"/>
  <c r="E37" i="15"/>
  <c r="D37" i="15"/>
  <c r="G36" i="15"/>
  <c r="F36" i="15"/>
  <c r="E36" i="15"/>
  <c r="D36" i="15"/>
  <c r="G35" i="15"/>
  <c r="F35" i="15"/>
  <c r="E35" i="15"/>
  <c r="D35" i="15"/>
  <c r="G34" i="15"/>
  <c r="F34" i="15"/>
  <c r="E34" i="15"/>
  <c r="D34" i="15"/>
  <c r="G33" i="15"/>
  <c r="F33" i="15"/>
  <c r="E33" i="15"/>
  <c r="D33" i="15"/>
  <c r="G32" i="15"/>
  <c r="F32" i="15"/>
  <c r="E32" i="15"/>
  <c r="D32" i="15"/>
  <c r="G31" i="15"/>
  <c r="F31" i="15"/>
  <c r="E31" i="15"/>
  <c r="D31" i="15"/>
  <c r="G30" i="15"/>
  <c r="F30" i="15"/>
  <c r="E30" i="15"/>
  <c r="D30" i="15"/>
  <c r="G29" i="15"/>
  <c r="F29" i="15"/>
  <c r="E29" i="15"/>
  <c r="D29" i="15"/>
  <c r="G28" i="15"/>
  <c r="F28" i="15"/>
  <c r="E28" i="15"/>
  <c r="D28" i="15"/>
  <c r="G27" i="15"/>
  <c r="F27" i="15"/>
  <c r="E27" i="15"/>
  <c r="D27" i="15"/>
  <c r="G26" i="15"/>
  <c r="F26" i="15"/>
  <c r="E26" i="15"/>
  <c r="D26" i="15"/>
  <c r="G25" i="15"/>
  <c r="F25" i="15"/>
  <c r="E25" i="15"/>
  <c r="D25" i="15"/>
  <c r="G24" i="15"/>
  <c r="F24" i="15"/>
  <c r="E24" i="15"/>
  <c r="D24" i="15"/>
  <c r="G23" i="15"/>
  <c r="F23" i="15"/>
  <c r="E23" i="15"/>
  <c r="D23" i="15"/>
  <c r="G22" i="15"/>
  <c r="F22" i="15"/>
  <c r="E22" i="15"/>
  <c r="D22" i="15"/>
  <c r="G21" i="15"/>
  <c r="F21" i="15"/>
  <c r="E21" i="15"/>
  <c r="D21" i="15"/>
  <c r="G20" i="15"/>
  <c r="F20" i="15"/>
  <c r="E20" i="15"/>
  <c r="D20" i="15"/>
  <c r="G19" i="15"/>
  <c r="F19" i="15"/>
  <c r="E19" i="15"/>
  <c r="D19" i="15"/>
  <c r="G18" i="15"/>
  <c r="F18" i="15"/>
  <c r="E18" i="15"/>
  <c r="D18" i="15"/>
  <c r="G17" i="15"/>
  <c r="F17" i="15"/>
  <c r="E17" i="15"/>
  <c r="D17" i="15"/>
  <c r="G16" i="15"/>
  <c r="F16" i="15"/>
  <c r="E16" i="15"/>
  <c r="D16" i="15"/>
  <c r="G15" i="15"/>
  <c r="F15" i="15"/>
  <c r="E15" i="15"/>
  <c r="D15" i="15"/>
  <c r="G14" i="15"/>
  <c r="F14" i="15"/>
  <c r="E14" i="15"/>
  <c r="D14" i="15"/>
  <c r="G13" i="15"/>
  <c r="F13" i="15"/>
  <c r="E13" i="15"/>
  <c r="D13" i="15"/>
  <c r="G12" i="15"/>
  <c r="F12" i="15"/>
  <c r="E12" i="15"/>
  <c r="D12" i="15"/>
  <c r="G11" i="15"/>
  <c r="F11" i="15"/>
  <c r="E11" i="15"/>
  <c r="D11" i="15"/>
  <c r="G10" i="15"/>
  <c r="F10" i="15"/>
  <c r="E10" i="15"/>
  <c r="D10" i="15"/>
  <c r="G9" i="15"/>
  <c r="F9" i="15"/>
  <c r="E9" i="15"/>
  <c r="D9" i="15"/>
  <c r="G8" i="15"/>
  <c r="F8" i="15"/>
  <c r="E8" i="15"/>
  <c r="D8" i="15"/>
  <c r="G7" i="15"/>
  <c r="F7" i="15"/>
  <c r="E7" i="15"/>
  <c r="D7" i="15"/>
  <c r="G6" i="15"/>
  <c r="F6" i="15"/>
  <c r="E6" i="15"/>
  <c r="D6" i="15"/>
  <c r="G5" i="15"/>
  <c r="F5" i="15"/>
  <c r="E5" i="15"/>
  <c r="D5" i="15"/>
  <c r="G4" i="15"/>
  <c r="F4" i="15"/>
  <c r="E4" i="15"/>
  <c r="D4" i="15"/>
  <c r="G3" i="15"/>
  <c r="F3" i="15"/>
  <c r="E3" i="15"/>
  <c r="D3" i="15"/>
  <c r="G2" i="15"/>
  <c r="F2" i="15"/>
  <c r="E2" i="15"/>
  <c r="D2" i="15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B3" i="14"/>
  <c r="B2" i="14"/>
  <c r="B102" i="13"/>
  <c r="B101" i="13"/>
  <c r="B100" i="13"/>
  <c r="B99" i="13"/>
  <c r="B98" i="13"/>
  <c r="B97" i="13"/>
  <c r="B96" i="13"/>
  <c r="B95" i="13"/>
  <c r="B94" i="13"/>
  <c r="B93" i="13"/>
  <c r="B92" i="13"/>
  <c r="B91" i="13"/>
  <c r="B90" i="13"/>
  <c r="B89" i="13"/>
  <c r="B88" i="13"/>
  <c r="B87" i="13"/>
  <c r="B86" i="13"/>
  <c r="B85" i="13"/>
  <c r="B84" i="13"/>
  <c r="B83" i="13"/>
  <c r="B82" i="13"/>
  <c r="B81" i="13"/>
  <c r="B80" i="13"/>
  <c r="B79" i="13"/>
  <c r="B78" i="13"/>
  <c r="B77" i="13"/>
  <c r="B76" i="13"/>
  <c r="B75" i="13"/>
  <c r="B74" i="13"/>
  <c r="B73" i="13"/>
  <c r="B72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F102" i="9"/>
  <c r="E102" i="9"/>
  <c r="D102" i="9"/>
  <c r="C102" i="9"/>
  <c r="B102" i="9"/>
  <c r="F101" i="9"/>
  <c r="E101" i="9"/>
  <c r="D101" i="9"/>
  <c r="C101" i="9"/>
  <c r="B101" i="9"/>
  <c r="F100" i="9"/>
  <c r="E100" i="9"/>
  <c r="D100" i="9"/>
  <c r="C100" i="9"/>
  <c r="B100" i="9"/>
  <c r="F99" i="9"/>
  <c r="E99" i="9"/>
  <c r="D99" i="9"/>
  <c r="C99" i="9"/>
  <c r="B99" i="9"/>
  <c r="F98" i="9"/>
  <c r="E98" i="9"/>
  <c r="D98" i="9"/>
  <c r="C98" i="9"/>
  <c r="B98" i="9"/>
  <c r="F97" i="9"/>
  <c r="E97" i="9"/>
  <c r="D97" i="9"/>
  <c r="C97" i="9"/>
  <c r="B97" i="9"/>
  <c r="F96" i="9"/>
  <c r="E96" i="9"/>
  <c r="D96" i="9"/>
  <c r="C96" i="9"/>
  <c r="B96" i="9"/>
  <c r="F95" i="9"/>
  <c r="E95" i="9"/>
  <c r="D95" i="9"/>
  <c r="C95" i="9"/>
  <c r="B95" i="9"/>
  <c r="F94" i="9"/>
  <c r="E94" i="9"/>
  <c r="D94" i="9"/>
  <c r="C94" i="9"/>
  <c r="B94" i="9"/>
  <c r="F93" i="9"/>
  <c r="E93" i="9"/>
  <c r="D93" i="9"/>
  <c r="C93" i="9"/>
  <c r="B93" i="9"/>
  <c r="F92" i="9"/>
  <c r="E92" i="9"/>
  <c r="D92" i="9"/>
  <c r="C92" i="9"/>
  <c r="B92" i="9"/>
  <c r="F91" i="9"/>
  <c r="E91" i="9"/>
  <c r="D91" i="9"/>
  <c r="C91" i="9"/>
  <c r="B91" i="9"/>
  <c r="F90" i="9"/>
  <c r="E90" i="9"/>
  <c r="D90" i="9"/>
  <c r="C90" i="9"/>
  <c r="B90" i="9"/>
  <c r="F89" i="9"/>
  <c r="E89" i="9"/>
  <c r="D89" i="9"/>
  <c r="C89" i="9"/>
  <c r="B89" i="9"/>
  <c r="F88" i="9"/>
  <c r="E88" i="9"/>
  <c r="D88" i="9"/>
  <c r="C88" i="9"/>
  <c r="B88" i="9"/>
  <c r="F87" i="9"/>
  <c r="E87" i="9"/>
  <c r="D87" i="9"/>
  <c r="C87" i="9"/>
  <c r="B87" i="9"/>
  <c r="F86" i="9"/>
  <c r="E86" i="9"/>
  <c r="D86" i="9"/>
  <c r="C86" i="9"/>
  <c r="B86" i="9"/>
  <c r="F85" i="9"/>
  <c r="E85" i="9"/>
  <c r="D85" i="9"/>
  <c r="C85" i="9"/>
  <c r="B85" i="9"/>
  <c r="F84" i="9"/>
  <c r="E84" i="9"/>
  <c r="D84" i="9"/>
  <c r="C84" i="9"/>
  <c r="B84" i="9"/>
  <c r="F83" i="9"/>
  <c r="E83" i="9"/>
  <c r="D83" i="9"/>
  <c r="C83" i="9"/>
  <c r="B83" i="9"/>
  <c r="F82" i="9"/>
  <c r="E82" i="9"/>
  <c r="D82" i="9"/>
  <c r="C82" i="9"/>
  <c r="B82" i="9"/>
  <c r="F81" i="9"/>
  <c r="E81" i="9"/>
  <c r="D81" i="9"/>
  <c r="C81" i="9"/>
  <c r="B81" i="9"/>
  <c r="F80" i="9"/>
  <c r="E80" i="9"/>
  <c r="D80" i="9"/>
  <c r="C80" i="9"/>
  <c r="B80" i="9"/>
  <c r="F79" i="9"/>
  <c r="E79" i="9"/>
  <c r="D79" i="9"/>
  <c r="C79" i="9"/>
  <c r="B79" i="9"/>
  <c r="F78" i="9"/>
  <c r="E78" i="9"/>
  <c r="D78" i="9"/>
  <c r="C78" i="9"/>
  <c r="B78" i="9"/>
  <c r="F77" i="9"/>
  <c r="E77" i="9"/>
  <c r="D77" i="9"/>
  <c r="C77" i="9"/>
  <c r="B77" i="9"/>
  <c r="F76" i="9"/>
  <c r="E76" i="9"/>
  <c r="D76" i="9"/>
  <c r="C76" i="9"/>
  <c r="B76" i="9"/>
  <c r="F75" i="9"/>
  <c r="E75" i="9"/>
  <c r="D75" i="9"/>
  <c r="C75" i="9"/>
  <c r="B75" i="9"/>
  <c r="F74" i="9"/>
  <c r="E74" i="9"/>
  <c r="D74" i="9"/>
  <c r="C74" i="9"/>
  <c r="B74" i="9"/>
  <c r="F73" i="9"/>
  <c r="E73" i="9"/>
  <c r="D73" i="9"/>
  <c r="C73" i="9"/>
  <c r="B73" i="9"/>
  <c r="F72" i="9"/>
  <c r="E72" i="9"/>
  <c r="D72" i="9"/>
  <c r="C72" i="9"/>
  <c r="B72" i="9"/>
  <c r="F71" i="9"/>
  <c r="E71" i="9"/>
  <c r="D71" i="9"/>
  <c r="C71" i="9"/>
  <c r="B71" i="9"/>
  <c r="F70" i="9"/>
  <c r="E70" i="9"/>
  <c r="D70" i="9"/>
  <c r="C70" i="9"/>
  <c r="B70" i="9"/>
  <c r="F69" i="9"/>
  <c r="E69" i="9"/>
  <c r="D69" i="9"/>
  <c r="C69" i="9"/>
  <c r="B69" i="9"/>
  <c r="F68" i="9"/>
  <c r="E68" i="9"/>
  <c r="D68" i="9"/>
  <c r="C68" i="9"/>
  <c r="B68" i="9"/>
  <c r="F67" i="9"/>
  <c r="E67" i="9"/>
  <c r="D67" i="9"/>
  <c r="C67" i="9"/>
  <c r="B67" i="9"/>
  <c r="F66" i="9"/>
  <c r="E66" i="9"/>
  <c r="D66" i="9"/>
  <c r="C66" i="9"/>
  <c r="B66" i="9"/>
  <c r="F65" i="9"/>
  <c r="E65" i="9"/>
  <c r="D65" i="9"/>
  <c r="C65" i="9"/>
  <c r="B65" i="9"/>
  <c r="F64" i="9"/>
  <c r="E64" i="9"/>
  <c r="D64" i="9"/>
  <c r="C64" i="9"/>
  <c r="B64" i="9"/>
  <c r="F63" i="9"/>
  <c r="E63" i="9"/>
  <c r="D63" i="9"/>
  <c r="C63" i="9"/>
  <c r="B63" i="9"/>
  <c r="F62" i="9"/>
  <c r="E62" i="9"/>
  <c r="D62" i="9"/>
  <c r="C62" i="9"/>
  <c r="B62" i="9"/>
  <c r="F61" i="9"/>
  <c r="E61" i="9"/>
  <c r="D61" i="9"/>
  <c r="C61" i="9"/>
  <c r="B61" i="9"/>
  <c r="F60" i="9"/>
  <c r="E60" i="9"/>
  <c r="D60" i="9"/>
  <c r="C60" i="9"/>
  <c r="B60" i="9"/>
  <c r="F59" i="9"/>
  <c r="E59" i="9"/>
  <c r="D59" i="9"/>
  <c r="C59" i="9"/>
  <c r="B59" i="9"/>
  <c r="F58" i="9"/>
  <c r="E58" i="9"/>
  <c r="D58" i="9"/>
  <c r="C58" i="9"/>
  <c r="B58" i="9"/>
  <c r="F57" i="9"/>
  <c r="E57" i="9"/>
  <c r="D57" i="9"/>
  <c r="C57" i="9"/>
  <c r="B57" i="9"/>
  <c r="F56" i="9"/>
  <c r="E56" i="9"/>
  <c r="D56" i="9"/>
  <c r="C56" i="9"/>
  <c r="B56" i="9"/>
  <c r="F55" i="9"/>
  <c r="E55" i="9"/>
  <c r="D55" i="9"/>
  <c r="C55" i="9"/>
  <c r="B55" i="9"/>
  <c r="F54" i="9"/>
  <c r="E54" i="9"/>
  <c r="D54" i="9"/>
  <c r="C54" i="9"/>
  <c r="B54" i="9"/>
  <c r="F53" i="9"/>
  <c r="E53" i="9"/>
  <c r="D53" i="9"/>
  <c r="C53" i="9"/>
  <c r="B53" i="9"/>
  <c r="F52" i="9"/>
  <c r="E52" i="9"/>
  <c r="D52" i="9"/>
  <c r="C52" i="9"/>
  <c r="B52" i="9"/>
  <c r="F51" i="9"/>
  <c r="E51" i="9"/>
  <c r="D51" i="9"/>
  <c r="C51" i="9"/>
  <c r="B51" i="9"/>
  <c r="F50" i="9"/>
  <c r="E50" i="9"/>
  <c r="D50" i="9"/>
  <c r="C50" i="9"/>
  <c r="B50" i="9"/>
  <c r="F49" i="9"/>
  <c r="E49" i="9"/>
  <c r="D49" i="9"/>
  <c r="C49" i="9"/>
  <c r="B49" i="9"/>
  <c r="F48" i="9"/>
  <c r="E48" i="9"/>
  <c r="D48" i="9"/>
  <c r="C48" i="9"/>
  <c r="B48" i="9"/>
  <c r="F47" i="9"/>
  <c r="E47" i="9"/>
  <c r="D47" i="9"/>
  <c r="C47" i="9"/>
  <c r="B47" i="9"/>
  <c r="F46" i="9"/>
  <c r="E46" i="9"/>
  <c r="D46" i="9"/>
  <c r="C46" i="9"/>
  <c r="B46" i="9"/>
  <c r="F45" i="9"/>
  <c r="E45" i="9"/>
  <c r="D45" i="9"/>
  <c r="C45" i="9"/>
  <c r="B45" i="9"/>
  <c r="F44" i="9"/>
  <c r="E44" i="9"/>
  <c r="D44" i="9"/>
  <c r="C44" i="9"/>
  <c r="B44" i="9"/>
  <c r="F43" i="9"/>
  <c r="E43" i="9"/>
  <c r="D43" i="9"/>
  <c r="C43" i="9"/>
  <c r="B43" i="9"/>
  <c r="F42" i="9"/>
  <c r="E42" i="9"/>
  <c r="D42" i="9"/>
  <c r="C42" i="9"/>
  <c r="B42" i="9"/>
  <c r="F41" i="9"/>
  <c r="E41" i="9"/>
  <c r="D41" i="9"/>
  <c r="C41" i="9"/>
  <c r="B41" i="9"/>
  <c r="F40" i="9"/>
  <c r="E40" i="9"/>
  <c r="D40" i="9"/>
  <c r="C40" i="9"/>
  <c r="B40" i="9"/>
  <c r="F39" i="9"/>
  <c r="E39" i="9"/>
  <c r="D39" i="9"/>
  <c r="C39" i="9"/>
  <c r="B39" i="9"/>
  <c r="F38" i="9"/>
  <c r="E38" i="9"/>
  <c r="D38" i="9"/>
  <c r="C38" i="9"/>
  <c r="B38" i="9"/>
  <c r="F37" i="9"/>
  <c r="E37" i="9"/>
  <c r="D37" i="9"/>
  <c r="C37" i="9"/>
  <c r="B37" i="9"/>
  <c r="F36" i="9"/>
  <c r="E36" i="9"/>
  <c r="D36" i="9"/>
  <c r="C36" i="9"/>
  <c r="B36" i="9"/>
  <c r="F35" i="9"/>
  <c r="E35" i="9"/>
  <c r="D35" i="9"/>
  <c r="C35" i="9"/>
  <c r="B35" i="9"/>
  <c r="F34" i="9"/>
  <c r="E34" i="9"/>
  <c r="D34" i="9"/>
  <c r="C34" i="9"/>
  <c r="B34" i="9"/>
  <c r="F33" i="9"/>
  <c r="E33" i="9"/>
  <c r="D33" i="9"/>
  <c r="C33" i="9"/>
  <c r="B33" i="9"/>
  <c r="F32" i="9"/>
  <c r="E32" i="9"/>
  <c r="D32" i="9"/>
  <c r="C32" i="9"/>
  <c r="B32" i="9"/>
  <c r="F31" i="9"/>
  <c r="E31" i="9"/>
  <c r="D31" i="9"/>
  <c r="C31" i="9"/>
  <c r="B31" i="9"/>
  <c r="F30" i="9"/>
  <c r="E30" i="9"/>
  <c r="D30" i="9"/>
  <c r="C30" i="9"/>
  <c r="B30" i="9"/>
  <c r="F29" i="9"/>
  <c r="E29" i="9"/>
  <c r="D29" i="9"/>
  <c r="C29" i="9"/>
  <c r="B29" i="9"/>
  <c r="F28" i="9"/>
  <c r="E28" i="9"/>
  <c r="D28" i="9"/>
  <c r="C28" i="9"/>
  <c r="B28" i="9"/>
  <c r="F27" i="9"/>
  <c r="E27" i="9"/>
  <c r="D27" i="9"/>
  <c r="C27" i="9"/>
  <c r="B27" i="9"/>
  <c r="F26" i="9"/>
  <c r="E26" i="9"/>
  <c r="D26" i="9"/>
  <c r="C26" i="9"/>
  <c r="B26" i="9"/>
  <c r="F25" i="9"/>
  <c r="E25" i="9"/>
  <c r="D25" i="9"/>
  <c r="C25" i="9"/>
  <c r="B25" i="9"/>
  <c r="F24" i="9"/>
  <c r="E24" i="9"/>
  <c r="D24" i="9"/>
  <c r="C24" i="9"/>
  <c r="B24" i="9"/>
  <c r="F23" i="9"/>
  <c r="E23" i="9"/>
  <c r="D23" i="9"/>
  <c r="C23" i="9"/>
  <c r="B23" i="9"/>
  <c r="F22" i="9"/>
  <c r="E22" i="9"/>
  <c r="D22" i="9"/>
  <c r="C22" i="9"/>
  <c r="B22" i="9"/>
  <c r="F21" i="9"/>
  <c r="E21" i="9"/>
  <c r="D21" i="9"/>
  <c r="C21" i="9"/>
  <c r="B21" i="9"/>
  <c r="F20" i="9"/>
  <c r="E20" i="9"/>
  <c r="D20" i="9"/>
  <c r="C20" i="9"/>
  <c r="B20" i="9"/>
  <c r="F19" i="9"/>
  <c r="E19" i="9"/>
  <c r="D19" i="9"/>
  <c r="C19" i="9"/>
  <c r="B19" i="9"/>
  <c r="F18" i="9"/>
  <c r="E18" i="9"/>
  <c r="D18" i="9"/>
  <c r="C18" i="9"/>
  <c r="B18" i="9"/>
  <c r="F17" i="9"/>
  <c r="E17" i="9"/>
  <c r="D17" i="9"/>
  <c r="C17" i="9"/>
  <c r="B17" i="9"/>
  <c r="F16" i="9"/>
  <c r="E16" i="9"/>
  <c r="D16" i="9"/>
  <c r="C16" i="9"/>
  <c r="B16" i="9"/>
  <c r="F15" i="9"/>
  <c r="E15" i="9"/>
  <c r="D15" i="9"/>
  <c r="C15" i="9"/>
  <c r="B15" i="9"/>
  <c r="F14" i="9"/>
  <c r="E14" i="9"/>
  <c r="D14" i="9"/>
  <c r="C14" i="9"/>
  <c r="B14" i="9"/>
  <c r="F13" i="9"/>
  <c r="E13" i="9"/>
  <c r="D13" i="9"/>
  <c r="C13" i="9"/>
  <c r="B13" i="9"/>
  <c r="F12" i="9"/>
  <c r="E12" i="9"/>
  <c r="D12" i="9"/>
  <c r="C12" i="9"/>
  <c r="B12" i="9"/>
  <c r="F11" i="9"/>
  <c r="E11" i="9"/>
  <c r="D11" i="9"/>
  <c r="C11" i="9"/>
  <c r="B11" i="9"/>
  <c r="F10" i="9"/>
  <c r="E10" i="9"/>
  <c r="D10" i="9"/>
  <c r="C10" i="9"/>
  <c r="B10" i="9"/>
  <c r="F9" i="9"/>
  <c r="E9" i="9"/>
  <c r="D9" i="9"/>
  <c r="C9" i="9"/>
  <c r="B9" i="9"/>
  <c r="F8" i="9"/>
  <c r="E8" i="9"/>
  <c r="D8" i="9"/>
  <c r="C8" i="9"/>
  <c r="B8" i="9"/>
  <c r="F7" i="9"/>
  <c r="E7" i="9"/>
  <c r="D7" i="9"/>
  <c r="C7" i="9"/>
  <c r="B7" i="9"/>
  <c r="F6" i="9"/>
  <c r="E6" i="9"/>
  <c r="D6" i="9"/>
  <c r="C6" i="9"/>
  <c r="B6" i="9"/>
  <c r="F5" i="9"/>
  <c r="E5" i="9"/>
  <c r="D5" i="9"/>
  <c r="C5" i="9"/>
  <c r="B5" i="9"/>
  <c r="F4" i="9"/>
  <c r="E4" i="9"/>
  <c r="D4" i="9"/>
  <c r="C4" i="9"/>
  <c r="B4" i="9"/>
  <c r="F3" i="9"/>
  <c r="E3" i="9"/>
  <c r="D3" i="9"/>
  <c r="C3" i="9"/>
  <c r="B3" i="9"/>
  <c r="F2" i="9"/>
  <c r="E2" i="9"/>
  <c r="D2" i="9"/>
  <c r="C2" i="9"/>
  <c r="B2" i="9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E102" i="4"/>
  <c r="D102" i="4"/>
  <c r="C102" i="4"/>
  <c r="B102" i="4"/>
  <c r="E101" i="4"/>
  <c r="D101" i="4"/>
  <c r="C101" i="4"/>
  <c r="B101" i="4"/>
  <c r="E100" i="4"/>
  <c r="D100" i="4"/>
  <c r="C100" i="4"/>
  <c r="B100" i="4"/>
  <c r="E99" i="4"/>
  <c r="D99" i="4"/>
  <c r="C99" i="4"/>
  <c r="B99" i="4"/>
  <c r="E98" i="4"/>
  <c r="D98" i="4"/>
  <c r="C98" i="4"/>
  <c r="B98" i="4"/>
  <c r="E97" i="4"/>
  <c r="D97" i="4"/>
  <c r="C97" i="4"/>
  <c r="B97" i="4"/>
  <c r="E96" i="4"/>
  <c r="D96" i="4"/>
  <c r="C96" i="4"/>
  <c r="B96" i="4"/>
  <c r="E95" i="4"/>
  <c r="D95" i="4"/>
  <c r="C95" i="4"/>
  <c r="B95" i="4"/>
  <c r="E94" i="4"/>
  <c r="D94" i="4"/>
  <c r="C94" i="4"/>
  <c r="B94" i="4"/>
  <c r="E93" i="4"/>
  <c r="D93" i="4"/>
  <c r="C93" i="4"/>
  <c r="B93" i="4"/>
  <c r="E92" i="4"/>
  <c r="D92" i="4"/>
  <c r="C92" i="4"/>
  <c r="B92" i="4"/>
  <c r="E91" i="4"/>
  <c r="D91" i="4"/>
  <c r="C91" i="4"/>
  <c r="B91" i="4"/>
  <c r="E90" i="4"/>
  <c r="D90" i="4"/>
  <c r="C90" i="4"/>
  <c r="B90" i="4"/>
  <c r="E89" i="4"/>
  <c r="D89" i="4"/>
  <c r="C89" i="4"/>
  <c r="B89" i="4"/>
  <c r="E88" i="4"/>
  <c r="D88" i="4"/>
  <c r="C88" i="4"/>
  <c r="B88" i="4"/>
  <c r="E87" i="4"/>
  <c r="D87" i="4"/>
  <c r="C87" i="4"/>
  <c r="B87" i="4"/>
  <c r="E86" i="4"/>
  <c r="D86" i="4"/>
  <c r="C86" i="4"/>
  <c r="B86" i="4"/>
  <c r="E85" i="4"/>
  <c r="D85" i="4"/>
  <c r="C85" i="4"/>
  <c r="B85" i="4"/>
  <c r="E84" i="4"/>
  <c r="D84" i="4"/>
  <c r="C84" i="4"/>
  <c r="B84" i="4"/>
  <c r="E83" i="4"/>
  <c r="D83" i="4"/>
  <c r="C83" i="4"/>
  <c r="B83" i="4"/>
  <c r="E82" i="4"/>
  <c r="D82" i="4"/>
  <c r="C82" i="4"/>
  <c r="B82" i="4"/>
  <c r="E81" i="4"/>
  <c r="D81" i="4"/>
  <c r="C81" i="4"/>
  <c r="B81" i="4"/>
  <c r="E80" i="4"/>
  <c r="D80" i="4"/>
  <c r="C80" i="4"/>
  <c r="B80" i="4"/>
  <c r="E79" i="4"/>
  <c r="D79" i="4"/>
  <c r="C79" i="4"/>
  <c r="B79" i="4"/>
  <c r="E78" i="4"/>
  <c r="D78" i="4"/>
  <c r="C78" i="4"/>
  <c r="B78" i="4"/>
  <c r="E77" i="4"/>
  <c r="D77" i="4"/>
  <c r="C77" i="4"/>
  <c r="B77" i="4"/>
  <c r="E76" i="4"/>
  <c r="D76" i="4"/>
  <c r="C76" i="4"/>
  <c r="B76" i="4"/>
  <c r="E75" i="4"/>
  <c r="D75" i="4"/>
  <c r="C75" i="4"/>
  <c r="B75" i="4"/>
  <c r="E74" i="4"/>
  <c r="D74" i="4"/>
  <c r="C74" i="4"/>
  <c r="B74" i="4"/>
  <c r="E73" i="4"/>
  <c r="D73" i="4"/>
  <c r="C73" i="4"/>
  <c r="B73" i="4"/>
  <c r="E72" i="4"/>
  <c r="D72" i="4"/>
  <c r="C72" i="4"/>
  <c r="B72" i="4"/>
  <c r="E71" i="4"/>
  <c r="D71" i="4"/>
  <c r="C71" i="4"/>
  <c r="B71" i="4"/>
  <c r="E70" i="4"/>
  <c r="D70" i="4"/>
  <c r="C70" i="4"/>
  <c r="B70" i="4"/>
  <c r="E69" i="4"/>
  <c r="D69" i="4"/>
  <c r="C69" i="4"/>
  <c r="B69" i="4"/>
  <c r="E68" i="4"/>
  <c r="D68" i="4"/>
  <c r="C68" i="4"/>
  <c r="B68" i="4"/>
  <c r="E67" i="4"/>
  <c r="D67" i="4"/>
  <c r="C67" i="4"/>
  <c r="B67" i="4"/>
  <c r="E66" i="4"/>
  <c r="D66" i="4"/>
  <c r="C66" i="4"/>
  <c r="B66" i="4"/>
  <c r="E65" i="4"/>
  <c r="D65" i="4"/>
  <c r="C65" i="4"/>
  <c r="B65" i="4"/>
  <c r="E64" i="4"/>
  <c r="D64" i="4"/>
  <c r="C64" i="4"/>
  <c r="B64" i="4"/>
  <c r="E63" i="4"/>
  <c r="D63" i="4"/>
  <c r="C63" i="4"/>
  <c r="B63" i="4"/>
  <c r="E62" i="4"/>
  <c r="D62" i="4"/>
  <c r="C62" i="4"/>
  <c r="B62" i="4"/>
  <c r="E61" i="4"/>
  <c r="D61" i="4"/>
  <c r="C61" i="4"/>
  <c r="B61" i="4"/>
  <c r="E60" i="4"/>
  <c r="D60" i="4"/>
  <c r="C60" i="4"/>
  <c r="B60" i="4"/>
  <c r="E59" i="4"/>
  <c r="D59" i="4"/>
  <c r="C59" i="4"/>
  <c r="B59" i="4"/>
  <c r="E58" i="4"/>
  <c r="D58" i="4"/>
  <c r="C58" i="4"/>
  <c r="B58" i="4"/>
  <c r="E57" i="4"/>
  <c r="D57" i="4"/>
  <c r="C57" i="4"/>
  <c r="B57" i="4"/>
  <c r="E56" i="4"/>
  <c r="D56" i="4"/>
  <c r="C56" i="4"/>
  <c r="B56" i="4"/>
  <c r="E55" i="4"/>
  <c r="D55" i="4"/>
  <c r="C55" i="4"/>
  <c r="B55" i="4"/>
  <c r="E54" i="4"/>
  <c r="D54" i="4"/>
  <c r="C54" i="4"/>
  <c r="B54" i="4"/>
  <c r="E53" i="4"/>
  <c r="D53" i="4"/>
  <c r="C53" i="4"/>
  <c r="B53" i="4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2" i="4"/>
  <c r="D2" i="4"/>
  <c r="C2" i="4"/>
  <c r="B2" i="4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C2" i="3"/>
  <c r="B2" i="3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<sst xmlns="http://schemas.openxmlformats.org/spreadsheetml/2006/main" count="88" uniqueCount="33">
  <si>
    <t>X</t>
  </si>
  <si>
    <t>Y</t>
  </si>
  <si>
    <t>t</t>
  </si>
  <si>
    <t>x</t>
  </si>
  <si>
    <t>y</t>
  </si>
  <si>
    <t>y1</t>
  </si>
  <si>
    <t>y2</t>
  </si>
  <si>
    <t>y3</t>
  </si>
  <si>
    <t>y4</t>
  </si>
  <si>
    <t>g1</t>
  </si>
  <si>
    <t>g2</t>
  </si>
  <si>
    <t>g3</t>
  </si>
  <si>
    <t>g4</t>
  </si>
  <si>
    <t>g5</t>
  </si>
  <si>
    <t>z1</t>
  </si>
  <si>
    <t>z2</t>
  </si>
  <si>
    <t>z3</t>
  </si>
  <si>
    <t>z4</t>
  </si>
  <si>
    <t>Наименование показателей</t>
  </si>
  <si>
    <t>МИН</t>
  </si>
  <si>
    <t>СРЗНАЧ</t>
  </si>
  <si>
    <t>МАКС</t>
  </si>
  <si>
    <t>Кыргызская Республика</t>
  </si>
  <si>
    <t>Баткенская область</t>
  </si>
  <si>
    <t>Джалал-Абадская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</si>
  <si>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</si>
  <si>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</si>
  <si>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</si>
  <si>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</si>
  <si>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г.Бишкек</t>
  </si>
  <si>
    <t>г.Ош</t>
  </si>
  <si>
    <t xml:space="preserve">Иссык-Кульская область </t>
  </si>
  <si>
    <t>БАЗИСНЫЙ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</si>
</sst>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₽"/>
  </numFmts>
  <fonts count="1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b/>
      <sz val="11"/>
      <name val="Cambria"/>
      <family val="1"/>
      <charset val="204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0"/>
      <name val="Arial Cyr"/>
      <charset val="204"/>
    </font>
    <font>
      <sz val="10"/>
      <name val="NTHarmonica"/>
      <charset val="204"/>
    </font>
    <font>
      <b/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1" tint="0.49989318521683401"/>
        <bgColor rgb="FF8B8B8B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8" fillId="0" borderId="0" applyBorder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3" fontId="10" fillId="3" borderId="1" xfId="2" applyNumberFormat="1" applyFont="1" applyFill="1" applyBorder="1"/>
    <xf numFmtId="0" fontId="10" fillId="3" borderId="1" xfId="3" applyFont="1" applyFill="1" applyBorder="1" applyAlignment="1">
      <alignment vertical="center" wrapText="1"/>
    </xf>
    <xf numFmtId="3" fontId="10" fillId="3" borderId="1" xfId="3" applyNumberFormat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4" borderId="1" xfId="1" applyFont="1" applyFill="1" applyBorder="1"/>
    <xf numFmtId="0" fontId="9" fillId="4" borderId="1" xfId="1" applyFont="1" applyFill="1" applyBorder="1"/>
    <xf numFmtId="0" fontId="5" fillId="5" borderId="1" xfId="1" applyFill="1" applyBorder="1"/>
    <xf numFmtId="164" fontId="5" fillId="5" borderId="1" xfId="1" applyNumberFormat="1" applyFill="1" applyBorder="1"/>
    <xf numFmtId="0" fontId="1" fillId="5" borderId="2" xfId="0" applyFont="1" applyFill="1" applyBorder="1" applyAlignment="1">
      <alignment horizontal="center"/>
    </xf>
  </cellXfs>
  <cellStyles count="4">
    <cellStyle name="Обычный" xfId="0" builtinId="0"/>
    <cellStyle name="Обычный 2" xfId="2" xr:uid="{B146822B-1E9D-48FE-A612-200A4A8893A1}"/>
    <cellStyle name="Обычный 3" xfId="1" xr:uid="{878E6D06-5297-45AB-9FFE-A3C6BB442BD5}"/>
    <cellStyle name="Обычный_1070013" xfId="3" xr:uid="{2F1685A8-BAFC-4551-ADCB-51E3F6BEA666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8B8B"/>
      <rgbColor rgb="FF800080"/>
      <rgbColor rgb="FF008080"/>
      <rgbColor rgb="FFBFBFBF"/>
      <rgbColor rgb="FF7F7F7F"/>
      <rgbColor rgb="FF90A2D3"/>
      <rgbColor rgb="FF993366"/>
      <rgbColor rgb="FFFFFFCC"/>
      <rgbColor rgb="FFCCFFFF"/>
      <rgbColor rgb="FF660066"/>
      <rgbColor rgb="FFD36F2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8B8DF"/>
      <rgbColor rgb="FFF1A78B"/>
      <rgbColor rgb="FFA5A5A5"/>
      <rgbColor rgb="FFFFD087"/>
      <rgbColor rgb="FF518ABD"/>
      <rgbColor rgb="FF5B9BD5"/>
      <rgbColor rgb="FF99CC00"/>
      <rgbColor rgb="FFFFCC00"/>
      <rgbColor rgb="FFE3AB00"/>
      <rgbColor rgb="FFED7D31"/>
      <rgbColor rgb="FF3C65AE"/>
      <rgbColor rgb="FF929292"/>
      <rgbColor rgb="FF003366"/>
      <rgbColor rgb="FF639A3F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chartsheet" Target="chartsheets/sheet6.xml"/><Relationship Id="rId18" Type="http://schemas.openxmlformats.org/officeDocument/2006/relationships/chartsheet" Target="chartsheets/sheet8.xml"/><Relationship Id="rId26" Type="http://schemas.openxmlformats.org/officeDocument/2006/relationships/chartsheet" Target="chartsheets/sheet12.xml"/><Relationship Id="rId39" Type="http://schemas.openxmlformats.org/officeDocument/2006/relationships/chartsheet" Target="chartsheets/sheet18.xml"/><Relationship Id="rId3" Type="http://schemas.openxmlformats.org/officeDocument/2006/relationships/worksheet" Target="worksheets/sheet2.xml"/><Relationship Id="rId21" Type="http://schemas.openxmlformats.org/officeDocument/2006/relationships/worksheet" Target="worksheets/sheet12.xml"/><Relationship Id="rId34" Type="http://schemas.openxmlformats.org/officeDocument/2006/relationships/worksheet" Target="worksheets/sheet19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7.xml"/><Relationship Id="rId17" Type="http://schemas.openxmlformats.org/officeDocument/2006/relationships/worksheet" Target="worksheets/sheet10.xml"/><Relationship Id="rId25" Type="http://schemas.openxmlformats.org/officeDocument/2006/relationships/worksheet" Target="worksheets/sheet14.xml"/><Relationship Id="rId33" Type="http://schemas.openxmlformats.org/officeDocument/2006/relationships/chartsheet" Target="chartsheets/sheet15.xml"/><Relationship Id="rId38" Type="http://schemas.openxmlformats.org/officeDocument/2006/relationships/worksheet" Target="worksheets/sheet21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9.xml"/><Relationship Id="rId20" Type="http://schemas.openxmlformats.org/officeDocument/2006/relationships/chartsheet" Target="chartsheets/sheet9.xml"/><Relationship Id="rId29" Type="http://schemas.openxmlformats.org/officeDocument/2006/relationships/chartsheet" Target="chartsheets/sheet13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chartsheet" Target="chartsheets/sheet5.xml"/><Relationship Id="rId24" Type="http://schemas.openxmlformats.org/officeDocument/2006/relationships/chartsheet" Target="chartsheets/sheet11.xml"/><Relationship Id="rId32" Type="http://schemas.openxmlformats.org/officeDocument/2006/relationships/worksheet" Target="worksheets/sheet18.xml"/><Relationship Id="rId37" Type="http://schemas.openxmlformats.org/officeDocument/2006/relationships/chartsheet" Target="chartsheets/sheet17.xml"/><Relationship Id="rId40" Type="http://schemas.openxmlformats.org/officeDocument/2006/relationships/theme" Target="theme/theme1.xml"/><Relationship Id="rId5" Type="http://schemas.openxmlformats.org/officeDocument/2006/relationships/worksheet" Target="worksheets/sheet3.xml"/><Relationship Id="rId15" Type="http://schemas.openxmlformats.org/officeDocument/2006/relationships/chartsheet" Target="chartsheets/sheet7.xml"/><Relationship Id="rId23" Type="http://schemas.openxmlformats.org/officeDocument/2006/relationships/worksheet" Target="worksheets/sheet13.xml"/><Relationship Id="rId28" Type="http://schemas.openxmlformats.org/officeDocument/2006/relationships/worksheet" Target="worksheets/sheet16.xml"/><Relationship Id="rId36" Type="http://schemas.openxmlformats.org/officeDocument/2006/relationships/worksheet" Target="worksheets/sheet20.xml"/><Relationship Id="rId10" Type="http://schemas.openxmlformats.org/officeDocument/2006/relationships/worksheet" Target="worksheets/sheet6.xml"/><Relationship Id="rId19" Type="http://schemas.openxmlformats.org/officeDocument/2006/relationships/worksheet" Target="worksheets/sheet11.xml"/><Relationship Id="rId31" Type="http://schemas.openxmlformats.org/officeDocument/2006/relationships/chartsheet" Target="chartsheets/sheet14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4.xml"/><Relationship Id="rId14" Type="http://schemas.openxmlformats.org/officeDocument/2006/relationships/worksheet" Target="worksheets/sheet8.xml"/><Relationship Id="rId22" Type="http://schemas.openxmlformats.org/officeDocument/2006/relationships/chartsheet" Target="chartsheets/sheet10.xml"/><Relationship Id="rId27" Type="http://schemas.openxmlformats.org/officeDocument/2006/relationships/worksheet" Target="worksheets/sheet15.xml"/><Relationship Id="rId30" Type="http://schemas.openxmlformats.org/officeDocument/2006/relationships/worksheet" Target="worksheets/sheet17.xml"/><Relationship Id="rId35" Type="http://schemas.openxmlformats.org/officeDocument/2006/relationships/chartsheet" Target="chartsheets/sheet16.xml"/><Relationship Id="rId43" Type="http://schemas.openxmlformats.org/officeDocument/2006/relationships/calcChain" Target="calcChain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6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600" b="1" strike="noStrike" spc="-1">
                <a:solidFill>
                  <a:srgbClr val="000000"/>
                </a:solidFill>
                <a:latin typeface="Calibri"/>
              </a:rPr>
              <a:t>y = (x³ - 9) / (x² + 1)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4265383005441597E-2"/>
          <c:y val="0.176349765258216"/>
          <c:w val="0.90958560066973604"/>
          <c:h val="0.77709311424100203"/>
        </c:manualLayout>
      </c:layout>
      <c:scatterChart>
        <c:scatterStyle val="lineMarker"/>
        <c:varyColors val="0"/>
        <c:ser>
          <c:idx val="0"/>
          <c:order val="0"/>
          <c:spPr>
            <a:ln w="22320" cap="rnd">
              <a:solidFill>
                <a:srgbClr val="5B9BD5"/>
              </a:solidFill>
              <a:round/>
            </a:ln>
          </c:spPr>
          <c:marker>
            <c:symbol val="diamond"/>
            <c:size val="6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'Задание 1'!$A$2:$A$52</c:f>
              <c:numCache>
                <c:formatCode>General</c:formatCode>
                <c:ptCount val="51"/>
                <c:pt idx="0">
                  <c:v>-10</c:v>
                </c:pt>
                <c:pt idx="1">
                  <c:v>-9.6</c:v>
                </c:pt>
                <c:pt idx="2">
                  <c:v>-9.1999999999999993</c:v>
                </c:pt>
                <c:pt idx="3">
                  <c:v>-8.8000000000000007</c:v>
                </c:pt>
                <c:pt idx="4">
                  <c:v>-8.4</c:v>
                </c:pt>
                <c:pt idx="5">
                  <c:v>-8</c:v>
                </c:pt>
                <c:pt idx="6">
                  <c:v>-7.6</c:v>
                </c:pt>
                <c:pt idx="7">
                  <c:v>-7.2</c:v>
                </c:pt>
                <c:pt idx="8">
                  <c:v>-6.8</c:v>
                </c:pt>
                <c:pt idx="9">
                  <c:v>-6.4</c:v>
                </c:pt>
                <c:pt idx="10">
                  <c:v>-6</c:v>
                </c:pt>
                <c:pt idx="11">
                  <c:v>-5.6</c:v>
                </c:pt>
                <c:pt idx="12">
                  <c:v>-5.2</c:v>
                </c:pt>
                <c:pt idx="13">
                  <c:v>-4.8</c:v>
                </c:pt>
                <c:pt idx="14">
                  <c:v>-4.4000000000000004</c:v>
                </c:pt>
                <c:pt idx="15">
                  <c:v>-3.9999999999999898</c:v>
                </c:pt>
                <c:pt idx="16">
                  <c:v>-3.5999999999999899</c:v>
                </c:pt>
                <c:pt idx="17">
                  <c:v>-3.19999999999999</c:v>
                </c:pt>
                <c:pt idx="18">
                  <c:v>-2.7999999999999901</c:v>
                </c:pt>
                <c:pt idx="19">
                  <c:v>-2.3999999999999901</c:v>
                </c:pt>
                <c:pt idx="20">
                  <c:v>-1.99999999999999</c:v>
                </c:pt>
                <c:pt idx="21">
                  <c:v>-1.5999999999999901</c:v>
                </c:pt>
                <c:pt idx="22">
                  <c:v>-1.19999999999999</c:v>
                </c:pt>
                <c:pt idx="23">
                  <c:v>-0.79999999999999005</c:v>
                </c:pt>
                <c:pt idx="24">
                  <c:v>-0.39999999999998997</c:v>
                </c:pt>
                <c:pt idx="25">
                  <c:v>0</c:v>
                </c:pt>
                <c:pt idx="26">
                  <c:v>0.4</c:v>
                </c:pt>
                <c:pt idx="27">
                  <c:v>0.80000000000000104</c:v>
                </c:pt>
                <c:pt idx="28">
                  <c:v>1.2</c:v>
                </c:pt>
                <c:pt idx="29">
                  <c:v>1.6</c:v>
                </c:pt>
                <c:pt idx="30">
                  <c:v>2</c:v>
                </c:pt>
                <c:pt idx="31">
                  <c:v>2.4</c:v>
                </c:pt>
                <c:pt idx="32">
                  <c:v>2.8</c:v>
                </c:pt>
                <c:pt idx="33">
                  <c:v>3.2</c:v>
                </c:pt>
                <c:pt idx="34">
                  <c:v>3.6</c:v>
                </c:pt>
                <c:pt idx="35">
                  <c:v>4</c:v>
                </c:pt>
                <c:pt idx="36">
                  <c:v>4.4000000000000004</c:v>
                </c:pt>
                <c:pt idx="37">
                  <c:v>4.8</c:v>
                </c:pt>
                <c:pt idx="38">
                  <c:v>5.2</c:v>
                </c:pt>
                <c:pt idx="39">
                  <c:v>5.6</c:v>
                </c:pt>
                <c:pt idx="40">
                  <c:v>6</c:v>
                </c:pt>
                <c:pt idx="41">
                  <c:v>6.4</c:v>
                </c:pt>
                <c:pt idx="42">
                  <c:v>6.8</c:v>
                </c:pt>
                <c:pt idx="43">
                  <c:v>7.2</c:v>
                </c:pt>
                <c:pt idx="44">
                  <c:v>7.6</c:v>
                </c:pt>
                <c:pt idx="45">
                  <c:v>8</c:v>
                </c:pt>
                <c:pt idx="46">
                  <c:v>8.4</c:v>
                </c:pt>
                <c:pt idx="47">
                  <c:v>8.8000000000000007</c:v>
                </c:pt>
                <c:pt idx="48">
                  <c:v>9.1999999999999993</c:v>
                </c:pt>
                <c:pt idx="49">
                  <c:v>9.6</c:v>
                </c:pt>
                <c:pt idx="50">
                  <c:v>10</c:v>
                </c:pt>
              </c:numCache>
            </c:numRef>
          </c:xVal>
          <c:yVal>
            <c:numRef>
              <c:f>'Задание 1'!$B$2:$B$52</c:f>
              <c:numCache>
                <c:formatCode>General</c:formatCode>
                <c:ptCount val="51"/>
                <c:pt idx="0">
                  <c:v>-9.990099009900991</c:v>
                </c:pt>
                <c:pt idx="1">
                  <c:v>-9.5935594675826543</c:v>
                </c:pt>
                <c:pt idx="2">
                  <c:v>-9.1976646426903308</c:v>
                </c:pt>
                <c:pt idx="3">
                  <c:v>-8.8025497195308535</c:v>
                </c:pt>
                <c:pt idx="4">
                  <c:v>-8.408384572386808</c:v>
                </c:pt>
                <c:pt idx="5">
                  <c:v>-8.0153846153846153</c:v>
                </c:pt>
                <c:pt idx="6">
                  <c:v>-7.6238257317903324</c:v>
                </c:pt>
                <c:pt idx="7">
                  <c:v>-7.2340651021953066</c:v>
                </c:pt>
                <c:pt idx="8">
                  <c:v>-6.8465707027942422</c:v>
                </c:pt>
                <c:pt idx="9">
                  <c:v>-6.4619637750238326</c:v>
                </c:pt>
                <c:pt idx="10">
                  <c:v>-6.0810810810810807</c:v>
                </c:pt>
                <c:pt idx="11">
                  <c:v>-5.7050679851668713</c:v>
                </c:pt>
                <c:pt idx="12">
                  <c:v>-5.3355206847360916</c:v>
                </c:pt>
                <c:pt idx="13">
                  <c:v>-4.9747088186356079</c:v>
                </c:pt>
                <c:pt idx="14">
                  <c:v>-4.6259332023575643</c:v>
                </c:pt>
                <c:pt idx="15">
                  <c:v>-4.2941176470588154</c:v>
                </c:pt>
                <c:pt idx="16">
                  <c:v>-3.9868194842406801</c:v>
                </c:pt>
                <c:pt idx="17">
                  <c:v>-3.7160142348754386</c:v>
                </c:pt>
                <c:pt idx="18">
                  <c:v>-3.5013574660633444</c:v>
                </c:pt>
                <c:pt idx="19">
                  <c:v>-3.3763313609467436</c:v>
                </c:pt>
                <c:pt idx="20">
                  <c:v>-3.400000000000003</c:v>
                </c:pt>
                <c:pt idx="21">
                  <c:v>-3.67865168539327</c:v>
                </c:pt>
                <c:pt idx="22">
                  <c:v>-4.396721311475436</c:v>
                </c:pt>
                <c:pt idx="23">
                  <c:v>-5.8000000000000442</c:v>
                </c:pt>
                <c:pt idx="24">
                  <c:v>-7.8137931034483259</c:v>
                </c:pt>
                <c:pt idx="25">
                  <c:v>-9</c:v>
                </c:pt>
                <c:pt idx="26">
                  <c:v>-7.7034482758620682</c:v>
                </c:pt>
                <c:pt idx="27">
                  <c:v>-5.175609756097554</c:v>
                </c:pt>
                <c:pt idx="28">
                  <c:v>-2.9803278688524593</c:v>
                </c:pt>
                <c:pt idx="29">
                  <c:v>-1.3775280898876401</c:v>
                </c:pt>
                <c:pt idx="30">
                  <c:v>-0.2</c:v>
                </c:pt>
                <c:pt idx="31">
                  <c:v>0.71360946745562126</c:v>
                </c:pt>
                <c:pt idx="32">
                  <c:v>1.4651583710407234</c:v>
                </c:pt>
                <c:pt idx="33">
                  <c:v>2.1145907473309613</c:v>
                </c:pt>
                <c:pt idx="34">
                  <c:v>2.6974212034383958</c:v>
                </c:pt>
                <c:pt idx="35">
                  <c:v>3.2352941176470589</c:v>
                </c:pt>
                <c:pt idx="36">
                  <c:v>3.7418467583497059</c:v>
                </c:pt>
                <c:pt idx="37">
                  <c:v>4.2259567387687191</c:v>
                </c:pt>
                <c:pt idx="38">
                  <c:v>4.6935805991440809</c:v>
                </c:pt>
                <c:pt idx="39">
                  <c:v>5.1488257107540161</c:v>
                </c:pt>
                <c:pt idx="40">
                  <c:v>5.5945945945945947</c:v>
                </c:pt>
                <c:pt idx="41">
                  <c:v>6.0329837940896098</c:v>
                </c:pt>
                <c:pt idx="42">
                  <c:v>6.465537679932261</c:v>
                </c:pt>
                <c:pt idx="43">
                  <c:v>6.8934140802422412</c:v>
                </c:pt>
                <c:pt idx="44">
                  <c:v>7.3174948944860443</c:v>
                </c:pt>
                <c:pt idx="45">
                  <c:v>7.7384615384615385</c:v>
                </c:pt>
                <c:pt idx="46">
                  <c:v>8.15684740078256</c:v>
                </c:pt>
                <c:pt idx="47">
                  <c:v>8.5730749617542088</c:v>
                </c:pt>
                <c:pt idx="48">
                  <c:v>8.9874824848201769</c:v>
                </c:pt>
                <c:pt idx="49">
                  <c:v>9.4003434950622591</c:v>
                </c:pt>
                <c:pt idx="50">
                  <c:v>9.8118811881188126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A-4432-9FA7-4297A9B39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67833"/>
        <c:axId val="96782739"/>
      </c:scatterChart>
      <c:valAx>
        <c:axId val="5686783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11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96782739"/>
        <c:crosses val="autoZero"/>
        <c:crossBetween val="midCat"/>
      </c:valAx>
      <c:valAx>
        <c:axId val="967827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5686783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400" b="1" strike="noStrike" spc="-1">
                <a:solidFill>
                  <a:srgbClr val="000000"/>
                </a:solidFill>
                <a:latin typeface="Calibri"/>
              </a:rPr>
              <a:t>y = log₂(2·x)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8874212048200784E-2"/>
          <c:y val="0.1204405979981417"/>
          <c:w val="0.92782901924007444"/>
          <c:h val="0.83009714409707736"/>
        </c:manualLayout>
      </c:layout>
      <c:lineChart>
        <c:grouping val="standard"/>
        <c:varyColors val="0"/>
        <c:ser>
          <c:idx val="0"/>
          <c:order val="0"/>
          <c:spPr>
            <a:ln w="28440" cap="rnd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'Задание 2'!$A$2:$A$51</c:f>
              <c:numCache>
                <c:formatCode>General</c:formatCode>
                <c:ptCount val="5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</c:numCache>
            </c:numRef>
          </c:cat>
          <c:val>
            <c:numRef>
              <c:f>'Задание 2'!$B$2:$B$51</c:f>
              <c:numCache>
                <c:formatCode>General</c:formatCode>
                <c:ptCount val="50"/>
                <c:pt idx="0">
                  <c:v>-2.3219280948873622</c:v>
                </c:pt>
                <c:pt idx="1">
                  <c:v>-1.3219280948873622</c:v>
                </c:pt>
                <c:pt idx="2">
                  <c:v>-0.73696559416620622</c:v>
                </c:pt>
                <c:pt idx="3">
                  <c:v>-0.32192809488736229</c:v>
                </c:pt>
                <c:pt idx="4">
                  <c:v>0</c:v>
                </c:pt>
                <c:pt idx="5">
                  <c:v>0.26303440583379378</c:v>
                </c:pt>
                <c:pt idx="6">
                  <c:v>0.48542682717024171</c:v>
                </c:pt>
                <c:pt idx="7">
                  <c:v>0.67807190511263782</c:v>
                </c:pt>
                <c:pt idx="8">
                  <c:v>0.84799690655495008</c:v>
                </c:pt>
                <c:pt idx="9">
                  <c:v>1</c:v>
                </c:pt>
                <c:pt idx="10">
                  <c:v>1.1375035237499351</c:v>
                </c:pt>
                <c:pt idx="11">
                  <c:v>1.2630344058337937</c:v>
                </c:pt>
                <c:pt idx="12">
                  <c:v>1.3785116232537298</c:v>
                </c:pt>
                <c:pt idx="13">
                  <c:v>1.4854268271702415</c:v>
                </c:pt>
                <c:pt idx="14">
                  <c:v>1.5849625007211563</c:v>
                </c:pt>
                <c:pt idx="15">
                  <c:v>1.6780719051126378</c:v>
                </c:pt>
                <c:pt idx="16">
                  <c:v>1.7655347463629771</c:v>
                </c:pt>
                <c:pt idx="17">
                  <c:v>1.84799690655495</c:v>
                </c:pt>
                <c:pt idx="18">
                  <c:v>1.925999418556223</c:v>
                </c:pt>
                <c:pt idx="19">
                  <c:v>2</c:v>
                </c:pt>
                <c:pt idx="20">
                  <c:v>2.0703893278913981</c:v>
                </c:pt>
                <c:pt idx="21">
                  <c:v>2.1375035237499351</c:v>
                </c:pt>
                <c:pt idx="22">
                  <c:v>2.2016338611696504</c:v>
                </c:pt>
                <c:pt idx="23">
                  <c:v>2.2630344058337939</c:v>
                </c:pt>
                <c:pt idx="24">
                  <c:v>2.3219280948873622</c:v>
                </c:pt>
                <c:pt idx="25">
                  <c:v>2.37851162325373</c:v>
                </c:pt>
                <c:pt idx="26">
                  <c:v>2.4329594072761065</c:v>
                </c:pt>
                <c:pt idx="27">
                  <c:v>2.485426827170242</c:v>
                </c:pt>
                <c:pt idx="28">
                  <c:v>2.5360529002402097</c:v>
                </c:pt>
                <c:pt idx="29">
                  <c:v>2.5849625007211561</c:v>
                </c:pt>
                <c:pt idx="30">
                  <c:v>2.6322682154995132</c:v>
                </c:pt>
                <c:pt idx="31">
                  <c:v>2.6780719051126378</c:v>
                </c:pt>
                <c:pt idx="32">
                  <c:v>2.7224660244710912</c:v>
                </c:pt>
                <c:pt idx="33">
                  <c:v>2.7655347463629774</c:v>
                </c:pt>
                <c:pt idx="34">
                  <c:v>2.8073549220576042</c:v>
                </c:pt>
                <c:pt idx="35">
                  <c:v>2.84799690655495</c:v>
                </c:pt>
                <c:pt idx="36">
                  <c:v>2.8875252707415879</c:v>
                </c:pt>
                <c:pt idx="37">
                  <c:v>2.925999418556223</c:v>
                </c:pt>
                <c:pt idx="38">
                  <c:v>2.9634741239748865</c:v>
                </c:pt>
                <c:pt idx="39">
                  <c:v>3</c:v>
                </c:pt>
                <c:pt idx="40">
                  <c:v>3.0356239097307216</c:v>
                </c:pt>
                <c:pt idx="41">
                  <c:v>3.0703893278913981</c:v>
                </c:pt>
                <c:pt idx="42">
                  <c:v>3.1043366598147353</c:v>
                </c:pt>
                <c:pt idx="43">
                  <c:v>3.1375035237499351</c:v>
                </c:pt>
                <c:pt idx="44">
                  <c:v>3.1699250014423126</c:v>
                </c:pt>
                <c:pt idx="45">
                  <c:v>3.2016338611696504</c:v>
                </c:pt>
                <c:pt idx="46">
                  <c:v>3.2326607567902754</c:v>
                </c:pt>
                <c:pt idx="47">
                  <c:v>3.2630344058337939</c:v>
                </c:pt>
                <c:pt idx="48">
                  <c:v>3.2927817492278462</c:v>
                </c:pt>
                <c:pt idx="49">
                  <c:v>3.3219280948873626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05-415C-8896-A5E32F15D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7450456"/>
        <c:axId val="86509941"/>
      </c:lineChart>
      <c:catAx>
        <c:axId val="37450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86509941"/>
        <c:crosses val="autoZero"/>
        <c:auto val="1"/>
        <c:lblAlgn val="ctr"/>
        <c:lblOffset val="100"/>
        <c:noMultiLvlLbl val="0"/>
      </c:catAx>
      <c:valAx>
        <c:axId val="8650994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374504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ru-RU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ru-RU" sz="1400" b="0" strike="noStrike" spc="-1">
                <a:solidFill>
                  <a:srgbClr val="595959"/>
                </a:solidFill>
                <a:latin typeface="Calibri"/>
              </a:rPr>
              <a:t>Астроида</a:t>
            </a:r>
          </a:p>
        </c:rich>
      </c:tx>
      <c:layout>
        <c:manualLayout>
          <c:xMode val="edge"/>
          <c:yMode val="edge"/>
          <c:x val="0.306613668985315"/>
          <c:y val="4.19400855920114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Астроида!$A$2:$A$102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</c:numCache>
            </c:numRef>
          </c:xVal>
          <c:yVal>
            <c:numRef>
              <c:f>Астроида!$B$2:$B$102</c:f>
              <c:numCache>
                <c:formatCode>General</c:formatCode>
                <c:ptCount val="101"/>
                <c:pt idx="0">
                  <c:v>1</c:v>
                </c:pt>
                <c:pt idx="1">
                  <c:v>0.99940013998373434</c:v>
                </c:pt>
                <c:pt idx="2">
                  <c:v>0.99760223895919997</c:v>
                </c:pt>
                <c:pt idx="3">
                  <c:v>0.99461132814843356</c:v>
                </c:pt>
                <c:pt idx="4">
                  <c:v>0.99043577343997213</c:v>
                </c:pt>
                <c:pt idx="5">
                  <c:v>0.98508724623992094</c:v>
                </c:pt>
                <c:pt idx="6">
                  <c:v>0.97858068280988342</c:v>
                </c:pt>
                <c:pt idx="7">
                  <c:v>0.97093423223755482</c:v>
                </c:pt>
                <c:pt idx="8">
                  <c:v>0.96216919322654115</c:v>
                </c:pt>
                <c:pt idx="9">
                  <c:v>0.95230993993204727</c:v>
                </c:pt>
                <c:pt idx="10">
                  <c:v>0.94138383710835083</c:v>
                </c:pt>
                <c:pt idx="11">
                  <c:v>0.92942114487229543</c:v>
                </c:pt>
                <c:pt idx="12">
                  <c:v>0.91645491342424612</c:v>
                </c:pt>
                <c:pt idx="13">
                  <c:v>0.90252086810395415</c:v>
                </c:pt>
                <c:pt idx="14">
                  <c:v>0.88765728519340503</c:v>
                </c:pt>
                <c:pt idx="15">
                  <c:v>0.87190485891187053</c:v>
                </c:pt>
                <c:pt idx="16">
                  <c:v>0.85530656007994466</c:v>
                </c:pt>
                <c:pt idx="17">
                  <c:v>0.83790748695917194</c:v>
                </c:pt>
                <c:pt idx="18">
                  <c:v>0.81975470880188606</c:v>
                </c:pt>
                <c:pt idx="19">
                  <c:v>0.80089710267197212</c:v>
                </c:pt>
                <c:pt idx="20">
                  <c:v>0.78138518412133229</c:v>
                </c:pt>
                <c:pt idx="21">
                  <c:v>0.7612709323288035</c:v>
                </c:pt>
                <c:pt idx="22">
                  <c:v>0.74060761032806566</c:v>
                </c:pt>
                <c:pt idx="23">
                  <c:v>0.71944958096860234</c:v>
                </c:pt>
                <c:pt idx="24">
                  <c:v>0.69785211926899937</c:v>
                </c:pt>
                <c:pt idx="25">
                  <c:v>0.67587122183470527</c:v>
                </c:pt>
                <c:pt idx="26">
                  <c:v>0.65356341402280427</c:v>
                </c:pt>
                <c:pt idx="27">
                  <c:v>0.63098555554432556</c:v>
                </c:pt>
                <c:pt idx="28">
                  <c:v>0.60819464520009425</c:v>
                </c:pt>
                <c:pt idx="29">
                  <c:v>0.5852476254491209</c:v>
                </c:pt>
                <c:pt idx="30">
                  <c:v>0.56220118750898695</c:v>
                </c:pt>
                <c:pt idx="31">
                  <c:v>0.53911157768564522</c:v>
                </c:pt>
                <c:pt idx="32">
                  <c:v>0.51603440562549496</c:v>
                </c:pt>
                <c:pt idx="33">
                  <c:v>0.49302445517554477</c:v>
                </c:pt>
                <c:pt idx="34">
                  <c:v>0.47013549852796799</c:v>
                </c:pt>
                <c:pt idx="35">
                  <c:v>0.44742011431340206</c:v>
                </c:pt>
                <c:pt idx="36">
                  <c:v>0.42492951029301818</c:v>
                </c:pt>
                <c:pt idx="37">
                  <c:v>0.40271335128270863</c:v>
                </c:pt>
                <c:pt idx="38">
                  <c:v>0.38081959292379253</c:v>
                </c:pt>
                <c:pt idx="39">
                  <c:v>0.35929432189348243</c:v>
                </c:pt>
                <c:pt idx="40">
                  <c:v>0.33818160312506262</c:v>
                </c:pt>
                <c:pt idx="41">
                  <c:v>0.31752333458238696</c:v>
                </c:pt>
                <c:pt idx="42">
                  <c:v>0.29735911010600857</c:v>
                </c:pt>
                <c:pt idx="43">
                  <c:v>0.27772609081909505</c:v>
                </c:pt>
                <c:pt idx="44">
                  <c:v>0.25865888555036481</c:v>
                </c:pt>
                <c:pt idx="45">
                  <c:v>0.24018944069873299</c:v>
                </c:pt>
                <c:pt idx="46">
                  <c:v>0.22234693993026391</c:v>
                </c:pt>
                <c:pt idx="47">
                  <c:v>0.20515771406254696</c:v>
                </c:pt>
                <c:pt idx="48">
                  <c:v>0.18864516145484883</c:v>
                </c:pt>
                <c:pt idx="49">
                  <c:v>0.17282967918449194</c:v>
                </c:pt>
                <c:pt idx="50">
                  <c:v>0.15772860525099347</c:v>
                </c:pt>
                <c:pt idx="51">
                  <c:v>0.1433561720097255</c:v>
                </c:pt>
                <c:pt idx="52">
                  <c:v>0.12972347099635173</c:v>
                </c:pt>
                <c:pt idx="53">
                  <c:v>0.1168384292622154</c:v>
                </c:pt>
                <c:pt idx="54">
                  <c:v>0.1047057972993474</c:v>
                </c:pt>
                <c:pt idx="55">
                  <c:v>9.332714859196678E-2</c:v>
                </c:pt>
                <c:pt idx="56">
                  <c:v>8.2700890789431616E-2</c:v>
                </c:pt>
                <c:pt idx="57">
                  <c:v>7.2822288453693901E-2</c:v>
                </c:pt>
                <c:pt idx="58">
                  <c:v>6.3683497292585947E-2</c:v>
                </c:pt>
                <c:pt idx="59">
                  <c:v>5.5273609748860524E-2</c:v>
                </c:pt>
                <c:pt idx="60">
                  <c:v>4.7578711773968448E-2</c:v>
                </c:pt>
                <c:pt idx="61">
                  <c:v>4.0581950575244045E-2</c:v>
                </c:pt>
                <c:pt idx="62">
                  <c:v>3.4263613085612155E-2</c:v>
                </c:pt>
                <c:pt idx="63">
                  <c:v>2.8601214866284305E-2</c:v>
                </c:pt>
                <c:pt idx="64">
                  <c:v>2.3569599115307312E-2</c:v>
                </c:pt>
                <c:pt idx="65">
                  <c:v>1.9141045418405511E-2</c:v>
                </c:pt>
                <c:pt idx="66">
                  <c:v>1.5285387843445653E-2</c:v>
                </c:pt>
                <c:pt idx="67">
                  <c:v>1.1970141946179787E-2</c:v>
                </c:pt>
                <c:pt idx="68">
                  <c:v>9.1606402228066441E-3</c:v>
                </c:pt>
                <c:pt idx="69">
                  <c:v>6.820175514451206E-3</c:v>
                </c:pt>
                <c:pt idx="70">
                  <c:v>4.9101518400058181E-3</c:v>
                </c:pt>
                <c:pt idx="71">
                  <c:v>3.3902421070074202E-3</c:v>
                </c:pt>
                <c:pt idx="72">
                  <c:v>2.2185521254389899E-3</c:v>
                </c:pt>
                <c:pt idx="73">
                  <c:v>1.351790326631308E-3</c:v>
                </c:pt>
                <c:pt idx="74">
                  <c:v>7.4544256888238577E-4</c:v>
                </c:pt>
                <c:pt idx="75">
                  <c:v>3.5395139308225601E-4</c:v>
                </c:pt>
                <c:pt idx="76">
                  <c:v>1.3089907559560142E-4</c:v>
                </c:pt>
                <c:pt idx="77">
                  <c:v>2.919381197167691E-5</c:v>
                </c:pt>
                <c:pt idx="78">
                  <c:v>1.2583537694728443E-6</c:v>
                </c:pt>
                <c:pt idx="79">
                  <c:v>-7.7958805337150398E-7</c:v>
                </c:pt>
                <c:pt idx="80">
                  <c:v>-2.4895866104902554E-5</c:v>
                </c:pt>
                <c:pt idx="81">
                  <c:v>-1.1897804266213519E-4</c:v>
                </c:pt>
                <c:pt idx="82">
                  <c:v>-3.30633857056929E-4</c:v>
                </c:pt>
                <c:pt idx="83">
                  <c:v>-7.07000711330441E-4</c:v>
                </c:pt>
                <c:pt idx="84">
                  <c:v>-1.2945568674729306E-3</c:v>
                </c:pt>
                <c:pt idx="85">
                  <c:v>-2.1389350433983698E-3</c:v>
                </c:pt>
                <c:pt idx="86">
                  <c:v>-3.2847390861597586E-3</c:v>
                </c:pt>
                <c:pt idx="87">
                  <c:v>-4.7753643898226653E-3</c:v>
                </c:pt>
                <c:pt idx="88">
                  <c:v>-6.6528227119210552E-3</c:v>
                </c:pt>
                <c:pt idx="89">
                  <c:v>-8.9575720265695248E-3</c:v>
                </c:pt>
                <c:pt idx="90">
                  <c:v>-1.1728352034156708E-2</c:v>
                </c:pt>
                <c:pt idx="91">
                  <c:v>-1.5002025927161213E-2</c:v>
                </c:pt>
                <c:pt idx="92">
                  <c:v>-1.8813428989087267E-2</c:v>
                </c:pt>
                <c:pt idx="93">
                  <c:v>-2.3195224578893479E-2</c:v>
                </c:pt>
                <c:pt idx="94">
                  <c:v>-2.8177768026673478E-2</c:v>
                </c:pt>
                <c:pt idx="95">
                  <c:v>-3.3788978937837624E-2</c:v>
                </c:pt>
                <c:pt idx="96">
                  <c:v>-4.0054222372741574E-2</c:v>
                </c:pt>
                <c:pt idx="97">
                  <c:v>-4.6996199336723547E-2</c:v>
                </c:pt>
                <c:pt idx="98">
                  <c:v>-5.4634846981956108E-2</c:v>
                </c:pt>
                <c:pt idx="99">
                  <c:v>-6.2987248887517625E-2</c:v>
                </c:pt>
                <c:pt idx="100">
                  <c:v>-7.2067555747765299E-2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BE-429D-91D2-32FF1068AD3F}"/>
            </c:ext>
          </c:extLst>
        </c:ser>
        <c:ser>
          <c:idx val="1"/>
          <c:order val="1"/>
          <c:spPr>
            <a:ln w="1908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Астроида!$A$2:$A$102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</c:numCache>
            </c:numRef>
          </c:xVal>
          <c:yVal>
            <c:numRef>
              <c:f>Астроида!$C$2:$C$102</c:f>
              <c:numCache>
                <c:formatCode>General</c:formatCode>
                <c:ptCount val="101"/>
                <c:pt idx="0">
                  <c:v>0</c:v>
                </c:pt>
                <c:pt idx="1">
                  <c:v>7.9984001386597267E-6</c:v>
                </c:pt>
                <c:pt idx="2">
                  <c:v>6.3948817745779598E-5</c:v>
                </c:pt>
                <c:pt idx="3">
                  <c:v>2.1561150312740478E-4</c:v>
                </c:pt>
                <c:pt idx="4">
                  <c:v>5.1036387009586852E-4</c:v>
                </c:pt>
                <c:pt idx="5">
                  <c:v>9.9501081978622063E-4</c:v>
                </c:pt>
                <c:pt idx="6">
                  <c:v>1.715597147917026E-3</c:v>
                </c:pt>
                <c:pt idx="7">
                  <c:v>2.7172227182848153E-3</c:v>
                </c:pt>
                <c:pt idx="8">
                  <c:v>4.0438610753137511E-3</c:v>
                </c:pt>
                <c:pt idx="9">
                  <c:v>5.7381821560898568E-3</c:v>
                </c:pt>
                <c:pt idx="10">
                  <c:v>7.8413797475370712E-3</c:v>
                </c:pt>
                <c:pt idx="11">
                  <c:v>1.0393004317293543E-2</c:v>
                </c:pt>
                <c:pt idx="12">
                  <c:v>1.3430801827482653E-2</c:v>
                </c:pt>
                <c:pt idx="13">
                  <c:v>1.699055911901378E-2</c:v>
                </c:pt>
                <c:pt idx="14">
                  <c:v>2.1105956430370477E-2</c:v>
                </c:pt>
                <c:pt idx="15">
                  <c:v>2.5808427589133827E-2</c:v>
                </c:pt>
                <c:pt idx="16">
                  <c:v>3.1127028386838753E-2</c:v>
                </c:pt>
                <c:pt idx="17">
                  <c:v>3.7088313618270072E-2</c:v>
                </c:pt>
                <c:pt idx="18">
                  <c:v>4.3716223235080599E-2</c:v>
                </c:pt>
                <c:pt idx="19">
                  <c:v>5.1031978030766194E-2</c:v>
                </c:pt>
                <c:pt idx="20">
                  <c:v>5.9053985239681292E-2</c:v>
                </c:pt>
                <c:pt idx="21">
                  <c:v>6.7797754397048687E-2</c:v>
                </c:pt>
                <c:pt idx="22">
                  <c:v>7.7275823769933388E-2</c:v>
                </c:pt>
                <c:pt idx="23">
                  <c:v>8.7497697631049906E-2</c:v>
                </c:pt>
                <c:pt idx="24">
                  <c:v>9.8469794608190567E-2</c:v>
                </c:pt>
                <c:pt idx="25">
                  <c:v>0.11019540730213864</c:v>
                </c:pt>
                <c:pt idx="26">
                  <c:v>0.12267467332531098</c:v>
                </c:pt>
                <c:pt idx="27">
                  <c:v>0.1359045578722039</c:v>
                </c:pt>
                <c:pt idx="28">
                  <c:v>0.14987884789114356</c:v>
                </c:pt>
                <c:pt idx="29">
                  <c:v>0.16458815788501679</c:v>
                </c:pt>
                <c:pt idx="30">
                  <c:v>0.18001994732672774</c:v>
                </c:pt>
                <c:pt idx="31">
                  <c:v>0.19615854963325027</c:v>
                </c:pt>
                <c:pt idx="32">
                  <c:v>0.21298521260046285</c:v>
                </c:pt>
                <c:pt idx="33">
                  <c:v>0.23047815015962289</c:v>
                </c:pt>
                <c:pt idx="34">
                  <c:v>0.24861260527550658</c:v>
                </c:pt>
                <c:pt idx="35">
                  <c:v>0.26736092376604981</c:v>
                </c:pt>
                <c:pt idx="36">
                  <c:v>0.28669263878393397</c:v>
                </c:pt>
                <c:pt idx="37">
                  <c:v>0.30657456566208713</c:v>
                </c:pt>
                <c:pt idx="38">
                  <c:v>0.32697090678768298</c:v>
                </c:pt>
                <c:pt idx="39">
                  <c:v>0.34784336613302608</c:v>
                </c:pt>
                <c:pt idx="40">
                  <c:v>0.36915127303685441</c:v>
                </c:pt>
                <c:pt idx="41">
                  <c:v>0.39085171479619873</c:v>
                </c:pt>
                <c:pt idx="42">
                  <c:v>0.41289967759712398</c:v>
                </c:pt>
                <c:pt idx="43">
                  <c:v>0.43524819528255243</c:v>
                </c:pt>
                <c:pt idx="44">
                  <c:v>0.4578485054270649</c:v>
                </c:pt>
                <c:pt idx="45">
                  <c:v>0.48065021216215509</c:v>
                </c:pt>
                <c:pt idx="46">
                  <c:v>0.50360145517101063</c:v>
                </c:pt>
                <c:pt idx="47">
                  <c:v>0.52664908424957213</c:v>
                </c:pt>
                <c:pt idx="48">
                  <c:v>0.54973883881047103</c:v>
                </c:pt>
                <c:pt idx="49">
                  <c:v>0.57281553168853527</c:v>
                </c:pt>
                <c:pt idx="50">
                  <c:v>0.5958232365909556</c:v>
                </c:pt>
                <c:pt idx="51">
                  <c:v>0.61870547852195501</c:v>
                </c:pt>
                <c:pt idx="52">
                  <c:v>0.64140542650097987</c:v>
                </c:pt>
                <c:pt idx="53">
                  <c:v>0.66386608788504853</c:v>
                </c:pt>
                <c:pt idx="54">
                  <c:v>0.68603050359998774</c:v>
                </c:pt>
                <c:pt idx="55">
                  <c:v>0.70784194358188879</c:v>
                </c:pt>
                <c:pt idx="56">
                  <c:v>0.72924410172922394</c:v>
                </c:pt>
                <c:pt idx="57">
                  <c:v>0.75018128966769326</c:v>
                </c:pt>
                <c:pt idx="58">
                  <c:v>0.77059862863400852</c:v>
                </c:pt>
                <c:pt idx="59">
                  <c:v>0.7904422387914477</c:v>
                </c:pt>
                <c:pt idx="60">
                  <c:v>0.80965942529913271</c:v>
                </c:pt>
                <c:pt idx="61">
                  <c:v>0.82819886046851199</c:v>
                </c:pt>
                <c:pt idx="62">
                  <c:v>0.84601076135447595</c:v>
                </c:pt>
                <c:pt idx="63">
                  <c:v>0.86304706214482785</c:v>
                </c:pt>
                <c:pt idx="64">
                  <c:v>0.87926158073039584</c:v>
                </c:pt>
                <c:pt idx="65">
                  <c:v>0.89461017885888816</c:v>
                </c:pt>
                <c:pt idx="66">
                  <c:v>0.90905091529852367</c:v>
                </c:pt>
                <c:pt idx="67">
                  <c:v>0.92254419146249567</c:v>
                </c:pt>
                <c:pt idx="68">
                  <c:v>0.93505288897229744</c:v>
                </c:pt>
                <c:pt idx="69">
                  <c:v>0.94654249866681828</c:v>
                </c:pt>
                <c:pt idx="70">
                  <c:v>0.9569812405947421</c:v>
                </c:pt>
                <c:pt idx="71">
                  <c:v>0.96634017456008414</c:v>
                </c:pt>
                <c:pt idx="72">
                  <c:v>0.97459330082456175</c:v>
                </c:pt>
                <c:pt idx="73">
                  <c:v>0.98171765060574956</c:v>
                </c:pt>
                <c:pt idx="74">
                  <c:v>0.98769336604655911</c:v>
                </c:pt>
                <c:pt idx="75">
                  <c:v>0.99250376936931506</c:v>
                </c:pt>
                <c:pt idx="76">
                  <c:v>0.99613542096646979</c:v>
                </c:pt>
                <c:pt idx="77">
                  <c:v>0.99857816621967055</c:v>
                </c:pt>
                <c:pt idx="78">
                  <c:v>0.99982517087929579</c:v>
                </c:pt>
                <c:pt idx="79">
                  <c:v>0.99987294487760148</c:v>
                </c:pt>
                <c:pt idx="80">
                  <c:v>0.99872135449008892</c:v>
                </c:pt>
                <c:pt idx="81">
                  <c:v>0.99637362280148534</c:v>
                </c:pt>
                <c:pt idx="82">
                  <c:v>0.99283631847466491</c:v>
                </c:pt>
                <c:pt idx="83">
                  <c:v>0.98811933286278519</c:v>
                </c:pt>
                <c:pt idx="84">
                  <c:v>0.98223584554670917</c:v>
                </c:pt>
                <c:pt idx="85">
                  <c:v>0.97520227842128437</c:v>
                </c:pt>
                <c:pt idx="86">
                  <c:v>0.96703823849511483</c:v>
                </c:pt>
                <c:pt idx="87">
                  <c:v>0.95776644960892066</c:v>
                </c:pt>
                <c:pt idx="88">
                  <c:v>0.94741267331731804</c:v>
                </c:pt>
                <c:pt idx="89">
                  <c:v>0.93600561921768832</c:v>
                </c:pt>
                <c:pt idx="90">
                  <c:v>0.92357684504764315</c:v>
                </c:pt>
                <c:pt idx="91">
                  <c:v>0.91016064690925613</c:v>
                </c:pt>
                <c:pt idx="92">
                  <c:v>0.89579394001361767</c:v>
                </c:pt>
                <c:pt idx="93">
                  <c:v>0.8805161303732314</c:v>
                </c:pt>
                <c:pt idx="94">
                  <c:v>0.86436897790220735</c:v>
                </c:pt>
                <c:pt idx="95">
                  <c:v>0.84739645141497033</c:v>
                </c:pt>
                <c:pt idx="96">
                  <c:v>0.82964457604321928</c:v>
                </c:pt>
                <c:pt idx="97">
                  <c:v>0.81116127361800794</c:v>
                </c:pt>
                <c:pt idx="98">
                  <c:v>0.79199619658898968</c:v>
                </c:pt>
                <c:pt idx="99">
                  <c:v>0.77220055607598348</c:v>
                </c:pt>
                <c:pt idx="100">
                  <c:v>0.7518269446689928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BE-429D-91D2-32FF1068A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97165"/>
        <c:axId val="62450673"/>
      </c:scatterChart>
      <c:valAx>
        <c:axId val="4959716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62450673"/>
        <c:crosses val="autoZero"/>
        <c:crossBetween val="midCat"/>
      </c:valAx>
      <c:valAx>
        <c:axId val="6245067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4959716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'y1'!$B$1</c:f>
              <c:strCache>
                <c:ptCount val="1"/>
                <c:pt idx="0">
                  <c:v>y1</c:v>
                </c:pt>
              </c:strCache>
            </c:strRef>
          </c:tx>
          <c:spPr>
            <a:ln w="28440" cap="rnd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'y1'!$A$2:$A$102</c:f>
              <c:numCache>
                <c:formatCode>General</c:formatCode>
                <c:ptCount val="101"/>
                <c:pt idx="0">
                  <c:v>-10</c:v>
                </c:pt>
                <c:pt idx="1">
                  <c:v>-9.8000000000000007</c:v>
                </c:pt>
                <c:pt idx="2">
                  <c:v>-9.6</c:v>
                </c:pt>
                <c:pt idx="3">
                  <c:v>-9.4</c:v>
                </c:pt>
                <c:pt idx="4">
                  <c:v>-9.1999999999999993</c:v>
                </c:pt>
                <c:pt idx="5">
                  <c:v>-9</c:v>
                </c:pt>
                <c:pt idx="6">
                  <c:v>-8.8000000000000007</c:v>
                </c:pt>
                <c:pt idx="7">
                  <c:v>-8.6</c:v>
                </c:pt>
                <c:pt idx="8">
                  <c:v>-8.4</c:v>
                </c:pt>
                <c:pt idx="9">
                  <c:v>-8.1999999999999993</c:v>
                </c:pt>
                <c:pt idx="10">
                  <c:v>-8</c:v>
                </c:pt>
                <c:pt idx="11">
                  <c:v>-7.8</c:v>
                </c:pt>
                <c:pt idx="12">
                  <c:v>-7.6</c:v>
                </c:pt>
                <c:pt idx="13">
                  <c:v>-7.4</c:v>
                </c:pt>
                <c:pt idx="14">
                  <c:v>-7.2</c:v>
                </c:pt>
                <c:pt idx="15">
                  <c:v>-7</c:v>
                </c:pt>
                <c:pt idx="16">
                  <c:v>-6.8</c:v>
                </c:pt>
                <c:pt idx="17">
                  <c:v>-6.6</c:v>
                </c:pt>
                <c:pt idx="18">
                  <c:v>-6.4</c:v>
                </c:pt>
                <c:pt idx="19">
                  <c:v>-6.2</c:v>
                </c:pt>
                <c:pt idx="20">
                  <c:v>-6</c:v>
                </c:pt>
                <c:pt idx="21">
                  <c:v>-5.8</c:v>
                </c:pt>
                <c:pt idx="22">
                  <c:v>-5.6</c:v>
                </c:pt>
                <c:pt idx="23">
                  <c:v>-5.4</c:v>
                </c:pt>
                <c:pt idx="24">
                  <c:v>-5.2</c:v>
                </c:pt>
                <c:pt idx="25">
                  <c:v>-5</c:v>
                </c:pt>
                <c:pt idx="26">
                  <c:v>-4.8</c:v>
                </c:pt>
                <c:pt idx="27">
                  <c:v>-4.5999999999999996</c:v>
                </c:pt>
                <c:pt idx="28">
                  <c:v>-4.4000000000000004</c:v>
                </c:pt>
                <c:pt idx="29">
                  <c:v>-4.2</c:v>
                </c:pt>
                <c:pt idx="30">
                  <c:v>-4</c:v>
                </c:pt>
                <c:pt idx="31">
                  <c:v>-3.8</c:v>
                </c:pt>
                <c:pt idx="32">
                  <c:v>-3.6</c:v>
                </c:pt>
                <c:pt idx="33">
                  <c:v>-3.4</c:v>
                </c:pt>
                <c:pt idx="34">
                  <c:v>-3.2</c:v>
                </c:pt>
                <c:pt idx="35">
                  <c:v>-3</c:v>
                </c:pt>
                <c:pt idx="36">
                  <c:v>-2.8</c:v>
                </c:pt>
                <c:pt idx="37">
                  <c:v>-2.6</c:v>
                </c:pt>
                <c:pt idx="38">
                  <c:v>-2.4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-1.8</c:v>
                </c:pt>
                <c:pt idx="42">
                  <c:v>-1.6</c:v>
                </c:pt>
                <c:pt idx="43">
                  <c:v>-1.4</c:v>
                </c:pt>
                <c:pt idx="44">
                  <c:v>-1.2</c:v>
                </c:pt>
                <c:pt idx="45">
                  <c:v>-1</c:v>
                </c:pt>
                <c:pt idx="46">
                  <c:v>-0.8</c:v>
                </c:pt>
                <c:pt idx="47">
                  <c:v>-0.6</c:v>
                </c:pt>
                <c:pt idx="48">
                  <c:v>-0.4</c:v>
                </c:pt>
                <c:pt idx="49">
                  <c:v>-0.2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5.6</c:v>
                </c:pt>
                <c:pt idx="79">
                  <c:v>5.8</c:v>
                </c:pt>
                <c:pt idx="80">
                  <c:v>6</c:v>
                </c:pt>
                <c:pt idx="81">
                  <c:v>6.2</c:v>
                </c:pt>
                <c:pt idx="82">
                  <c:v>6.4</c:v>
                </c:pt>
                <c:pt idx="83">
                  <c:v>6.6</c:v>
                </c:pt>
                <c:pt idx="84">
                  <c:v>6.8</c:v>
                </c:pt>
                <c:pt idx="85">
                  <c:v>7</c:v>
                </c:pt>
                <c:pt idx="86">
                  <c:v>7.2</c:v>
                </c:pt>
                <c:pt idx="87">
                  <c:v>7.4</c:v>
                </c:pt>
                <c:pt idx="88">
                  <c:v>7.6</c:v>
                </c:pt>
                <c:pt idx="89">
                  <c:v>7.8</c:v>
                </c:pt>
                <c:pt idx="90">
                  <c:v>8</c:v>
                </c:pt>
                <c:pt idx="91">
                  <c:v>8.1999999999999993</c:v>
                </c:pt>
                <c:pt idx="92">
                  <c:v>8.4</c:v>
                </c:pt>
                <c:pt idx="93">
                  <c:v>8.6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9.4</c:v>
                </c:pt>
                <c:pt idx="98">
                  <c:v>9.6</c:v>
                </c:pt>
                <c:pt idx="99">
                  <c:v>9.8000000000000007</c:v>
                </c:pt>
                <c:pt idx="100">
                  <c:v>10</c:v>
                </c:pt>
              </c:numCache>
            </c:numRef>
          </c:cat>
          <c:val>
            <c:numRef>
              <c:f>'y1'!$B$2:$B$102</c:f>
              <c:numCache>
                <c:formatCode>General</c:formatCode>
                <c:ptCount val="101"/>
                <c:pt idx="0">
                  <c:v>-0.5</c:v>
                </c:pt>
                <c:pt idx="1">
                  <c:v>-0.23079646528155431</c:v>
                </c:pt>
                <c:pt idx="2">
                  <c:v>0.49462605203697907</c:v>
                </c:pt>
                <c:pt idx="3">
                  <c:v>1.4549874467258832</c:v>
                </c:pt>
                <c:pt idx="4">
                  <c:v>2.357637454600884</c:v>
                </c:pt>
                <c:pt idx="5">
                  <c:v>2.9270509831248432</c:v>
                </c:pt>
                <c:pt idx="6">
                  <c:v>2.986133490291309</c:v>
                </c:pt>
                <c:pt idx="7">
                  <c:v>2.505309210642884</c:v>
                </c:pt>
                <c:pt idx="8">
                  <c:v>1.6053676799040539</c:v>
                </c:pt>
                <c:pt idx="9">
                  <c:v>0.51523241203871417</c:v>
                </c:pt>
                <c:pt idx="10">
                  <c:v>-0.50000000000000144</c:v>
                </c:pt>
                <c:pt idx="11">
                  <c:v>-1.216889466441005</c:v>
                </c:pt>
                <c:pt idx="12">
                  <c:v>-1.5131974595864499</c:v>
                </c:pt>
                <c:pt idx="13">
                  <c:v>-1.3925520237994435</c:v>
                </c:pt>
                <c:pt idx="14">
                  <c:v>-0.97001641582322939</c:v>
                </c:pt>
                <c:pt idx="15">
                  <c:v>-0.42705098312484147</c:v>
                </c:pt>
                <c:pt idx="16">
                  <c:v>4.6911531718451693E-2</c:v>
                </c:pt>
                <c:pt idx="17">
                  <c:v>0.3069042893420148</c:v>
                </c:pt>
                <c:pt idx="18">
                  <c:v>0.28402024702186768</c:v>
                </c:pt>
                <c:pt idx="19">
                  <c:v>-9.789386347874629E-3</c:v>
                </c:pt>
                <c:pt idx="20">
                  <c:v>-0.50000000000000067</c:v>
                </c:pt>
                <c:pt idx="21">
                  <c:v>-1.0802995799056607</c:v>
                </c:pt>
                <c:pt idx="22">
                  <c:v>-1.6433590053138221</c:v>
                </c:pt>
                <c:pt idx="23">
                  <c:v>-2.1021064369739682</c:v>
                </c:pt>
                <c:pt idx="24">
                  <c:v>-2.3981235748500387</c:v>
                </c:pt>
                <c:pt idx="25">
                  <c:v>-2.5</c:v>
                </c:pt>
                <c:pt idx="26">
                  <c:v>-2.3981235748500382</c:v>
                </c:pt>
                <c:pt idx="27">
                  <c:v>-2.1021064369739668</c:v>
                </c:pt>
                <c:pt idx="28">
                  <c:v>-1.6433590053138218</c:v>
                </c:pt>
                <c:pt idx="29">
                  <c:v>-1.0802995799056596</c:v>
                </c:pt>
                <c:pt idx="30">
                  <c:v>-0.49999999999999956</c:v>
                </c:pt>
                <c:pt idx="31">
                  <c:v>-9.7893863478742404E-3</c:v>
                </c:pt>
                <c:pt idx="32">
                  <c:v>0.28402024702186884</c:v>
                </c:pt>
                <c:pt idx="33">
                  <c:v>0.30690428934201353</c:v>
                </c:pt>
                <c:pt idx="34">
                  <c:v>4.6911531718452248E-2</c:v>
                </c:pt>
                <c:pt idx="35">
                  <c:v>-0.42705098312484258</c:v>
                </c:pt>
                <c:pt idx="36">
                  <c:v>-0.9700164158232315</c:v>
                </c:pt>
                <c:pt idx="37">
                  <c:v>-1.3925520237994433</c:v>
                </c:pt>
                <c:pt idx="38">
                  <c:v>-1.5131974595864504</c:v>
                </c:pt>
                <c:pt idx="39">
                  <c:v>-1.2168894664410046</c:v>
                </c:pt>
                <c:pt idx="40">
                  <c:v>-0.49999999999999967</c:v>
                </c:pt>
                <c:pt idx="41">
                  <c:v>0.51523241203872261</c:v>
                </c:pt>
                <c:pt idx="42">
                  <c:v>1.6053676799040559</c:v>
                </c:pt>
                <c:pt idx="43">
                  <c:v>2.5053092106428854</c:v>
                </c:pt>
                <c:pt idx="44">
                  <c:v>2.9861334902913081</c:v>
                </c:pt>
                <c:pt idx="45">
                  <c:v>2.9270509831248424</c:v>
                </c:pt>
                <c:pt idx="46">
                  <c:v>2.3576374546008778</c:v>
                </c:pt>
                <c:pt idx="47">
                  <c:v>1.454987446725881</c:v>
                </c:pt>
                <c:pt idx="48">
                  <c:v>0.49462605203697807</c:v>
                </c:pt>
                <c:pt idx="49">
                  <c:v>-0.2307964652815524</c:v>
                </c:pt>
                <c:pt idx="50">
                  <c:v>-0.5</c:v>
                </c:pt>
                <c:pt idx="51">
                  <c:v>-0.2307964652815524</c:v>
                </c:pt>
                <c:pt idx="52">
                  <c:v>0.49462605203697807</c:v>
                </c:pt>
                <c:pt idx="53">
                  <c:v>1.454987446725881</c:v>
                </c:pt>
                <c:pt idx="54">
                  <c:v>2.3576374546008778</c:v>
                </c:pt>
                <c:pt idx="55">
                  <c:v>2.9270509831248424</c:v>
                </c:pt>
                <c:pt idx="56">
                  <c:v>2.9861334902913081</c:v>
                </c:pt>
                <c:pt idx="57">
                  <c:v>2.5053092106428854</c:v>
                </c:pt>
                <c:pt idx="58">
                  <c:v>1.6053676799040559</c:v>
                </c:pt>
                <c:pt idx="59">
                  <c:v>0.51523241203872261</c:v>
                </c:pt>
                <c:pt idx="60">
                  <c:v>-0.49999999999999967</c:v>
                </c:pt>
                <c:pt idx="61">
                  <c:v>-1.2168894664410046</c:v>
                </c:pt>
                <c:pt idx="62">
                  <c:v>-1.5131974595864504</c:v>
                </c:pt>
                <c:pt idx="63">
                  <c:v>-1.3925520237994433</c:v>
                </c:pt>
                <c:pt idx="64">
                  <c:v>-0.9700164158232315</c:v>
                </c:pt>
                <c:pt idx="65">
                  <c:v>-0.42705098312484258</c:v>
                </c:pt>
                <c:pt idx="66">
                  <c:v>4.6911531718452248E-2</c:v>
                </c:pt>
                <c:pt idx="67">
                  <c:v>0.30690428934201353</c:v>
                </c:pt>
                <c:pt idx="68">
                  <c:v>0.28402024702186884</c:v>
                </c:pt>
                <c:pt idx="69">
                  <c:v>-9.7893863478742404E-3</c:v>
                </c:pt>
                <c:pt idx="70">
                  <c:v>-0.49999999999999956</c:v>
                </c:pt>
                <c:pt idx="71">
                  <c:v>-1.0802995799056596</c:v>
                </c:pt>
                <c:pt idx="72">
                  <c:v>-1.6433590053138218</c:v>
                </c:pt>
                <c:pt idx="73">
                  <c:v>-2.1021064369739668</c:v>
                </c:pt>
                <c:pt idx="74">
                  <c:v>-2.3981235748500382</c:v>
                </c:pt>
                <c:pt idx="75">
                  <c:v>-2.5</c:v>
                </c:pt>
                <c:pt idx="76">
                  <c:v>-2.3981235748500387</c:v>
                </c:pt>
                <c:pt idx="77">
                  <c:v>-2.1021064369739682</c:v>
                </c:pt>
                <c:pt idx="78">
                  <c:v>-1.6433590053138221</c:v>
                </c:pt>
                <c:pt idx="79">
                  <c:v>-1.0802995799056607</c:v>
                </c:pt>
                <c:pt idx="80">
                  <c:v>-0.50000000000000067</c:v>
                </c:pt>
                <c:pt idx="81">
                  <c:v>-9.789386347874629E-3</c:v>
                </c:pt>
                <c:pt idx="82">
                  <c:v>0.28402024702186768</c:v>
                </c:pt>
                <c:pt idx="83">
                  <c:v>0.3069042893420148</c:v>
                </c:pt>
                <c:pt idx="84">
                  <c:v>4.6911531718451693E-2</c:v>
                </c:pt>
                <c:pt idx="85">
                  <c:v>-0.42705098312484147</c:v>
                </c:pt>
                <c:pt idx="86">
                  <c:v>-0.97001641582322939</c:v>
                </c:pt>
                <c:pt idx="87">
                  <c:v>-1.3925520237994435</c:v>
                </c:pt>
                <c:pt idx="88">
                  <c:v>-1.5131974595864499</c:v>
                </c:pt>
                <c:pt idx="89">
                  <c:v>-1.216889466441005</c:v>
                </c:pt>
                <c:pt idx="90">
                  <c:v>-0.50000000000000144</c:v>
                </c:pt>
                <c:pt idx="91">
                  <c:v>0.51523241203871417</c:v>
                </c:pt>
                <c:pt idx="92">
                  <c:v>1.6053676799040539</c:v>
                </c:pt>
                <c:pt idx="93">
                  <c:v>2.505309210642884</c:v>
                </c:pt>
                <c:pt idx="94">
                  <c:v>2.986133490291309</c:v>
                </c:pt>
                <c:pt idx="95">
                  <c:v>2.9270509831248432</c:v>
                </c:pt>
                <c:pt idx="96">
                  <c:v>2.357637454600884</c:v>
                </c:pt>
                <c:pt idx="97">
                  <c:v>1.4549874467258832</c:v>
                </c:pt>
                <c:pt idx="98">
                  <c:v>0.49462605203697907</c:v>
                </c:pt>
                <c:pt idx="99">
                  <c:v>-0.23079646528155431</c:v>
                </c:pt>
                <c:pt idx="100">
                  <c:v>-0.5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A1-43FC-A431-8C063E7E1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0779316"/>
        <c:axId val="38230271"/>
      </c:lineChart>
      <c:catAx>
        <c:axId val="507793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38230271"/>
        <c:crosses val="autoZero"/>
        <c:auto val="1"/>
        <c:lblAlgn val="ctr"/>
        <c:lblOffset val="100"/>
        <c:noMultiLvlLbl val="0"/>
      </c:catAx>
      <c:valAx>
        <c:axId val="3823027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507793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'y2'!$B$1</c:f>
              <c:strCache>
                <c:ptCount val="1"/>
                <c:pt idx="0">
                  <c:v>y2</c:v>
                </c:pt>
              </c:strCache>
            </c:strRef>
          </c:tx>
          <c:spPr>
            <a:ln w="28440" cap="rnd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'y2'!$A$2:$A$102</c:f>
              <c:numCache>
                <c:formatCode>General</c:formatCode>
                <c:ptCount val="101"/>
                <c:pt idx="0">
                  <c:v>-10</c:v>
                </c:pt>
                <c:pt idx="1">
                  <c:v>-9.8000000000000007</c:v>
                </c:pt>
                <c:pt idx="2">
                  <c:v>-9.6</c:v>
                </c:pt>
                <c:pt idx="3">
                  <c:v>-9.4</c:v>
                </c:pt>
                <c:pt idx="4">
                  <c:v>-9.1999999999999993</c:v>
                </c:pt>
                <c:pt idx="5">
                  <c:v>-9</c:v>
                </c:pt>
                <c:pt idx="6">
                  <c:v>-8.8000000000000007</c:v>
                </c:pt>
                <c:pt idx="7">
                  <c:v>-8.6</c:v>
                </c:pt>
                <c:pt idx="8">
                  <c:v>-8.4</c:v>
                </c:pt>
                <c:pt idx="9">
                  <c:v>-8.1999999999999993</c:v>
                </c:pt>
                <c:pt idx="10">
                  <c:v>-8</c:v>
                </c:pt>
                <c:pt idx="11">
                  <c:v>-7.8</c:v>
                </c:pt>
                <c:pt idx="12">
                  <c:v>-7.6</c:v>
                </c:pt>
                <c:pt idx="13">
                  <c:v>-7.4</c:v>
                </c:pt>
                <c:pt idx="14">
                  <c:v>-7.2</c:v>
                </c:pt>
                <c:pt idx="15">
                  <c:v>-7</c:v>
                </c:pt>
                <c:pt idx="16">
                  <c:v>-6.8</c:v>
                </c:pt>
                <c:pt idx="17">
                  <c:v>-6.6</c:v>
                </c:pt>
                <c:pt idx="18">
                  <c:v>-6.4</c:v>
                </c:pt>
                <c:pt idx="19">
                  <c:v>-6.2</c:v>
                </c:pt>
                <c:pt idx="20">
                  <c:v>-6</c:v>
                </c:pt>
                <c:pt idx="21">
                  <c:v>-5.8</c:v>
                </c:pt>
                <c:pt idx="22">
                  <c:v>-5.6</c:v>
                </c:pt>
                <c:pt idx="23">
                  <c:v>-5.4</c:v>
                </c:pt>
                <c:pt idx="24">
                  <c:v>-5.2</c:v>
                </c:pt>
                <c:pt idx="25">
                  <c:v>-5</c:v>
                </c:pt>
                <c:pt idx="26">
                  <c:v>-4.8</c:v>
                </c:pt>
                <c:pt idx="27">
                  <c:v>-4.5999999999999996</c:v>
                </c:pt>
                <c:pt idx="28">
                  <c:v>-4.4000000000000004</c:v>
                </c:pt>
                <c:pt idx="29">
                  <c:v>-4.2</c:v>
                </c:pt>
                <c:pt idx="30">
                  <c:v>-4</c:v>
                </c:pt>
                <c:pt idx="31">
                  <c:v>-3.8</c:v>
                </c:pt>
                <c:pt idx="32">
                  <c:v>-3.6</c:v>
                </c:pt>
                <c:pt idx="33">
                  <c:v>-3.4</c:v>
                </c:pt>
                <c:pt idx="34">
                  <c:v>-3.2</c:v>
                </c:pt>
                <c:pt idx="35">
                  <c:v>-3</c:v>
                </c:pt>
                <c:pt idx="36">
                  <c:v>-2.8</c:v>
                </c:pt>
                <c:pt idx="37">
                  <c:v>-2.6</c:v>
                </c:pt>
                <c:pt idx="38">
                  <c:v>-2.4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-1.8</c:v>
                </c:pt>
                <c:pt idx="42">
                  <c:v>-1.6</c:v>
                </c:pt>
                <c:pt idx="43">
                  <c:v>-1.4</c:v>
                </c:pt>
                <c:pt idx="44">
                  <c:v>-1.2</c:v>
                </c:pt>
                <c:pt idx="45">
                  <c:v>-1</c:v>
                </c:pt>
                <c:pt idx="46">
                  <c:v>-0.8</c:v>
                </c:pt>
                <c:pt idx="47">
                  <c:v>-0.6</c:v>
                </c:pt>
                <c:pt idx="48">
                  <c:v>-0.4</c:v>
                </c:pt>
                <c:pt idx="49">
                  <c:v>-0.2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5.6</c:v>
                </c:pt>
                <c:pt idx="79">
                  <c:v>5.8</c:v>
                </c:pt>
                <c:pt idx="80">
                  <c:v>6</c:v>
                </c:pt>
                <c:pt idx="81">
                  <c:v>6.2</c:v>
                </c:pt>
                <c:pt idx="82">
                  <c:v>6.4</c:v>
                </c:pt>
                <c:pt idx="83">
                  <c:v>6.6</c:v>
                </c:pt>
                <c:pt idx="84">
                  <c:v>6.8</c:v>
                </c:pt>
                <c:pt idx="85">
                  <c:v>7</c:v>
                </c:pt>
                <c:pt idx="86">
                  <c:v>7.2</c:v>
                </c:pt>
                <c:pt idx="87">
                  <c:v>7.4</c:v>
                </c:pt>
                <c:pt idx="88">
                  <c:v>7.6</c:v>
                </c:pt>
                <c:pt idx="89">
                  <c:v>7.8</c:v>
                </c:pt>
                <c:pt idx="90">
                  <c:v>8</c:v>
                </c:pt>
                <c:pt idx="91">
                  <c:v>8.1999999999999993</c:v>
                </c:pt>
                <c:pt idx="92">
                  <c:v>8.4</c:v>
                </c:pt>
                <c:pt idx="93">
                  <c:v>8.6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9.4</c:v>
                </c:pt>
                <c:pt idx="98">
                  <c:v>9.6</c:v>
                </c:pt>
                <c:pt idx="99">
                  <c:v>9.8000000000000007</c:v>
                </c:pt>
                <c:pt idx="100">
                  <c:v>10</c:v>
                </c:pt>
              </c:numCache>
            </c:numRef>
          </c:cat>
          <c:val>
            <c:numRef>
              <c:f>'y2'!$B$2:$B$102</c:f>
              <c:numCache>
                <c:formatCode>General</c:formatCode>
                <c:ptCount val="101"/>
                <c:pt idx="0">
                  <c:v>2.0000000000000004</c:v>
                </c:pt>
                <c:pt idx="1">
                  <c:v>-1.7371344439404339</c:v>
                </c:pt>
                <c:pt idx="2">
                  <c:v>2.2245139882897922</c:v>
                </c:pt>
                <c:pt idx="3">
                  <c:v>-2.4253254041760219</c:v>
                </c:pt>
                <c:pt idx="4">
                  <c:v>-0.48989828488280951</c:v>
                </c:pt>
                <c:pt idx="5">
                  <c:v>0</c:v>
                </c:pt>
                <c:pt idx="6">
                  <c:v>4.4898982848827957</c:v>
                </c:pt>
                <c:pt idx="7">
                  <c:v>-1.5746745958239821</c:v>
                </c:pt>
                <c:pt idx="8">
                  <c:v>1.7754860117102069</c:v>
                </c:pt>
                <c:pt idx="9">
                  <c:v>-2.2628655560595656</c:v>
                </c:pt>
                <c:pt idx="10">
                  <c:v>2.0000000000000004</c:v>
                </c:pt>
                <c:pt idx="11">
                  <c:v>-1.737134443940433</c:v>
                </c:pt>
                <c:pt idx="12">
                  <c:v>2.2245139882897922</c:v>
                </c:pt>
                <c:pt idx="13">
                  <c:v>-2.4253254041760215</c:v>
                </c:pt>
                <c:pt idx="14">
                  <c:v>-0.48989828488278508</c:v>
                </c:pt>
                <c:pt idx="15">
                  <c:v>0</c:v>
                </c:pt>
                <c:pt idx="16">
                  <c:v>4.4898982848827753</c:v>
                </c:pt>
                <c:pt idx="17">
                  <c:v>-1.5746745958239814</c:v>
                </c:pt>
                <c:pt idx="18">
                  <c:v>1.7754860117102069</c:v>
                </c:pt>
                <c:pt idx="19">
                  <c:v>-2.2628655560595665</c:v>
                </c:pt>
                <c:pt idx="20">
                  <c:v>2.0000000000000004</c:v>
                </c:pt>
                <c:pt idx="21">
                  <c:v>-1.737134443940433</c:v>
                </c:pt>
                <c:pt idx="22">
                  <c:v>2.2245139882897922</c:v>
                </c:pt>
                <c:pt idx="23">
                  <c:v>-2.425325404176021</c:v>
                </c:pt>
                <c:pt idx="24">
                  <c:v>-0.48989828488278375</c:v>
                </c:pt>
                <c:pt idx="25">
                  <c:v>0</c:v>
                </c:pt>
                <c:pt idx="26">
                  <c:v>4.4898982848827771</c:v>
                </c:pt>
                <c:pt idx="27">
                  <c:v>-1.5746745958239843</c:v>
                </c:pt>
                <c:pt idx="28">
                  <c:v>1.7754860117102078</c:v>
                </c:pt>
                <c:pt idx="29">
                  <c:v>-2.2628655560595665</c:v>
                </c:pt>
                <c:pt idx="30">
                  <c:v>2.0000000000000004</c:v>
                </c:pt>
                <c:pt idx="31">
                  <c:v>-1.737134443940433</c:v>
                </c:pt>
                <c:pt idx="32">
                  <c:v>2.2245139882897926</c:v>
                </c:pt>
                <c:pt idx="33">
                  <c:v>-2.4253254041760206</c:v>
                </c:pt>
                <c:pt idx="34">
                  <c:v>-0.48989828488278286</c:v>
                </c:pt>
                <c:pt idx="35">
                  <c:v>0</c:v>
                </c:pt>
                <c:pt idx="36">
                  <c:v>4.4898982848827789</c:v>
                </c:pt>
                <c:pt idx="37">
                  <c:v>-1.5746745958239807</c:v>
                </c:pt>
                <c:pt idx="38">
                  <c:v>1.7754860117102071</c:v>
                </c:pt>
                <c:pt idx="39">
                  <c:v>-2.262865556059567</c:v>
                </c:pt>
                <c:pt idx="40">
                  <c:v>2</c:v>
                </c:pt>
                <c:pt idx="41">
                  <c:v>-1.737134443940433</c:v>
                </c:pt>
                <c:pt idx="42">
                  <c:v>2.2245139882897926</c:v>
                </c:pt>
                <c:pt idx="43">
                  <c:v>-2.4253254041760202</c:v>
                </c:pt>
                <c:pt idx="44">
                  <c:v>-0.48989828488278198</c:v>
                </c:pt>
                <c:pt idx="45">
                  <c:v>0</c:v>
                </c:pt>
                <c:pt idx="46">
                  <c:v>4.4898982848827789</c:v>
                </c:pt>
                <c:pt idx="47">
                  <c:v>-1.5746745958239803</c:v>
                </c:pt>
                <c:pt idx="48">
                  <c:v>1.7754860117102074</c:v>
                </c:pt>
                <c:pt idx="49">
                  <c:v>-2.262865556059567</c:v>
                </c:pt>
                <c:pt idx="50">
                  <c:v>2</c:v>
                </c:pt>
                <c:pt idx="51">
                  <c:v>-1.7371344439404333</c:v>
                </c:pt>
                <c:pt idx="52">
                  <c:v>2.2245139882897926</c:v>
                </c:pt>
                <c:pt idx="53">
                  <c:v>-2.4253254041760197</c:v>
                </c:pt>
                <c:pt idx="54">
                  <c:v>-0.48989828488277931</c:v>
                </c:pt>
                <c:pt idx="55">
                  <c:v>0</c:v>
                </c:pt>
                <c:pt idx="56">
                  <c:v>4.4898982848827824</c:v>
                </c:pt>
                <c:pt idx="57">
                  <c:v>-1.5746745958239798</c:v>
                </c:pt>
                <c:pt idx="58">
                  <c:v>1.7754860117102074</c:v>
                </c:pt>
                <c:pt idx="59">
                  <c:v>-2.262865556059567</c:v>
                </c:pt>
                <c:pt idx="60">
                  <c:v>1.9999999999999998</c:v>
                </c:pt>
                <c:pt idx="61">
                  <c:v>-1.737134443940433</c:v>
                </c:pt>
                <c:pt idx="62">
                  <c:v>2.2245139882897931</c:v>
                </c:pt>
                <c:pt idx="63">
                  <c:v>-2.4253254041760193</c:v>
                </c:pt>
                <c:pt idx="64">
                  <c:v>-0.48989828488277842</c:v>
                </c:pt>
                <c:pt idx="65">
                  <c:v>0</c:v>
                </c:pt>
                <c:pt idx="66">
                  <c:v>4.4898982848827824</c:v>
                </c:pt>
                <c:pt idx="67">
                  <c:v>-1.5746745958239792</c:v>
                </c:pt>
                <c:pt idx="68">
                  <c:v>1.7754860117102076</c:v>
                </c:pt>
                <c:pt idx="69">
                  <c:v>-2.262865556059567</c:v>
                </c:pt>
                <c:pt idx="70">
                  <c:v>1.9999999999999998</c:v>
                </c:pt>
                <c:pt idx="71">
                  <c:v>-1.7371344439404333</c:v>
                </c:pt>
                <c:pt idx="72">
                  <c:v>2.2245139882897922</c:v>
                </c:pt>
                <c:pt idx="73">
                  <c:v>-2.4253254041760157</c:v>
                </c:pt>
                <c:pt idx="74">
                  <c:v>-0.48989828488277753</c:v>
                </c:pt>
                <c:pt idx="75">
                  <c:v>0</c:v>
                </c:pt>
                <c:pt idx="76">
                  <c:v>4.4898982848827842</c:v>
                </c:pt>
                <c:pt idx="77">
                  <c:v>-1.5746745958239787</c:v>
                </c:pt>
                <c:pt idx="78">
                  <c:v>1.7754860117102076</c:v>
                </c:pt>
                <c:pt idx="79">
                  <c:v>-2.262865556059567</c:v>
                </c:pt>
                <c:pt idx="80">
                  <c:v>1.9999999999999996</c:v>
                </c:pt>
                <c:pt idx="81">
                  <c:v>-1.7371344439404335</c:v>
                </c:pt>
                <c:pt idx="82">
                  <c:v>2.2245139882897931</c:v>
                </c:pt>
                <c:pt idx="83">
                  <c:v>-2.4253254041760188</c:v>
                </c:pt>
                <c:pt idx="84">
                  <c:v>-0.48989828488277487</c:v>
                </c:pt>
                <c:pt idx="85">
                  <c:v>0</c:v>
                </c:pt>
                <c:pt idx="86">
                  <c:v>4.4898982848827851</c:v>
                </c:pt>
                <c:pt idx="87">
                  <c:v>-1.5746745958239785</c:v>
                </c:pt>
                <c:pt idx="88">
                  <c:v>1.7754860117102078</c:v>
                </c:pt>
                <c:pt idx="89">
                  <c:v>-2.262865556059567</c:v>
                </c:pt>
                <c:pt idx="90">
                  <c:v>1.9999999999999996</c:v>
                </c:pt>
                <c:pt idx="91">
                  <c:v>-1.7371344439404344</c:v>
                </c:pt>
                <c:pt idx="92">
                  <c:v>2.2245139882897931</c:v>
                </c:pt>
                <c:pt idx="93">
                  <c:v>-2.4253254041760179</c:v>
                </c:pt>
                <c:pt idx="94">
                  <c:v>-0.48989828488279574</c:v>
                </c:pt>
                <c:pt idx="95">
                  <c:v>0</c:v>
                </c:pt>
                <c:pt idx="96">
                  <c:v>4.4898982848828091</c:v>
                </c:pt>
                <c:pt idx="97">
                  <c:v>-1.5746745958239781</c:v>
                </c:pt>
                <c:pt idx="98">
                  <c:v>1.7754860117102078</c:v>
                </c:pt>
                <c:pt idx="99">
                  <c:v>-2.2628655560595661</c:v>
                </c:pt>
                <c:pt idx="100">
                  <c:v>1.9999999999999993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F-469E-8DD1-E4E296D8B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064864"/>
        <c:axId val="81832696"/>
      </c:lineChart>
      <c:catAx>
        <c:axId val="34064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81832696"/>
        <c:crosses val="autoZero"/>
        <c:auto val="1"/>
        <c:lblAlgn val="ctr"/>
        <c:lblOffset val="100"/>
        <c:noMultiLvlLbl val="0"/>
      </c:catAx>
      <c:valAx>
        <c:axId val="818326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340648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'y3'!$B$1</c:f>
              <c:strCache>
                <c:ptCount val="1"/>
                <c:pt idx="0">
                  <c:v>y3</c:v>
                </c:pt>
              </c:strCache>
            </c:strRef>
          </c:tx>
          <c:spPr>
            <a:ln w="28440" cap="rnd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'y3'!$A$2:$A$102</c:f>
              <c:numCache>
                <c:formatCode>General</c:formatCode>
                <c:ptCount val="101"/>
                <c:pt idx="0">
                  <c:v>-10</c:v>
                </c:pt>
                <c:pt idx="1">
                  <c:v>-9.8000000000000007</c:v>
                </c:pt>
                <c:pt idx="2">
                  <c:v>-9.6</c:v>
                </c:pt>
                <c:pt idx="3">
                  <c:v>-9.4</c:v>
                </c:pt>
                <c:pt idx="4">
                  <c:v>-9.1999999999999993</c:v>
                </c:pt>
                <c:pt idx="5">
                  <c:v>-9</c:v>
                </c:pt>
                <c:pt idx="6">
                  <c:v>-8.8000000000000007</c:v>
                </c:pt>
                <c:pt idx="7">
                  <c:v>-8.6</c:v>
                </c:pt>
                <c:pt idx="8">
                  <c:v>-8.4</c:v>
                </c:pt>
                <c:pt idx="9">
                  <c:v>-8.1999999999999993</c:v>
                </c:pt>
                <c:pt idx="10">
                  <c:v>-8</c:v>
                </c:pt>
                <c:pt idx="11">
                  <c:v>-7.8</c:v>
                </c:pt>
                <c:pt idx="12">
                  <c:v>-7.6</c:v>
                </c:pt>
                <c:pt idx="13">
                  <c:v>-7.4</c:v>
                </c:pt>
                <c:pt idx="14">
                  <c:v>-7.2</c:v>
                </c:pt>
                <c:pt idx="15">
                  <c:v>-7</c:v>
                </c:pt>
                <c:pt idx="16">
                  <c:v>-6.8</c:v>
                </c:pt>
                <c:pt idx="17">
                  <c:v>-6.6</c:v>
                </c:pt>
                <c:pt idx="18">
                  <c:v>-6.4</c:v>
                </c:pt>
                <c:pt idx="19">
                  <c:v>-6.2</c:v>
                </c:pt>
                <c:pt idx="20">
                  <c:v>-6</c:v>
                </c:pt>
                <c:pt idx="21">
                  <c:v>-5.8</c:v>
                </c:pt>
                <c:pt idx="22">
                  <c:v>-5.6</c:v>
                </c:pt>
                <c:pt idx="23">
                  <c:v>-5.4</c:v>
                </c:pt>
                <c:pt idx="24">
                  <c:v>-5.2</c:v>
                </c:pt>
                <c:pt idx="25">
                  <c:v>-5</c:v>
                </c:pt>
                <c:pt idx="26">
                  <c:v>-4.8</c:v>
                </c:pt>
                <c:pt idx="27">
                  <c:v>-4.5999999999999996</c:v>
                </c:pt>
                <c:pt idx="28">
                  <c:v>-4.4000000000000004</c:v>
                </c:pt>
                <c:pt idx="29">
                  <c:v>-4.2</c:v>
                </c:pt>
                <c:pt idx="30">
                  <c:v>-4</c:v>
                </c:pt>
                <c:pt idx="31">
                  <c:v>-3.8</c:v>
                </c:pt>
                <c:pt idx="32">
                  <c:v>-3.6</c:v>
                </c:pt>
                <c:pt idx="33">
                  <c:v>-3.4</c:v>
                </c:pt>
                <c:pt idx="34">
                  <c:v>-3.2</c:v>
                </c:pt>
                <c:pt idx="35">
                  <c:v>-3</c:v>
                </c:pt>
                <c:pt idx="36">
                  <c:v>-2.8</c:v>
                </c:pt>
                <c:pt idx="37">
                  <c:v>-2.6</c:v>
                </c:pt>
                <c:pt idx="38">
                  <c:v>-2.4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-1.8</c:v>
                </c:pt>
                <c:pt idx="42">
                  <c:v>-1.6</c:v>
                </c:pt>
                <c:pt idx="43">
                  <c:v>-1.4</c:v>
                </c:pt>
                <c:pt idx="44">
                  <c:v>-1.2</c:v>
                </c:pt>
                <c:pt idx="45">
                  <c:v>-1</c:v>
                </c:pt>
                <c:pt idx="46">
                  <c:v>-0.8</c:v>
                </c:pt>
                <c:pt idx="47">
                  <c:v>-0.6</c:v>
                </c:pt>
                <c:pt idx="48">
                  <c:v>-0.4</c:v>
                </c:pt>
                <c:pt idx="49">
                  <c:v>-0.2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5.6</c:v>
                </c:pt>
                <c:pt idx="79">
                  <c:v>5.8</c:v>
                </c:pt>
                <c:pt idx="80">
                  <c:v>6</c:v>
                </c:pt>
                <c:pt idx="81">
                  <c:v>6.2</c:v>
                </c:pt>
                <c:pt idx="82">
                  <c:v>6.4</c:v>
                </c:pt>
                <c:pt idx="83">
                  <c:v>6.6</c:v>
                </c:pt>
                <c:pt idx="84">
                  <c:v>6.8</c:v>
                </c:pt>
                <c:pt idx="85">
                  <c:v>7</c:v>
                </c:pt>
                <c:pt idx="86">
                  <c:v>7.2</c:v>
                </c:pt>
                <c:pt idx="87">
                  <c:v>7.4</c:v>
                </c:pt>
                <c:pt idx="88">
                  <c:v>7.6</c:v>
                </c:pt>
                <c:pt idx="89">
                  <c:v>7.8</c:v>
                </c:pt>
                <c:pt idx="90">
                  <c:v>8</c:v>
                </c:pt>
                <c:pt idx="91">
                  <c:v>8.1999999999999993</c:v>
                </c:pt>
                <c:pt idx="92">
                  <c:v>8.4</c:v>
                </c:pt>
                <c:pt idx="93">
                  <c:v>8.6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9.4</c:v>
                </c:pt>
                <c:pt idx="98">
                  <c:v>9.6</c:v>
                </c:pt>
                <c:pt idx="99">
                  <c:v>9.8000000000000007</c:v>
                </c:pt>
                <c:pt idx="100">
                  <c:v>10</c:v>
                </c:pt>
              </c:numCache>
            </c:numRef>
          </c:cat>
          <c:val>
            <c:numRef>
              <c:f>'y3'!$B$2:$B$102</c:f>
              <c:numCache>
                <c:formatCode>General</c:formatCode>
                <c:ptCount val="101"/>
                <c:pt idx="0">
                  <c:v>10</c:v>
                </c:pt>
                <c:pt idx="1">
                  <c:v>9.7999999999999972</c:v>
                </c:pt>
                <c:pt idx="2">
                  <c:v>9.6</c:v>
                </c:pt>
                <c:pt idx="3">
                  <c:v>9.4</c:v>
                </c:pt>
                <c:pt idx="4">
                  <c:v>9.2000000000000046</c:v>
                </c:pt>
                <c:pt idx="5">
                  <c:v>9</c:v>
                </c:pt>
                <c:pt idx="6">
                  <c:v>8.7999999999999972</c:v>
                </c:pt>
                <c:pt idx="7">
                  <c:v>8.5999999999999979</c:v>
                </c:pt>
                <c:pt idx="8">
                  <c:v>8.4</c:v>
                </c:pt>
                <c:pt idx="9">
                  <c:v>8.2000000000000046</c:v>
                </c:pt>
                <c:pt idx="10">
                  <c:v>7.9999999999999973</c:v>
                </c:pt>
                <c:pt idx="11">
                  <c:v>7.8000000000000034</c:v>
                </c:pt>
                <c:pt idx="12">
                  <c:v>7.5999999999999979</c:v>
                </c:pt>
                <c:pt idx="13">
                  <c:v>7.4</c:v>
                </c:pt>
                <c:pt idx="14">
                  <c:v>7.200000000000002</c:v>
                </c:pt>
                <c:pt idx="15">
                  <c:v>6.9999999999999956</c:v>
                </c:pt>
                <c:pt idx="16">
                  <c:v>6.8000000000000052</c:v>
                </c:pt>
                <c:pt idx="17">
                  <c:v>6.599999999999997</c:v>
                </c:pt>
                <c:pt idx="18">
                  <c:v>6.3999999999999995</c:v>
                </c:pt>
                <c:pt idx="19">
                  <c:v>6.2000000000000037</c:v>
                </c:pt>
                <c:pt idx="20">
                  <c:v>5.9999999999999929</c:v>
                </c:pt>
                <c:pt idx="21">
                  <c:v>5.8</c:v>
                </c:pt>
                <c:pt idx="22">
                  <c:v>5.5999999999999988</c:v>
                </c:pt>
                <c:pt idx="23">
                  <c:v>5.4000000000000021</c:v>
                </c:pt>
                <c:pt idx="24">
                  <c:v>5.1999999999999975</c:v>
                </c:pt>
                <c:pt idx="25">
                  <c:v>5</c:v>
                </c:pt>
                <c:pt idx="26">
                  <c:v>4.8000000000000016</c:v>
                </c:pt>
                <c:pt idx="27">
                  <c:v>4.5999999999999979</c:v>
                </c:pt>
                <c:pt idx="28">
                  <c:v>4.4000000000000012</c:v>
                </c:pt>
                <c:pt idx="29">
                  <c:v>4.1999999999999993</c:v>
                </c:pt>
                <c:pt idx="30">
                  <c:v>3.9999999999999973</c:v>
                </c:pt>
                <c:pt idx="31">
                  <c:v>3.8000000000000047</c:v>
                </c:pt>
                <c:pt idx="32">
                  <c:v>3.5999999999999992</c:v>
                </c:pt>
                <c:pt idx="33">
                  <c:v>3.3999999999999977</c:v>
                </c:pt>
                <c:pt idx="34">
                  <c:v>3.200000000000002</c:v>
                </c:pt>
                <c:pt idx="35">
                  <c:v>2.9999999999999929</c:v>
                </c:pt>
                <c:pt idx="36">
                  <c:v>2.8000000000000016</c:v>
                </c:pt>
                <c:pt idx="37">
                  <c:v>2.600000000000001</c:v>
                </c:pt>
                <c:pt idx="38">
                  <c:v>2.399999999999999</c:v>
                </c:pt>
                <c:pt idx="39">
                  <c:v>2.1999999999999971</c:v>
                </c:pt>
                <c:pt idx="40">
                  <c:v>1.9999999999999976</c:v>
                </c:pt>
                <c:pt idx="41">
                  <c:v>1.800000000000002</c:v>
                </c:pt>
                <c:pt idx="42">
                  <c:v>1.5999999999999994</c:v>
                </c:pt>
                <c:pt idx="43">
                  <c:v>1.3999999999999992</c:v>
                </c:pt>
                <c:pt idx="44">
                  <c:v>1.200000000000002</c:v>
                </c:pt>
                <c:pt idx="45">
                  <c:v>0.99999999999999756</c:v>
                </c:pt>
                <c:pt idx="46">
                  <c:v>0.80000000000000204</c:v>
                </c:pt>
                <c:pt idx="47">
                  <c:v>0.5999999999999992</c:v>
                </c:pt>
                <c:pt idx="48">
                  <c:v>0.39999999999999925</c:v>
                </c:pt>
                <c:pt idx="49">
                  <c:v>0.20000000000000198</c:v>
                </c:pt>
                <c:pt idx="50">
                  <c:v>0</c:v>
                </c:pt>
                <c:pt idx="51">
                  <c:v>-0.19999999999999804</c:v>
                </c:pt>
                <c:pt idx="52">
                  <c:v>-0.4000000000000008</c:v>
                </c:pt>
                <c:pt idx="53">
                  <c:v>-0.60000000000000075</c:v>
                </c:pt>
                <c:pt idx="54">
                  <c:v>-0.79999999999999805</c:v>
                </c:pt>
                <c:pt idx="55">
                  <c:v>-1.0000000000000024</c:v>
                </c:pt>
                <c:pt idx="56">
                  <c:v>-1.199999999999998</c:v>
                </c:pt>
                <c:pt idx="57">
                  <c:v>-1.4000000000000006</c:v>
                </c:pt>
                <c:pt idx="58">
                  <c:v>-1.6000000000000008</c:v>
                </c:pt>
                <c:pt idx="59">
                  <c:v>-1.799999999999998</c:v>
                </c:pt>
                <c:pt idx="60">
                  <c:v>-2.0000000000000027</c:v>
                </c:pt>
                <c:pt idx="61">
                  <c:v>-2.2000000000000033</c:v>
                </c:pt>
                <c:pt idx="62">
                  <c:v>-2.4000000000000008</c:v>
                </c:pt>
                <c:pt idx="63">
                  <c:v>-2.5999999999999992</c:v>
                </c:pt>
                <c:pt idx="64">
                  <c:v>-2.799999999999998</c:v>
                </c:pt>
                <c:pt idx="65">
                  <c:v>-3.0000000000000071</c:v>
                </c:pt>
                <c:pt idx="66">
                  <c:v>-3.1999999999999984</c:v>
                </c:pt>
                <c:pt idx="67">
                  <c:v>-3.4000000000000021</c:v>
                </c:pt>
                <c:pt idx="68">
                  <c:v>-3.600000000000001</c:v>
                </c:pt>
                <c:pt idx="69">
                  <c:v>-3.7999999999999949</c:v>
                </c:pt>
                <c:pt idx="70">
                  <c:v>-4.0000000000000027</c:v>
                </c:pt>
                <c:pt idx="71">
                  <c:v>-4.2000000000000011</c:v>
                </c:pt>
                <c:pt idx="72">
                  <c:v>-4.3999999999999995</c:v>
                </c:pt>
                <c:pt idx="73">
                  <c:v>-4.6000000000000014</c:v>
                </c:pt>
                <c:pt idx="74">
                  <c:v>-4.799999999999998</c:v>
                </c:pt>
                <c:pt idx="75">
                  <c:v>-5</c:v>
                </c:pt>
                <c:pt idx="76">
                  <c:v>-5.2000000000000028</c:v>
                </c:pt>
                <c:pt idx="77">
                  <c:v>-5.3999999999999986</c:v>
                </c:pt>
                <c:pt idx="78">
                  <c:v>-5.6000000000000005</c:v>
                </c:pt>
                <c:pt idx="79">
                  <c:v>-5.8</c:v>
                </c:pt>
                <c:pt idx="80">
                  <c:v>-6.0000000000000071</c:v>
                </c:pt>
                <c:pt idx="81">
                  <c:v>-6.1999999999999966</c:v>
                </c:pt>
                <c:pt idx="82">
                  <c:v>-6.4000000000000012</c:v>
                </c:pt>
                <c:pt idx="83">
                  <c:v>-6.6000000000000023</c:v>
                </c:pt>
                <c:pt idx="84">
                  <c:v>-6.7999999999999945</c:v>
                </c:pt>
                <c:pt idx="85">
                  <c:v>-7.0000000000000044</c:v>
                </c:pt>
                <c:pt idx="86">
                  <c:v>-7.1999999999999984</c:v>
                </c:pt>
                <c:pt idx="87">
                  <c:v>-7.4</c:v>
                </c:pt>
                <c:pt idx="88">
                  <c:v>-7.6000000000000014</c:v>
                </c:pt>
                <c:pt idx="89">
                  <c:v>-7.7999999999999963</c:v>
                </c:pt>
                <c:pt idx="90">
                  <c:v>-8.0000000000000018</c:v>
                </c:pt>
                <c:pt idx="91">
                  <c:v>-8.199999999999994</c:v>
                </c:pt>
                <c:pt idx="92">
                  <c:v>-8.4</c:v>
                </c:pt>
                <c:pt idx="93">
                  <c:v>-8.6000000000000014</c:v>
                </c:pt>
                <c:pt idx="94">
                  <c:v>-8.8000000000000043</c:v>
                </c:pt>
                <c:pt idx="95">
                  <c:v>-9</c:v>
                </c:pt>
                <c:pt idx="96">
                  <c:v>-9.199999999999994</c:v>
                </c:pt>
                <c:pt idx="97">
                  <c:v>-9.4</c:v>
                </c:pt>
                <c:pt idx="98">
                  <c:v>-9.6</c:v>
                </c:pt>
                <c:pt idx="99">
                  <c:v>-9.8000000000000043</c:v>
                </c:pt>
                <c:pt idx="100">
                  <c:v>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98-476D-AF3A-7E2F82E64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8361481"/>
        <c:axId val="66811014"/>
      </c:lineChart>
      <c:catAx>
        <c:axId val="483614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66811014"/>
        <c:crosses val="autoZero"/>
        <c:auto val="1"/>
        <c:lblAlgn val="ctr"/>
        <c:lblOffset val="100"/>
        <c:noMultiLvlLbl val="0"/>
      </c:catAx>
      <c:valAx>
        <c:axId val="6681101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483614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'y4'!$B$1</c:f>
              <c:strCache>
                <c:ptCount val="1"/>
                <c:pt idx="0">
                  <c:v>y4</c:v>
                </c:pt>
              </c:strCache>
            </c:strRef>
          </c:tx>
          <c:spPr>
            <a:ln w="28440" cap="rnd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'y4'!$A$2:$A$102</c:f>
              <c:numCache>
                <c:formatCode>General</c:formatCode>
                <c:ptCount val="101"/>
                <c:pt idx="0">
                  <c:v>-10</c:v>
                </c:pt>
                <c:pt idx="1">
                  <c:v>-9.8000000000000007</c:v>
                </c:pt>
                <c:pt idx="2">
                  <c:v>-9.6</c:v>
                </c:pt>
                <c:pt idx="3">
                  <c:v>-9.4</c:v>
                </c:pt>
                <c:pt idx="4">
                  <c:v>-9.1999999999999993</c:v>
                </c:pt>
                <c:pt idx="5">
                  <c:v>-9</c:v>
                </c:pt>
                <c:pt idx="6">
                  <c:v>-8.8000000000000007</c:v>
                </c:pt>
                <c:pt idx="7">
                  <c:v>-8.6</c:v>
                </c:pt>
                <c:pt idx="8">
                  <c:v>-8.4</c:v>
                </c:pt>
                <c:pt idx="9">
                  <c:v>-8.1999999999999993</c:v>
                </c:pt>
                <c:pt idx="10">
                  <c:v>-8</c:v>
                </c:pt>
                <c:pt idx="11">
                  <c:v>-7.8</c:v>
                </c:pt>
                <c:pt idx="12">
                  <c:v>-7.6</c:v>
                </c:pt>
                <c:pt idx="13">
                  <c:v>-7.4</c:v>
                </c:pt>
                <c:pt idx="14">
                  <c:v>-7.2</c:v>
                </c:pt>
                <c:pt idx="15">
                  <c:v>-7</c:v>
                </c:pt>
                <c:pt idx="16">
                  <c:v>-6.8</c:v>
                </c:pt>
                <c:pt idx="17">
                  <c:v>-6.6</c:v>
                </c:pt>
                <c:pt idx="18">
                  <c:v>-6.4</c:v>
                </c:pt>
                <c:pt idx="19">
                  <c:v>-6.2</c:v>
                </c:pt>
                <c:pt idx="20">
                  <c:v>-6</c:v>
                </c:pt>
                <c:pt idx="21">
                  <c:v>-5.8</c:v>
                </c:pt>
                <c:pt idx="22">
                  <c:v>-5.6</c:v>
                </c:pt>
                <c:pt idx="23">
                  <c:v>-5.4</c:v>
                </c:pt>
                <c:pt idx="24">
                  <c:v>-5.2</c:v>
                </c:pt>
                <c:pt idx="25">
                  <c:v>-5</c:v>
                </c:pt>
                <c:pt idx="26">
                  <c:v>-4.8</c:v>
                </c:pt>
                <c:pt idx="27">
                  <c:v>-4.5999999999999996</c:v>
                </c:pt>
                <c:pt idx="28">
                  <c:v>-4.4000000000000004</c:v>
                </c:pt>
                <c:pt idx="29">
                  <c:v>-4.2</c:v>
                </c:pt>
                <c:pt idx="30">
                  <c:v>-4</c:v>
                </c:pt>
                <c:pt idx="31">
                  <c:v>-3.8</c:v>
                </c:pt>
                <c:pt idx="32">
                  <c:v>-3.6</c:v>
                </c:pt>
                <c:pt idx="33">
                  <c:v>-3.4</c:v>
                </c:pt>
                <c:pt idx="34">
                  <c:v>-3.2</c:v>
                </c:pt>
                <c:pt idx="35">
                  <c:v>-3</c:v>
                </c:pt>
                <c:pt idx="36">
                  <c:v>-2.8</c:v>
                </c:pt>
                <c:pt idx="37">
                  <c:v>-2.6</c:v>
                </c:pt>
                <c:pt idx="38">
                  <c:v>-2.4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-1.8</c:v>
                </c:pt>
                <c:pt idx="42">
                  <c:v>-1.6</c:v>
                </c:pt>
                <c:pt idx="43">
                  <c:v>-1.4</c:v>
                </c:pt>
                <c:pt idx="44">
                  <c:v>-1.2</c:v>
                </c:pt>
                <c:pt idx="45">
                  <c:v>-1</c:v>
                </c:pt>
                <c:pt idx="46">
                  <c:v>-0.8</c:v>
                </c:pt>
                <c:pt idx="47">
                  <c:v>-0.6</c:v>
                </c:pt>
                <c:pt idx="48">
                  <c:v>-0.4</c:v>
                </c:pt>
                <c:pt idx="49">
                  <c:v>-0.2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5.6</c:v>
                </c:pt>
                <c:pt idx="79">
                  <c:v>5.8</c:v>
                </c:pt>
                <c:pt idx="80">
                  <c:v>6</c:v>
                </c:pt>
                <c:pt idx="81">
                  <c:v>6.2</c:v>
                </c:pt>
                <c:pt idx="82">
                  <c:v>6.4</c:v>
                </c:pt>
                <c:pt idx="83">
                  <c:v>6.6</c:v>
                </c:pt>
                <c:pt idx="84">
                  <c:v>6.8</c:v>
                </c:pt>
                <c:pt idx="85">
                  <c:v>7</c:v>
                </c:pt>
                <c:pt idx="86">
                  <c:v>7.2</c:v>
                </c:pt>
                <c:pt idx="87">
                  <c:v>7.4</c:v>
                </c:pt>
                <c:pt idx="88">
                  <c:v>7.6</c:v>
                </c:pt>
                <c:pt idx="89">
                  <c:v>7.8</c:v>
                </c:pt>
                <c:pt idx="90">
                  <c:v>8</c:v>
                </c:pt>
                <c:pt idx="91">
                  <c:v>8.1999999999999993</c:v>
                </c:pt>
                <c:pt idx="92">
                  <c:v>8.4</c:v>
                </c:pt>
                <c:pt idx="93">
                  <c:v>8.6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9.4</c:v>
                </c:pt>
                <c:pt idx="98">
                  <c:v>9.6</c:v>
                </c:pt>
                <c:pt idx="99">
                  <c:v>9.8000000000000007</c:v>
                </c:pt>
                <c:pt idx="100">
                  <c:v>10</c:v>
                </c:pt>
              </c:numCache>
            </c:numRef>
          </c:cat>
          <c:val>
            <c:numRef>
              <c:f>'y4'!$B$2:$B$102</c:f>
              <c:numCache>
                <c:formatCode>General</c:formatCode>
                <c:ptCount val="101"/>
                <c:pt idx="0">
                  <c:v>0.86858896380650352</c:v>
                </c:pt>
                <c:pt idx="1">
                  <c:v>-0.27078459447832121</c:v>
                </c:pt>
                <c:pt idx="2">
                  <c:v>-0.71538614713526794</c:v>
                </c:pt>
                <c:pt idx="3">
                  <c:v>0.72210781989911899</c:v>
                </c:pt>
                <c:pt idx="4">
                  <c:v>0.27849360961735009</c:v>
                </c:pt>
                <c:pt idx="5">
                  <c:v>-0.91023922662683732</c:v>
                </c:pt>
                <c:pt idx="6">
                  <c:v>0.28418599817367807</c:v>
                </c:pt>
                <c:pt idx="7">
                  <c:v>0.751957621664196</c:v>
                </c:pt>
                <c:pt idx="8">
                  <c:v>-0.76027153636648592</c:v>
                </c:pt>
                <c:pt idx="9">
                  <c:v>-0.29372366181862569</c:v>
                </c:pt>
                <c:pt idx="10">
                  <c:v>0.96179669392597567</c:v>
                </c:pt>
                <c:pt idx="11">
                  <c:v>-0.30087476163765314</c:v>
                </c:pt>
                <c:pt idx="12">
                  <c:v>-0.7977888159359493</c:v>
                </c:pt>
                <c:pt idx="13">
                  <c:v>0.80841876440435767</c:v>
                </c:pt>
                <c:pt idx="14">
                  <c:v>0.31307427638636304</c:v>
                </c:pt>
                <c:pt idx="15">
                  <c:v>-1.0277966847395015</c:v>
                </c:pt>
                <c:pt idx="16">
                  <c:v>0.32240946234464624</c:v>
                </c:pt>
                <c:pt idx="17">
                  <c:v>0.85743204527694905</c:v>
                </c:pt>
                <c:pt idx="18">
                  <c:v>-0.87164560708876326</c:v>
                </c:pt>
                <c:pt idx="19">
                  <c:v>-0.33873241542032634</c:v>
                </c:pt>
                <c:pt idx="20">
                  <c:v>1.1162212531024944</c:v>
                </c:pt>
                <c:pt idx="21">
                  <c:v>-0.35158358510024001</c:v>
                </c:pt>
                <c:pt idx="22">
                  <c:v>-0.93920673344344108</c:v>
                </c:pt>
                <c:pt idx="23">
                  <c:v>0.95946097767933125</c:v>
                </c:pt>
                <c:pt idx="24">
                  <c:v>0.3748708065805309</c:v>
                </c:pt>
                <c:pt idx="25">
                  <c:v>-1.2426698691192237</c:v>
                </c:pt>
                <c:pt idx="26">
                  <c:v>0.39399956464284913</c:v>
                </c:pt>
                <c:pt idx="27">
                  <c:v>1.0602714887020799</c:v>
                </c:pt>
                <c:pt idx="28">
                  <c:v>-1.0920822284606237</c:v>
                </c:pt>
                <c:pt idx="29">
                  <c:v>-0.43066033941471066</c:v>
                </c:pt>
                <c:pt idx="30">
                  <c:v>1.4426950408889634</c:v>
                </c:pt>
                <c:pt idx="31">
                  <c:v>-0.46294643813480674</c:v>
                </c:pt>
                <c:pt idx="32">
                  <c:v>-1.2631674886896511</c:v>
                </c:pt>
                <c:pt idx="33">
                  <c:v>1.3221657723633122</c:v>
                </c:pt>
                <c:pt idx="34">
                  <c:v>0.53134467477449721</c:v>
                </c:pt>
                <c:pt idx="35">
                  <c:v>-1.8204784532536746</c:v>
                </c:pt>
                <c:pt idx="36">
                  <c:v>0.60025479166070905</c:v>
                </c:pt>
                <c:pt idx="37">
                  <c:v>1.6933695532065907</c:v>
                </c:pt>
                <c:pt idx="38">
                  <c:v>-1.8481916254832764</c:v>
                </c:pt>
                <c:pt idx="39">
                  <c:v>-0.78385213940340326</c:v>
                </c:pt>
                <c:pt idx="40">
                  <c:v>2.8853900817779268</c:v>
                </c:pt>
                <c:pt idx="41">
                  <c:v>-1.0514596972913872</c:v>
                </c:pt>
                <c:pt idx="42">
                  <c:v>-3.4425989249200564</c:v>
                </c:pt>
                <c:pt idx="43">
                  <c:v>4.8088187156178765</c:v>
                </c:pt>
                <c:pt idx="44">
                  <c:v>3.3898020597111684</c:v>
                </c:pt>
                <c:pt idx="45">
                  <c:v>0</c:v>
                </c:pt>
                <c:pt idx="46">
                  <c:v>-2.76966995062133</c:v>
                </c:pt>
                <c:pt idx="47">
                  <c:v>-3.1674879126484781</c:v>
                </c:pt>
                <c:pt idx="48">
                  <c:v>1.7658521825713707</c:v>
                </c:pt>
                <c:pt idx="49">
                  <c:v>0.38400610795553169</c:v>
                </c:pt>
                <c:pt idx="50">
                  <c:v>0</c:v>
                </c:pt>
                <c:pt idx="51">
                  <c:v>0.38400610795553169</c:v>
                </c:pt>
                <c:pt idx="52">
                  <c:v>1.7658521825713707</c:v>
                </c:pt>
                <c:pt idx="53">
                  <c:v>-3.1674879126484781</c:v>
                </c:pt>
                <c:pt idx="54">
                  <c:v>-2.76966995062133</c:v>
                </c:pt>
                <c:pt idx="55">
                  <c:v>0</c:v>
                </c:pt>
                <c:pt idx="56">
                  <c:v>3.3898020597111684</c:v>
                </c:pt>
                <c:pt idx="57">
                  <c:v>4.8088187156178765</c:v>
                </c:pt>
                <c:pt idx="58">
                  <c:v>-3.4425989249200564</c:v>
                </c:pt>
                <c:pt idx="59">
                  <c:v>-1.0514596972913872</c:v>
                </c:pt>
                <c:pt idx="60">
                  <c:v>2.8853900817779268</c:v>
                </c:pt>
                <c:pt idx="61">
                  <c:v>-0.78385213940340326</c:v>
                </c:pt>
                <c:pt idx="62">
                  <c:v>-1.8481916254832764</c:v>
                </c:pt>
                <c:pt idx="63">
                  <c:v>1.6933695532065907</c:v>
                </c:pt>
                <c:pt idx="64">
                  <c:v>0.60025479166070905</c:v>
                </c:pt>
                <c:pt idx="65">
                  <c:v>-1.8204784532536746</c:v>
                </c:pt>
                <c:pt idx="66">
                  <c:v>0.53134467477449721</c:v>
                </c:pt>
                <c:pt idx="67">
                  <c:v>1.3221657723633122</c:v>
                </c:pt>
                <c:pt idx="68">
                  <c:v>-1.2631674886896511</c:v>
                </c:pt>
                <c:pt idx="69">
                  <c:v>-0.46294643813480674</c:v>
                </c:pt>
                <c:pt idx="70">
                  <c:v>1.4426950408889634</c:v>
                </c:pt>
                <c:pt idx="71">
                  <c:v>-0.43066033941471066</c:v>
                </c:pt>
                <c:pt idx="72">
                  <c:v>-1.0920822284606237</c:v>
                </c:pt>
                <c:pt idx="73">
                  <c:v>1.0602714887020799</c:v>
                </c:pt>
                <c:pt idx="74">
                  <c:v>0.39399956464284913</c:v>
                </c:pt>
                <c:pt idx="75">
                  <c:v>-1.2426698691192237</c:v>
                </c:pt>
                <c:pt idx="76">
                  <c:v>0.3748708065805309</c:v>
                </c:pt>
                <c:pt idx="77">
                  <c:v>0.95946097767933125</c:v>
                </c:pt>
                <c:pt idx="78">
                  <c:v>-0.93920673344344108</c:v>
                </c:pt>
                <c:pt idx="79">
                  <c:v>-0.35158358510024001</c:v>
                </c:pt>
                <c:pt idx="80">
                  <c:v>1.1162212531024944</c:v>
                </c:pt>
                <c:pt idx="81">
                  <c:v>-0.33873241542032634</c:v>
                </c:pt>
                <c:pt idx="82">
                  <c:v>-0.87164560708876326</c:v>
                </c:pt>
                <c:pt idx="83">
                  <c:v>0.85743204527694905</c:v>
                </c:pt>
                <c:pt idx="84">
                  <c:v>0.32240946234464624</c:v>
                </c:pt>
                <c:pt idx="85">
                  <c:v>-1.0277966847395015</c:v>
                </c:pt>
                <c:pt idx="86">
                  <c:v>0.31307427638636304</c:v>
                </c:pt>
                <c:pt idx="87">
                  <c:v>0.80841876440435767</c:v>
                </c:pt>
                <c:pt idx="88">
                  <c:v>-0.7977888159359493</c:v>
                </c:pt>
                <c:pt idx="89">
                  <c:v>-0.30087476163765314</c:v>
                </c:pt>
                <c:pt idx="90">
                  <c:v>0.96179669392597567</c:v>
                </c:pt>
                <c:pt idx="91">
                  <c:v>-0.29372366181862569</c:v>
                </c:pt>
                <c:pt idx="92">
                  <c:v>-0.76027153636648592</c:v>
                </c:pt>
                <c:pt idx="93">
                  <c:v>0.751957621664196</c:v>
                </c:pt>
                <c:pt idx="94">
                  <c:v>0.28418599817367807</c:v>
                </c:pt>
                <c:pt idx="95">
                  <c:v>-0.91023922662683732</c:v>
                </c:pt>
                <c:pt idx="96">
                  <c:v>0.27849360961735009</c:v>
                </c:pt>
                <c:pt idx="97">
                  <c:v>0.72210781989911899</c:v>
                </c:pt>
                <c:pt idx="98">
                  <c:v>-0.71538614713526794</c:v>
                </c:pt>
                <c:pt idx="99">
                  <c:v>-0.27078459447832121</c:v>
                </c:pt>
                <c:pt idx="100">
                  <c:v>0.86858896380650352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19-40BE-A1D2-A5AF3FA3B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3694199"/>
        <c:axId val="15100541"/>
      </c:lineChart>
      <c:catAx>
        <c:axId val="236941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15100541"/>
        <c:crosses val="autoZero"/>
        <c:auto val="1"/>
        <c:lblAlgn val="ctr"/>
        <c:lblOffset val="100"/>
        <c:noMultiLvlLbl val="0"/>
      </c:catAx>
      <c:valAx>
        <c:axId val="1510054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236941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'g1'!$B$1</c:f>
              <c:strCache>
                <c:ptCount val="1"/>
                <c:pt idx="0">
                  <c:v>g1</c:v>
                </c:pt>
              </c:strCache>
            </c:strRef>
          </c:tx>
          <c:spPr>
            <a:ln w="28440" cap="rnd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'g1'!$A$2:$A$104</c:f>
              <c:numCache>
                <c:formatCode>General</c:formatCode>
                <c:ptCount val="103"/>
                <c:pt idx="0">
                  <c:v>-10</c:v>
                </c:pt>
                <c:pt idx="1">
                  <c:v>-9.8000000000000007</c:v>
                </c:pt>
                <c:pt idx="2">
                  <c:v>-9.6</c:v>
                </c:pt>
                <c:pt idx="3">
                  <c:v>-9.4</c:v>
                </c:pt>
                <c:pt idx="4">
                  <c:v>-9.1999999999999993</c:v>
                </c:pt>
                <c:pt idx="5">
                  <c:v>-9</c:v>
                </c:pt>
                <c:pt idx="6">
                  <c:v>-8.8000000000000007</c:v>
                </c:pt>
                <c:pt idx="7">
                  <c:v>-8.6</c:v>
                </c:pt>
                <c:pt idx="8">
                  <c:v>-8.4</c:v>
                </c:pt>
                <c:pt idx="9">
                  <c:v>-8.1999999999999993</c:v>
                </c:pt>
                <c:pt idx="10">
                  <c:v>-8</c:v>
                </c:pt>
                <c:pt idx="11">
                  <c:v>-7.8</c:v>
                </c:pt>
                <c:pt idx="12">
                  <c:v>-7.6</c:v>
                </c:pt>
                <c:pt idx="13">
                  <c:v>-7.4</c:v>
                </c:pt>
                <c:pt idx="14">
                  <c:v>-7.2</c:v>
                </c:pt>
                <c:pt idx="15">
                  <c:v>-7</c:v>
                </c:pt>
                <c:pt idx="16">
                  <c:v>-6.8</c:v>
                </c:pt>
                <c:pt idx="17">
                  <c:v>-6.6</c:v>
                </c:pt>
                <c:pt idx="18">
                  <c:v>-6.4</c:v>
                </c:pt>
                <c:pt idx="19">
                  <c:v>-6.2</c:v>
                </c:pt>
                <c:pt idx="20">
                  <c:v>-6</c:v>
                </c:pt>
                <c:pt idx="21">
                  <c:v>-5.8</c:v>
                </c:pt>
                <c:pt idx="22">
                  <c:v>-5.6</c:v>
                </c:pt>
                <c:pt idx="23">
                  <c:v>-5.4</c:v>
                </c:pt>
                <c:pt idx="24">
                  <c:v>-5.2</c:v>
                </c:pt>
                <c:pt idx="25">
                  <c:v>-5</c:v>
                </c:pt>
                <c:pt idx="26">
                  <c:v>-4.8</c:v>
                </c:pt>
                <c:pt idx="27">
                  <c:v>-4.5999999999999996</c:v>
                </c:pt>
                <c:pt idx="28">
                  <c:v>-4.4000000000000004</c:v>
                </c:pt>
                <c:pt idx="29">
                  <c:v>-4.2</c:v>
                </c:pt>
                <c:pt idx="30">
                  <c:v>-4</c:v>
                </c:pt>
                <c:pt idx="31">
                  <c:v>-3.8</c:v>
                </c:pt>
                <c:pt idx="32">
                  <c:v>-3.6</c:v>
                </c:pt>
                <c:pt idx="33">
                  <c:v>-3.4</c:v>
                </c:pt>
                <c:pt idx="34">
                  <c:v>-3.2</c:v>
                </c:pt>
                <c:pt idx="35">
                  <c:v>-3</c:v>
                </c:pt>
                <c:pt idx="36">
                  <c:v>-2.8</c:v>
                </c:pt>
                <c:pt idx="37">
                  <c:v>-2.6</c:v>
                </c:pt>
                <c:pt idx="38">
                  <c:v>-2.4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-1.8</c:v>
                </c:pt>
                <c:pt idx="42">
                  <c:v>-1.6</c:v>
                </c:pt>
                <c:pt idx="43">
                  <c:v>-1.4</c:v>
                </c:pt>
                <c:pt idx="44">
                  <c:v>-1.2</c:v>
                </c:pt>
                <c:pt idx="45">
                  <c:v>-1</c:v>
                </c:pt>
                <c:pt idx="46">
                  <c:v>-0.8</c:v>
                </c:pt>
                <c:pt idx="47">
                  <c:v>-0.6</c:v>
                </c:pt>
                <c:pt idx="48">
                  <c:v>-0.4</c:v>
                </c:pt>
                <c:pt idx="49">
                  <c:v>-0.2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5.6</c:v>
                </c:pt>
                <c:pt idx="79">
                  <c:v>5.8</c:v>
                </c:pt>
                <c:pt idx="80">
                  <c:v>6</c:v>
                </c:pt>
                <c:pt idx="81">
                  <c:v>6.2</c:v>
                </c:pt>
                <c:pt idx="82">
                  <c:v>6.4</c:v>
                </c:pt>
                <c:pt idx="83">
                  <c:v>6.6</c:v>
                </c:pt>
                <c:pt idx="84">
                  <c:v>6.8</c:v>
                </c:pt>
                <c:pt idx="85">
                  <c:v>7</c:v>
                </c:pt>
                <c:pt idx="86">
                  <c:v>7.2</c:v>
                </c:pt>
                <c:pt idx="87">
                  <c:v>7.4</c:v>
                </c:pt>
                <c:pt idx="88">
                  <c:v>7.6</c:v>
                </c:pt>
                <c:pt idx="89">
                  <c:v>7.8</c:v>
                </c:pt>
                <c:pt idx="90">
                  <c:v>8</c:v>
                </c:pt>
                <c:pt idx="91">
                  <c:v>8.1999999999999993</c:v>
                </c:pt>
                <c:pt idx="92">
                  <c:v>8.4</c:v>
                </c:pt>
                <c:pt idx="93">
                  <c:v>8.6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9.4</c:v>
                </c:pt>
                <c:pt idx="98">
                  <c:v>9.6</c:v>
                </c:pt>
                <c:pt idx="99">
                  <c:v>9.8000000000000007</c:v>
                </c:pt>
                <c:pt idx="100">
                  <c:v>10</c:v>
                </c:pt>
              </c:numCache>
            </c:numRef>
          </c:cat>
          <c:val>
            <c:numRef>
              <c:f>'g1'!$B$2:$B$104</c:f>
              <c:numCache>
                <c:formatCode>General</c:formatCode>
                <c:ptCount val="103"/>
                <c:pt idx="0">
                  <c:v>10</c:v>
                </c:pt>
                <c:pt idx="1">
                  <c:v>9.8000000000000007</c:v>
                </c:pt>
                <c:pt idx="2">
                  <c:v>9.6</c:v>
                </c:pt>
                <c:pt idx="3">
                  <c:v>9.4</c:v>
                </c:pt>
                <c:pt idx="4">
                  <c:v>9.1999999999999993</c:v>
                </c:pt>
                <c:pt idx="5">
                  <c:v>9</c:v>
                </c:pt>
                <c:pt idx="6">
                  <c:v>8.8000000000000007</c:v>
                </c:pt>
                <c:pt idx="7">
                  <c:v>8.6</c:v>
                </c:pt>
                <c:pt idx="8">
                  <c:v>8.4</c:v>
                </c:pt>
                <c:pt idx="9">
                  <c:v>8.1999999999999993</c:v>
                </c:pt>
                <c:pt idx="10">
                  <c:v>8</c:v>
                </c:pt>
                <c:pt idx="11">
                  <c:v>7.8</c:v>
                </c:pt>
                <c:pt idx="12">
                  <c:v>7.6</c:v>
                </c:pt>
                <c:pt idx="13">
                  <c:v>7.4</c:v>
                </c:pt>
                <c:pt idx="14">
                  <c:v>7.2</c:v>
                </c:pt>
                <c:pt idx="15">
                  <c:v>7</c:v>
                </c:pt>
                <c:pt idx="16">
                  <c:v>6.8</c:v>
                </c:pt>
                <c:pt idx="17">
                  <c:v>6.6</c:v>
                </c:pt>
                <c:pt idx="18">
                  <c:v>6.4</c:v>
                </c:pt>
                <c:pt idx="19">
                  <c:v>6.2</c:v>
                </c:pt>
                <c:pt idx="20">
                  <c:v>6</c:v>
                </c:pt>
                <c:pt idx="21">
                  <c:v>5.8</c:v>
                </c:pt>
                <c:pt idx="22">
                  <c:v>5.6</c:v>
                </c:pt>
                <c:pt idx="23">
                  <c:v>5.4</c:v>
                </c:pt>
                <c:pt idx="24">
                  <c:v>5.2</c:v>
                </c:pt>
                <c:pt idx="25">
                  <c:v>5</c:v>
                </c:pt>
                <c:pt idx="26">
                  <c:v>4.8</c:v>
                </c:pt>
                <c:pt idx="27">
                  <c:v>4.5999999999999996</c:v>
                </c:pt>
                <c:pt idx="28">
                  <c:v>4.4000000000000004</c:v>
                </c:pt>
                <c:pt idx="29">
                  <c:v>4.2</c:v>
                </c:pt>
                <c:pt idx="30">
                  <c:v>4</c:v>
                </c:pt>
                <c:pt idx="31">
                  <c:v>3.8</c:v>
                </c:pt>
                <c:pt idx="32">
                  <c:v>3.6</c:v>
                </c:pt>
                <c:pt idx="33">
                  <c:v>3.4</c:v>
                </c:pt>
                <c:pt idx="34">
                  <c:v>3.2</c:v>
                </c:pt>
                <c:pt idx="35">
                  <c:v>3</c:v>
                </c:pt>
                <c:pt idx="36">
                  <c:v>2.8</c:v>
                </c:pt>
                <c:pt idx="37">
                  <c:v>2.6</c:v>
                </c:pt>
                <c:pt idx="38">
                  <c:v>2.4</c:v>
                </c:pt>
                <c:pt idx="39">
                  <c:v>2.2000000000000002</c:v>
                </c:pt>
                <c:pt idx="40">
                  <c:v>2</c:v>
                </c:pt>
                <c:pt idx="41">
                  <c:v>1.8</c:v>
                </c:pt>
                <c:pt idx="42">
                  <c:v>1.6</c:v>
                </c:pt>
                <c:pt idx="43">
                  <c:v>1.4</c:v>
                </c:pt>
                <c:pt idx="44">
                  <c:v>1.2</c:v>
                </c:pt>
                <c:pt idx="45">
                  <c:v>1</c:v>
                </c:pt>
                <c:pt idx="46">
                  <c:v>0.8</c:v>
                </c:pt>
                <c:pt idx="47">
                  <c:v>0.6</c:v>
                </c:pt>
                <c:pt idx="48">
                  <c:v>0.4</c:v>
                </c:pt>
                <c:pt idx="49">
                  <c:v>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26</c:v>
                </c:pt>
                <c:pt idx="76">
                  <c:v>28.040000000000003</c:v>
                </c:pt>
                <c:pt idx="77">
                  <c:v>30.160000000000004</c:v>
                </c:pt>
                <c:pt idx="78">
                  <c:v>32.36</c:v>
                </c:pt>
                <c:pt idx="79">
                  <c:v>34.64</c:v>
                </c:pt>
                <c:pt idx="80">
                  <c:v>37</c:v>
                </c:pt>
                <c:pt idx="81">
                  <c:v>39.440000000000005</c:v>
                </c:pt>
                <c:pt idx="82">
                  <c:v>41.960000000000008</c:v>
                </c:pt>
                <c:pt idx="83">
                  <c:v>44.559999999999995</c:v>
                </c:pt>
                <c:pt idx="84">
                  <c:v>47.239999999999995</c:v>
                </c:pt>
                <c:pt idx="85">
                  <c:v>50</c:v>
                </c:pt>
                <c:pt idx="86">
                  <c:v>52.84</c:v>
                </c:pt>
                <c:pt idx="87">
                  <c:v>55.760000000000005</c:v>
                </c:pt>
                <c:pt idx="88">
                  <c:v>58.76</c:v>
                </c:pt>
                <c:pt idx="89">
                  <c:v>61.839999999999996</c:v>
                </c:pt>
                <c:pt idx="90">
                  <c:v>65</c:v>
                </c:pt>
                <c:pt idx="91">
                  <c:v>68.239999999999995</c:v>
                </c:pt>
                <c:pt idx="92">
                  <c:v>71.56</c:v>
                </c:pt>
                <c:pt idx="93">
                  <c:v>74.959999999999994</c:v>
                </c:pt>
                <c:pt idx="94">
                  <c:v>78.440000000000012</c:v>
                </c:pt>
                <c:pt idx="95">
                  <c:v>82</c:v>
                </c:pt>
                <c:pt idx="96">
                  <c:v>85.639999999999986</c:v>
                </c:pt>
                <c:pt idx="97">
                  <c:v>89.360000000000014</c:v>
                </c:pt>
                <c:pt idx="98">
                  <c:v>93.16</c:v>
                </c:pt>
                <c:pt idx="99">
                  <c:v>97.04000000000002</c:v>
                </c:pt>
                <c:pt idx="100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E5-4AD5-88BB-52C8F414B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230351"/>
        <c:axId val="4338414"/>
      </c:lineChart>
      <c:catAx>
        <c:axId val="802303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4338414"/>
        <c:crosses val="autoZero"/>
        <c:auto val="1"/>
        <c:lblAlgn val="ctr"/>
        <c:lblOffset val="100"/>
        <c:noMultiLvlLbl val="0"/>
      </c:catAx>
      <c:valAx>
        <c:axId val="433841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802303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'g2'!$B$1</c:f>
              <c:strCache>
                <c:ptCount val="1"/>
                <c:pt idx="0">
                  <c:v>g2</c:v>
                </c:pt>
              </c:strCache>
            </c:strRef>
          </c:tx>
          <c:spPr>
            <a:ln w="28440" cap="rnd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'g2'!$A$2:$A$104</c:f>
              <c:numCache>
                <c:formatCode>General</c:formatCode>
                <c:ptCount val="103"/>
                <c:pt idx="0">
                  <c:v>-10</c:v>
                </c:pt>
                <c:pt idx="1">
                  <c:v>-9.8000000000000007</c:v>
                </c:pt>
                <c:pt idx="2">
                  <c:v>-9.6</c:v>
                </c:pt>
                <c:pt idx="3">
                  <c:v>-9.4</c:v>
                </c:pt>
                <c:pt idx="4">
                  <c:v>-9.1999999999999993</c:v>
                </c:pt>
                <c:pt idx="5">
                  <c:v>-9</c:v>
                </c:pt>
                <c:pt idx="6">
                  <c:v>-8.8000000000000007</c:v>
                </c:pt>
                <c:pt idx="7">
                  <c:v>-8.6</c:v>
                </c:pt>
                <c:pt idx="8">
                  <c:v>-8.4</c:v>
                </c:pt>
                <c:pt idx="9">
                  <c:v>-8.1999999999999993</c:v>
                </c:pt>
                <c:pt idx="10">
                  <c:v>-8</c:v>
                </c:pt>
                <c:pt idx="11">
                  <c:v>-7.8</c:v>
                </c:pt>
                <c:pt idx="12">
                  <c:v>-7.6</c:v>
                </c:pt>
                <c:pt idx="13">
                  <c:v>-7.4</c:v>
                </c:pt>
                <c:pt idx="14">
                  <c:v>-7.2</c:v>
                </c:pt>
                <c:pt idx="15">
                  <c:v>-7</c:v>
                </c:pt>
                <c:pt idx="16">
                  <c:v>-6.8</c:v>
                </c:pt>
                <c:pt idx="17">
                  <c:v>-6.6</c:v>
                </c:pt>
                <c:pt idx="18">
                  <c:v>-6.4</c:v>
                </c:pt>
                <c:pt idx="19">
                  <c:v>-6.2</c:v>
                </c:pt>
                <c:pt idx="20">
                  <c:v>-6</c:v>
                </c:pt>
                <c:pt idx="21">
                  <c:v>-5.8</c:v>
                </c:pt>
                <c:pt idx="22">
                  <c:v>-5.6</c:v>
                </c:pt>
                <c:pt idx="23">
                  <c:v>-5.4</c:v>
                </c:pt>
                <c:pt idx="24">
                  <c:v>-5.2</c:v>
                </c:pt>
                <c:pt idx="25">
                  <c:v>-5</c:v>
                </c:pt>
                <c:pt idx="26">
                  <c:v>-4.8</c:v>
                </c:pt>
                <c:pt idx="27">
                  <c:v>-4.5999999999999996</c:v>
                </c:pt>
                <c:pt idx="28">
                  <c:v>-4.4000000000000004</c:v>
                </c:pt>
                <c:pt idx="29">
                  <c:v>-4.2</c:v>
                </c:pt>
                <c:pt idx="30">
                  <c:v>-4</c:v>
                </c:pt>
                <c:pt idx="31">
                  <c:v>-3.8</c:v>
                </c:pt>
                <c:pt idx="32">
                  <c:v>-3.6</c:v>
                </c:pt>
                <c:pt idx="33">
                  <c:v>-3.4</c:v>
                </c:pt>
                <c:pt idx="34">
                  <c:v>-3.2</c:v>
                </c:pt>
                <c:pt idx="35">
                  <c:v>-3</c:v>
                </c:pt>
                <c:pt idx="36">
                  <c:v>-2.8</c:v>
                </c:pt>
                <c:pt idx="37">
                  <c:v>-2.6</c:v>
                </c:pt>
                <c:pt idx="38">
                  <c:v>-2.4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-1.8</c:v>
                </c:pt>
                <c:pt idx="42">
                  <c:v>-1.6</c:v>
                </c:pt>
                <c:pt idx="43">
                  <c:v>-1.4</c:v>
                </c:pt>
                <c:pt idx="44">
                  <c:v>-1.2</c:v>
                </c:pt>
                <c:pt idx="45">
                  <c:v>-1</c:v>
                </c:pt>
                <c:pt idx="46">
                  <c:v>-0.8</c:v>
                </c:pt>
                <c:pt idx="47">
                  <c:v>-0.6</c:v>
                </c:pt>
                <c:pt idx="48">
                  <c:v>-0.4</c:v>
                </c:pt>
                <c:pt idx="49">
                  <c:v>-0.2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5.6</c:v>
                </c:pt>
                <c:pt idx="79">
                  <c:v>5.8</c:v>
                </c:pt>
                <c:pt idx="80">
                  <c:v>6</c:v>
                </c:pt>
                <c:pt idx="81">
                  <c:v>6.2</c:v>
                </c:pt>
                <c:pt idx="82">
                  <c:v>6.4</c:v>
                </c:pt>
                <c:pt idx="83">
                  <c:v>6.6</c:v>
                </c:pt>
                <c:pt idx="84">
                  <c:v>6.8</c:v>
                </c:pt>
                <c:pt idx="85">
                  <c:v>7</c:v>
                </c:pt>
                <c:pt idx="86">
                  <c:v>7.2</c:v>
                </c:pt>
                <c:pt idx="87">
                  <c:v>7.4</c:v>
                </c:pt>
                <c:pt idx="88">
                  <c:v>7.6</c:v>
                </c:pt>
                <c:pt idx="89">
                  <c:v>7.8</c:v>
                </c:pt>
                <c:pt idx="90">
                  <c:v>8</c:v>
                </c:pt>
                <c:pt idx="91">
                  <c:v>8.1999999999999993</c:v>
                </c:pt>
                <c:pt idx="92">
                  <c:v>8.4</c:v>
                </c:pt>
                <c:pt idx="93">
                  <c:v>8.6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9.4</c:v>
                </c:pt>
                <c:pt idx="98">
                  <c:v>9.6</c:v>
                </c:pt>
                <c:pt idx="99">
                  <c:v>9.8000000000000007</c:v>
                </c:pt>
                <c:pt idx="100">
                  <c:v>10</c:v>
                </c:pt>
              </c:numCache>
            </c:numRef>
          </c:cat>
          <c:val>
            <c:numRef>
              <c:f>'g2'!$B$2:$B$104</c:f>
              <c:numCache>
                <c:formatCode>General</c:formatCode>
                <c:ptCount val="103"/>
                <c:pt idx="0">
                  <c:v>1.1111111111111112</c:v>
                </c:pt>
                <c:pt idx="1">
                  <c:v>1.1136363636363635</c:v>
                </c:pt>
                <c:pt idx="2">
                  <c:v>1.1162790697674418</c:v>
                </c:pt>
                <c:pt idx="3">
                  <c:v>1.1190476190476191</c:v>
                </c:pt>
                <c:pt idx="4">
                  <c:v>1.1219512195121952</c:v>
                </c:pt>
                <c:pt idx="5">
                  <c:v>1.125</c:v>
                </c:pt>
                <c:pt idx="6">
                  <c:v>1.1282051282051282</c:v>
                </c:pt>
                <c:pt idx="7">
                  <c:v>1.131578947368421</c:v>
                </c:pt>
                <c:pt idx="8">
                  <c:v>1.1351351351351351</c:v>
                </c:pt>
                <c:pt idx="9">
                  <c:v>1.1388888888888888</c:v>
                </c:pt>
                <c:pt idx="10">
                  <c:v>1.1428571428571428</c:v>
                </c:pt>
                <c:pt idx="11">
                  <c:v>1.1470588235294117</c:v>
                </c:pt>
                <c:pt idx="12">
                  <c:v>1.1515151515151516</c:v>
                </c:pt>
                <c:pt idx="13">
                  <c:v>1.15625</c:v>
                </c:pt>
                <c:pt idx="14">
                  <c:v>1.1612903225806452</c:v>
                </c:pt>
                <c:pt idx="15">
                  <c:v>1.1666666666666667</c:v>
                </c:pt>
                <c:pt idx="16">
                  <c:v>1.1724137931034482</c:v>
                </c:pt>
                <c:pt idx="17">
                  <c:v>1.1785714285714286</c:v>
                </c:pt>
                <c:pt idx="18">
                  <c:v>1.1851851851851851</c:v>
                </c:pt>
                <c:pt idx="19">
                  <c:v>1.1923076923076923</c:v>
                </c:pt>
                <c:pt idx="20">
                  <c:v>1.2</c:v>
                </c:pt>
                <c:pt idx="21">
                  <c:v>1.2083333333333333</c:v>
                </c:pt>
                <c:pt idx="22">
                  <c:v>1.2173913043478262</c:v>
                </c:pt>
                <c:pt idx="23">
                  <c:v>1.2272727272727273</c:v>
                </c:pt>
                <c:pt idx="24">
                  <c:v>1.2380952380952381</c:v>
                </c:pt>
                <c:pt idx="25">
                  <c:v>1.25</c:v>
                </c:pt>
                <c:pt idx="26">
                  <c:v>1.263157894736842</c:v>
                </c:pt>
                <c:pt idx="27">
                  <c:v>1.2777777777777779</c:v>
                </c:pt>
                <c:pt idx="28">
                  <c:v>1.2941176470588236</c:v>
                </c:pt>
                <c:pt idx="29">
                  <c:v>1.3125</c:v>
                </c:pt>
                <c:pt idx="30">
                  <c:v>1.3333333333333333</c:v>
                </c:pt>
                <c:pt idx="31">
                  <c:v>1.3571428571428572</c:v>
                </c:pt>
                <c:pt idx="32">
                  <c:v>1.3846153846153846</c:v>
                </c:pt>
                <c:pt idx="33">
                  <c:v>1.4166666666666667</c:v>
                </c:pt>
                <c:pt idx="34">
                  <c:v>1.4545454545454546</c:v>
                </c:pt>
                <c:pt idx="35">
                  <c:v>1.5</c:v>
                </c:pt>
                <c:pt idx="36">
                  <c:v>1.5555555555555556</c:v>
                </c:pt>
                <c:pt idx="37">
                  <c:v>1.625</c:v>
                </c:pt>
                <c:pt idx="38">
                  <c:v>1.7142857142857144</c:v>
                </c:pt>
                <c:pt idx="39">
                  <c:v>1.8333333333333333</c:v>
                </c:pt>
                <c:pt idx="40">
                  <c:v>2</c:v>
                </c:pt>
                <c:pt idx="41">
                  <c:v>2.25</c:v>
                </c:pt>
                <c:pt idx="42">
                  <c:v>2.6666666666666665</c:v>
                </c:pt>
                <c:pt idx="43">
                  <c:v>3.5000000000000004</c:v>
                </c:pt>
                <c:pt idx="44">
                  <c:v>6.0000000000000009</c:v>
                </c:pt>
                <c:pt idx="45">
                  <c:v>0</c:v>
                </c:pt>
                <c:pt idx="46">
                  <c:v>4.0000000000000009</c:v>
                </c:pt>
                <c:pt idx="47">
                  <c:v>1.4999999999999998</c:v>
                </c:pt>
                <c:pt idx="48">
                  <c:v>0.66666666666666674</c:v>
                </c:pt>
                <c:pt idx="49">
                  <c:v>0.25</c:v>
                </c:pt>
                <c:pt idx="50">
                  <c:v>0</c:v>
                </c:pt>
                <c:pt idx="51">
                  <c:v>0.16666666666666669</c:v>
                </c:pt>
                <c:pt idx="52">
                  <c:v>0.28571428571428575</c:v>
                </c:pt>
                <c:pt idx="53">
                  <c:v>0.37499999999999994</c:v>
                </c:pt>
                <c:pt idx="54">
                  <c:v>0.44444444444444448</c:v>
                </c:pt>
                <c:pt idx="55">
                  <c:v>1</c:v>
                </c:pt>
                <c:pt idx="56">
                  <c:v>1.44</c:v>
                </c:pt>
                <c:pt idx="57">
                  <c:v>1.9599999999999997</c:v>
                </c:pt>
                <c:pt idx="58">
                  <c:v>2.5600000000000005</c:v>
                </c:pt>
                <c:pt idx="59">
                  <c:v>3.24</c:v>
                </c:pt>
                <c:pt idx="60">
                  <c:v>4</c:v>
                </c:pt>
                <c:pt idx="61">
                  <c:v>4.8400000000000007</c:v>
                </c:pt>
                <c:pt idx="62">
                  <c:v>5.76</c:v>
                </c:pt>
                <c:pt idx="63">
                  <c:v>6.7600000000000007</c:v>
                </c:pt>
                <c:pt idx="64">
                  <c:v>7.839999999999999</c:v>
                </c:pt>
                <c:pt idx="65">
                  <c:v>9</c:v>
                </c:pt>
                <c:pt idx="66">
                  <c:v>10.240000000000002</c:v>
                </c:pt>
                <c:pt idx="67">
                  <c:v>11.559999999999999</c:v>
                </c:pt>
                <c:pt idx="68">
                  <c:v>12.96</c:v>
                </c:pt>
                <c:pt idx="69">
                  <c:v>14.44</c:v>
                </c:pt>
                <c:pt idx="70">
                  <c:v>16</c:v>
                </c:pt>
                <c:pt idx="71">
                  <c:v>17.64</c:v>
                </c:pt>
                <c:pt idx="72">
                  <c:v>19.360000000000003</c:v>
                </c:pt>
                <c:pt idx="73">
                  <c:v>21.159999999999997</c:v>
                </c:pt>
                <c:pt idx="74">
                  <c:v>23.04</c:v>
                </c:pt>
                <c:pt idx="75">
                  <c:v>25</c:v>
                </c:pt>
                <c:pt idx="76">
                  <c:v>27.040000000000003</c:v>
                </c:pt>
                <c:pt idx="77">
                  <c:v>29.160000000000004</c:v>
                </c:pt>
                <c:pt idx="78">
                  <c:v>31.359999999999996</c:v>
                </c:pt>
                <c:pt idx="79">
                  <c:v>33.64</c:v>
                </c:pt>
                <c:pt idx="80">
                  <c:v>36</c:v>
                </c:pt>
                <c:pt idx="81">
                  <c:v>38.440000000000005</c:v>
                </c:pt>
                <c:pt idx="82">
                  <c:v>40.960000000000008</c:v>
                </c:pt>
                <c:pt idx="83">
                  <c:v>43.559999999999995</c:v>
                </c:pt>
                <c:pt idx="84">
                  <c:v>46.239999999999995</c:v>
                </c:pt>
                <c:pt idx="85">
                  <c:v>49</c:v>
                </c:pt>
                <c:pt idx="86">
                  <c:v>51.84</c:v>
                </c:pt>
                <c:pt idx="87">
                  <c:v>54.760000000000005</c:v>
                </c:pt>
                <c:pt idx="88">
                  <c:v>57.76</c:v>
                </c:pt>
                <c:pt idx="89">
                  <c:v>60.839999999999996</c:v>
                </c:pt>
                <c:pt idx="90">
                  <c:v>64</c:v>
                </c:pt>
                <c:pt idx="91">
                  <c:v>67.239999999999995</c:v>
                </c:pt>
                <c:pt idx="92">
                  <c:v>70.56</c:v>
                </c:pt>
                <c:pt idx="93">
                  <c:v>73.959999999999994</c:v>
                </c:pt>
                <c:pt idx="94">
                  <c:v>77.440000000000012</c:v>
                </c:pt>
                <c:pt idx="95">
                  <c:v>81</c:v>
                </c:pt>
                <c:pt idx="96">
                  <c:v>84.639999999999986</c:v>
                </c:pt>
                <c:pt idx="97">
                  <c:v>88.360000000000014</c:v>
                </c:pt>
                <c:pt idx="98">
                  <c:v>92.16</c:v>
                </c:pt>
                <c:pt idx="99">
                  <c:v>96.04000000000002</c:v>
                </c:pt>
                <c:pt idx="10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9F-4210-A6D0-67C507394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6590570"/>
        <c:axId val="65554206"/>
      </c:lineChart>
      <c:catAx>
        <c:axId val="3659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65554206"/>
        <c:crosses val="autoZero"/>
        <c:auto val="1"/>
        <c:lblAlgn val="ctr"/>
        <c:lblOffset val="100"/>
        <c:noMultiLvlLbl val="0"/>
      </c:catAx>
      <c:valAx>
        <c:axId val="6555420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365905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'g3'!$B$1</c:f>
              <c:strCache>
                <c:ptCount val="1"/>
                <c:pt idx="0">
                  <c:v>g3</c:v>
                </c:pt>
              </c:strCache>
            </c:strRef>
          </c:tx>
          <c:spPr>
            <a:ln w="28440" cap="rnd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'g3'!$A$2:$A$104</c:f>
              <c:numCache>
                <c:formatCode>General</c:formatCode>
                <c:ptCount val="103"/>
                <c:pt idx="0">
                  <c:v>-10</c:v>
                </c:pt>
                <c:pt idx="1">
                  <c:v>-9.8000000000000007</c:v>
                </c:pt>
                <c:pt idx="2">
                  <c:v>-9.6</c:v>
                </c:pt>
                <c:pt idx="3">
                  <c:v>-9.4</c:v>
                </c:pt>
                <c:pt idx="4">
                  <c:v>-9.1999999999999993</c:v>
                </c:pt>
                <c:pt idx="5">
                  <c:v>-9</c:v>
                </c:pt>
                <c:pt idx="6">
                  <c:v>-8.8000000000000007</c:v>
                </c:pt>
                <c:pt idx="7">
                  <c:v>-8.6</c:v>
                </c:pt>
                <c:pt idx="8">
                  <c:v>-8.4</c:v>
                </c:pt>
                <c:pt idx="9">
                  <c:v>-8.1999999999999993</c:v>
                </c:pt>
                <c:pt idx="10">
                  <c:v>-8</c:v>
                </c:pt>
                <c:pt idx="11">
                  <c:v>-7.8</c:v>
                </c:pt>
                <c:pt idx="12">
                  <c:v>-7.6</c:v>
                </c:pt>
                <c:pt idx="13">
                  <c:v>-7.4</c:v>
                </c:pt>
                <c:pt idx="14">
                  <c:v>-7.2</c:v>
                </c:pt>
                <c:pt idx="15">
                  <c:v>-7</c:v>
                </c:pt>
                <c:pt idx="16">
                  <c:v>-6.8</c:v>
                </c:pt>
                <c:pt idx="17">
                  <c:v>-6.6</c:v>
                </c:pt>
                <c:pt idx="18">
                  <c:v>-6.4</c:v>
                </c:pt>
                <c:pt idx="19">
                  <c:v>-6.2</c:v>
                </c:pt>
                <c:pt idx="20">
                  <c:v>-6</c:v>
                </c:pt>
                <c:pt idx="21">
                  <c:v>-5.8</c:v>
                </c:pt>
                <c:pt idx="22">
                  <c:v>-5.6</c:v>
                </c:pt>
                <c:pt idx="23">
                  <c:v>-5.4</c:v>
                </c:pt>
                <c:pt idx="24">
                  <c:v>-5.2</c:v>
                </c:pt>
                <c:pt idx="25">
                  <c:v>-5</c:v>
                </c:pt>
                <c:pt idx="26">
                  <c:v>-4.8</c:v>
                </c:pt>
                <c:pt idx="27">
                  <c:v>-4.5999999999999996</c:v>
                </c:pt>
                <c:pt idx="28">
                  <c:v>-4.4000000000000004</c:v>
                </c:pt>
                <c:pt idx="29">
                  <c:v>-4.2</c:v>
                </c:pt>
                <c:pt idx="30">
                  <c:v>-4</c:v>
                </c:pt>
                <c:pt idx="31">
                  <c:v>-3.8</c:v>
                </c:pt>
                <c:pt idx="32">
                  <c:v>-3.6</c:v>
                </c:pt>
                <c:pt idx="33">
                  <c:v>-3.4</c:v>
                </c:pt>
                <c:pt idx="34">
                  <c:v>-3.2</c:v>
                </c:pt>
                <c:pt idx="35">
                  <c:v>-3</c:v>
                </c:pt>
                <c:pt idx="36">
                  <c:v>-2.8</c:v>
                </c:pt>
                <c:pt idx="37">
                  <c:v>-2.6</c:v>
                </c:pt>
                <c:pt idx="38">
                  <c:v>-2.4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-1.8</c:v>
                </c:pt>
                <c:pt idx="42">
                  <c:v>-1.6</c:v>
                </c:pt>
                <c:pt idx="43">
                  <c:v>-1.4</c:v>
                </c:pt>
                <c:pt idx="44">
                  <c:v>-1.2</c:v>
                </c:pt>
                <c:pt idx="45">
                  <c:v>-1</c:v>
                </c:pt>
                <c:pt idx="46">
                  <c:v>-0.8</c:v>
                </c:pt>
                <c:pt idx="47">
                  <c:v>-0.6</c:v>
                </c:pt>
                <c:pt idx="48">
                  <c:v>-0.4</c:v>
                </c:pt>
                <c:pt idx="49">
                  <c:v>-0.2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5.6</c:v>
                </c:pt>
                <c:pt idx="79">
                  <c:v>5.8</c:v>
                </c:pt>
                <c:pt idx="80">
                  <c:v>6</c:v>
                </c:pt>
                <c:pt idx="81">
                  <c:v>6.2</c:v>
                </c:pt>
                <c:pt idx="82">
                  <c:v>6.4</c:v>
                </c:pt>
                <c:pt idx="83">
                  <c:v>6.6</c:v>
                </c:pt>
                <c:pt idx="84">
                  <c:v>6.8</c:v>
                </c:pt>
                <c:pt idx="85">
                  <c:v>7</c:v>
                </c:pt>
                <c:pt idx="86">
                  <c:v>7.2</c:v>
                </c:pt>
                <c:pt idx="87">
                  <c:v>7.4</c:v>
                </c:pt>
                <c:pt idx="88">
                  <c:v>7.6</c:v>
                </c:pt>
                <c:pt idx="89">
                  <c:v>7.8</c:v>
                </c:pt>
                <c:pt idx="90">
                  <c:v>8</c:v>
                </c:pt>
                <c:pt idx="91">
                  <c:v>8.1999999999999993</c:v>
                </c:pt>
                <c:pt idx="92">
                  <c:v>8.4</c:v>
                </c:pt>
                <c:pt idx="93">
                  <c:v>8.6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9.4</c:v>
                </c:pt>
                <c:pt idx="98">
                  <c:v>9.6</c:v>
                </c:pt>
                <c:pt idx="99">
                  <c:v>9.8000000000000007</c:v>
                </c:pt>
                <c:pt idx="100">
                  <c:v>10</c:v>
                </c:pt>
              </c:numCache>
            </c:numRef>
          </c:cat>
          <c:val>
            <c:numRef>
              <c:f>'g3'!$B$2:$B$104</c:f>
              <c:numCache>
                <c:formatCode>General</c:formatCode>
                <c:ptCount val="103"/>
                <c:pt idx="0">
                  <c:v>0.35136418446315326</c:v>
                </c:pt>
                <c:pt idx="1">
                  <c:v>0.35573808732951195</c:v>
                </c:pt>
                <c:pt idx="2">
                  <c:v>0.36027752057743417</c:v>
                </c:pt>
                <c:pt idx="3">
                  <c:v>0.36499308849418788</c:v>
                </c:pt>
                <c:pt idx="4">
                  <c:v>0.36989636312446589</c:v>
                </c:pt>
                <c:pt idx="5">
                  <c:v>0.375</c:v>
                </c:pt>
                <c:pt idx="6">
                  <c:v>0.38031787113311089</c:v>
                </c:pt>
                <c:pt idx="7">
                  <c:v>0.38586521838461002</c:v>
                </c:pt>
                <c:pt idx="8">
                  <c:v>0.39165883097809295</c:v>
                </c:pt>
                <c:pt idx="9">
                  <c:v>0.39771725175767647</c:v>
                </c:pt>
                <c:pt idx="10">
                  <c:v>0.40406101782088433</c:v>
                </c:pt>
                <c:pt idx="11">
                  <c:v>0.41071294246379236</c:v>
                </c:pt>
                <c:pt idx="12">
                  <c:v>0.41769844703303705</c:v>
                </c:pt>
                <c:pt idx="13">
                  <c:v>0.42504595339798257</c:v>
                </c:pt>
                <c:pt idx="14">
                  <c:v>0.43278735048383027</c:v>
                </c:pt>
                <c:pt idx="15">
                  <c:v>0.44095855184409843</c:v>
                </c:pt>
                <c:pt idx="16">
                  <c:v>0.44960016587604473</c:v>
                </c:pt>
                <c:pt idx="17">
                  <c:v>0.45875830638089748</c:v>
                </c:pt>
                <c:pt idx="18">
                  <c:v>0.46848557928420431</c:v>
                </c:pt>
                <c:pt idx="19">
                  <c:v>0.47884229223033581</c:v>
                </c:pt>
                <c:pt idx="20">
                  <c:v>0.4898979485566356</c:v>
                </c:pt>
                <c:pt idx="21">
                  <c:v>0.50173310744967903</c:v>
                </c:pt>
                <c:pt idx="22">
                  <c:v>0.51444172026953183</c:v>
                </c:pt>
                <c:pt idx="23">
                  <c:v>0.52813409266464773</c:v>
                </c:pt>
                <c:pt idx="24">
                  <c:v>0.54294067861863715</c:v>
                </c:pt>
                <c:pt idx="25">
                  <c:v>0.55901699437494745</c:v>
                </c:pt>
                <c:pt idx="26">
                  <c:v>0.57655006053175384</c:v>
                </c:pt>
                <c:pt idx="27">
                  <c:v>0.59576696082020053</c:v>
                </c:pt>
                <c:pt idx="28">
                  <c:v>0.61694638127655976</c:v>
                </c:pt>
                <c:pt idx="29">
                  <c:v>0.64043442287247487</c:v>
                </c:pt>
                <c:pt idx="30">
                  <c:v>0.66666666666666663</c:v>
                </c:pt>
                <c:pt idx="31">
                  <c:v>0.69619959605778314</c:v>
                </c:pt>
                <c:pt idx="32">
                  <c:v>0.72975638311577984</c:v>
                </c:pt>
                <c:pt idx="33">
                  <c:v>0.76829537144107396</c:v>
                </c:pt>
                <c:pt idx="34">
                  <c:v>0.81311562818174166</c:v>
                </c:pt>
                <c:pt idx="35">
                  <c:v>0.8660254037844386</c:v>
                </c:pt>
                <c:pt idx="36">
                  <c:v>0.9296222517045285</c:v>
                </c:pt>
                <c:pt idx="37">
                  <c:v>1.0077822185373186</c:v>
                </c:pt>
                <c:pt idx="38">
                  <c:v>1.1065666703449764</c:v>
                </c:pt>
                <c:pt idx="39">
                  <c:v>1.2360330811826103</c:v>
                </c:pt>
                <c:pt idx="40">
                  <c:v>1.4142135623730951</c:v>
                </c:pt>
                <c:pt idx="41">
                  <c:v>1.6770509831248421</c:v>
                </c:pt>
                <c:pt idx="42">
                  <c:v>2.1081851067789192</c:v>
                </c:pt>
                <c:pt idx="43">
                  <c:v>2.9580398915498085</c:v>
                </c:pt>
                <c:pt idx="44">
                  <c:v>5.4772255750516621</c:v>
                </c:pt>
                <c:pt idx="45">
                  <c:v>0</c:v>
                </c:pt>
                <c:pt idx="46">
                  <c:v>4.4721359549995805</c:v>
                </c:pt>
                <c:pt idx="47">
                  <c:v>1.9364916731037085</c:v>
                </c:pt>
                <c:pt idx="48">
                  <c:v>1.0540925533894598</c:v>
                </c:pt>
                <c:pt idx="49">
                  <c:v>0.55901699437494734</c:v>
                </c:pt>
                <c:pt idx="50">
                  <c:v>0</c:v>
                </c:pt>
                <c:pt idx="51">
                  <c:v>0.37267799624996495</c:v>
                </c:pt>
                <c:pt idx="52">
                  <c:v>0.45175395145262565</c:v>
                </c:pt>
                <c:pt idx="53">
                  <c:v>0.48412291827592713</c:v>
                </c:pt>
                <c:pt idx="54">
                  <c:v>0.49690399499995325</c:v>
                </c:pt>
                <c:pt idx="55">
                  <c:v>0</c:v>
                </c:pt>
                <c:pt idx="56">
                  <c:v>-0.43999999999999995</c:v>
                </c:pt>
                <c:pt idx="57">
                  <c:v>-0.95999999999999974</c:v>
                </c:pt>
                <c:pt idx="58">
                  <c:v>-1.5600000000000005</c:v>
                </c:pt>
                <c:pt idx="59">
                  <c:v>-2.2400000000000002</c:v>
                </c:pt>
                <c:pt idx="60">
                  <c:v>-3</c:v>
                </c:pt>
                <c:pt idx="61">
                  <c:v>-3.8400000000000007</c:v>
                </c:pt>
                <c:pt idx="62">
                  <c:v>-4.76</c:v>
                </c:pt>
                <c:pt idx="63">
                  <c:v>-5.7600000000000007</c:v>
                </c:pt>
                <c:pt idx="64">
                  <c:v>-6.839999999999999</c:v>
                </c:pt>
                <c:pt idx="65">
                  <c:v>-8</c:v>
                </c:pt>
                <c:pt idx="66">
                  <c:v>-9.240000000000002</c:v>
                </c:pt>
                <c:pt idx="67">
                  <c:v>-10.559999999999999</c:v>
                </c:pt>
                <c:pt idx="68">
                  <c:v>-11.96</c:v>
                </c:pt>
                <c:pt idx="69">
                  <c:v>-13.44</c:v>
                </c:pt>
                <c:pt idx="70">
                  <c:v>-15</c:v>
                </c:pt>
                <c:pt idx="71">
                  <c:v>-16.64</c:v>
                </c:pt>
                <c:pt idx="72">
                  <c:v>-18.360000000000003</c:v>
                </c:pt>
                <c:pt idx="73">
                  <c:v>-20.159999999999997</c:v>
                </c:pt>
                <c:pt idx="74">
                  <c:v>-22.04</c:v>
                </c:pt>
                <c:pt idx="75">
                  <c:v>-24</c:v>
                </c:pt>
                <c:pt idx="76">
                  <c:v>-26.040000000000003</c:v>
                </c:pt>
                <c:pt idx="77">
                  <c:v>-28.160000000000004</c:v>
                </c:pt>
                <c:pt idx="78">
                  <c:v>-30.359999999999996</c:v>
                </c:pt>
                <c:pt idx="79">
                  <c:v>-32.64</c:v>
                </c:pt>
                <c:pt idx="80">
                  <c:v>-35</c:v>
                </c:pt>
                <c:pt idx="81">
                  <c:v>-37.440000000000005</c:v>
                </c:pt>
                <c:pt idx="82">
                  <c:v>-39.960000000000008</c:v>
                </c:pt>
                <c:pt idx="83">
                  <c:v>-42.559999999999995</c:v>
                </c:pt>
                <c:pt idx="84">
                  <c:v>-45.239999999999995</c:v>
                </c:pt>
                <c:pt idx="85">
                  <c:v>-48</c:v>
                </c:pt>
                <c:pt idx="86">
                  <c:v>-50.84</c:v>
                </c:pt>
                <c:pt idx="87">
                  <c:v>-53.760000000000005</c:v>
                </c:pt>
                <c:pt idx="88">
                  <c:v>-56.76</c:v>
                </c:pt>
                <c:pt idx="89">
                  <c:v>-59.839999999999996</c:v>
                </c:pt>
                <c:pt idx="90">
                  <c:v>-63</c:v>
                </c:pt>
                <c:pt idx="91">
                  <c:v>-66.239999999999995</c:v>
                </c:pt>
                <c:pt idx="92">
                  <c:v>-69.56</c:v>
                </c:pt>
                <c:pt idx="93">
                  <c:v>-72.959999999999994</c:v>
                </c:pt>
                <c:pt idx="94">
                  <c:v>-76.440000000000012</c:v>
                </c:pt>
                <c:pt idx="95">
                  <c:v>-80</c:v>
                </c:pt>
                <c:pt idx="96">
                  <c:v>-83.639999999999986</c:v>
                </c:pt>
                <c:pt idx="97">
                  <c:v>-87.360000000000014</c:v>
                </c:pt>
                <c:pt idx="98">
                  <c:v>-91.16</c:v>
                </c:pt>
                <c:pt idx="99">
                  <c:v>-95.04000000000002</c:v>
                </c:pt>
                <c:pt idx="100">
                  <c:v>-99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C9-45E1-BE10-B0B7E5C9D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1088914"/>
        <c:axId val="56231414"/>
      </c:lineChart>
      <c:catAx>
        <c:axId val="210889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56231414"/>
        <c:crosses val="autoZero"/>
        <c:auto val="1"/>
        <c:lblAlgn val="ctr"/>
        <c:lblOffset val="100"/>
        <c:noMultiLvlLbl val="0"/>
      </c:catAx>
      <c:valAx>
        <c:axId val="5623141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210889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'g4'!$B$1</c:f>
              <c:strCache>
                <c:ptCount val="1"/>
                <c:pt idx="0">
                  <c:v>g4</c:v>
                </c:pt>
              </c:strCache>
            </c:strRef>
          </c:tx>
          <c:spPr>
            <a:ln w="28440" cap="rnd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'g4'!$A$2:$A$104</c:f>
              <c:numCache>
                <c:formatCode>General</c:formatCode>
                <c:ptCount val="103"/>
                <c:pt idx="0">
                  <c:v>-10</c:v>
                </c:pt>
                <c:pt idx="1">
                  <c:v>-9.8000000000000007</c:v>
                </c:pt>
                <c:pt idx="2">
                  <c:v>-9.6</c:v>
                </c:pt>
                <c:pt idx="3">
                  <c:v>-9.4</c:v>
                </c:pt>
                <c:pt idx="4">
                  <c:v>-9.1999999999999993</c:v>
                </c:pt>
                <c:pt idx="5">
                  <c:v>-9</c:v>
                </c:pt>
                <c:pt idx="6">
                  <c:v>-8.8000000000000007</c:v>
                </c:pt>
                <c:pt idx="7">
                  <c:v>-8.6</c:v>
                </c:pt>
                <c:pt idx="8">
                  <c:v>-8.4</c:v>
                </c:pt>
                <c:pt idx="9">
                  <c:v>-8.1999999999999993</c:v>
                </c:pt>
                <c:pt idx="10">
                  <c:v>-8</c:v>
                </c:pt>
                <c:pt idx="11">
                  <c:v>-7.8</c:v>
                </c:pt>
                <c:pt idx="12">
                  <c:v>-7.6</c:v>
                </c:pt>
                <c:pt idx="13">
                  <c:v>-7.4</c:v>
                </c:pt>
                <c:pt idx="14">
                  <c:v>-7.2</c:v>
                </c:pt>
                <c:pt idx="15">
                  <c:v>-7</c:v>
                </c:pt>
                <c:pt idx="16">
                  <c:v>-6.8</c:v>
                </c:pt>
                <c:pt idx="17">
                  <c:v>-6.6</c:v>
                </c:pt>
                <c:pt idx="18">
                  <c:v>-6.4</c:v>
                </c:pt>
                <c:pt idx="19">
                  <c:v>-6.2</c:v>
                </c:pt>
                <c:pt idx="20">
                  <c:v>-6</c:v>
                </c:pt>
                <c:pt idx="21">
                  <c:v>-5.8</c:v>
                </c:pt>
                <c:pt idx="22">
                  <c:v>-5.6</c:v>
                </c:pt>
                <c:pt idx="23">
                  <c:v>-5.4</c:v>
                </c:pt>
                <c:pt idx="24">
                  <c:v>-5.2</c:v>
                </c:pt>
                <c:pt idx="25">
                  <c:v>-5</c:v>
                </c:pt>
                <c:pt idx="26">
                  <c:v>-4.8</c:v>
                </c:pt>
                <c:pt idx="27">
                  <c:v>-4.5999999999999996</c:v>
                </c:pt>
                <c:pt idx="28">
                  <c:v>-4.4000000000000004</c:v>
                </c:pt>
                <c:pt idx="29">
                  <c:v>-4.2</c:v>
                </c:pt>
                <c:pt idx="30">
                  <c:v>-4</c:v>
                </c:pt>
                <c:pt idx="31">
                  <c:v>-3.8</c:v>
                </c:pt>
                <c:pt idx="32">
                  <c:v>-3.6</c:v>
                </c:pt>
                <c:pt idx="33">
                  <c:v>-3.4</c:v>
                </c:pt>
                <c:pt idx="34">
                  <c:v>-3.2</c:v>
                </c:pt>
                <c:pt idx="35">
                  <c:v>-3</c:v>
                </c:pt>
                <c:pt idx="36">
                  <c:v>-2.8</c:v>
                </c:pt>
                <c:pt idx="37">
                  <c:v>-2.6</c:v>
                </c:pt>
                <c:pt idx="38">
                  <c:v>-2.4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-1.8</c:v>
                </c:pt>
                <c:pt idx="42">
                  <c:v>-1.6</c:v>
                </c:pt>
                <c:pt idx="43">
                  <c:v>-1.4</c:v>
                </c:pt>
                <c:pt idx="44">
                  <c:v>-1.2</c:v>
                </c:pt>
                <c:pt idx="45">
                  <c:v>-1</c:v>
                </c:pt>
                <c:pt idx="46">
                  <c:v>-0.8</c:v>
                </c:pt>
                <c:pt idx="47">
                  <c:v>-0.6</c:v>
                </c:pt>
                <c:pt idx="48">
                  <c:v>-0.4</c:v>
                </c:pt>
                <c:pt idx="49">
                  <c:v>-0.2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5.6</c:v>
                </c:pt>
                <c:pt idx="79">
                  <c:v>5.8</c:v>
                </c:pt>
                <c:pt idx="80">
                  <c:v>6</c:v>
                </c:pt>
                <c:pt idx="81">
                  <c:v>6.2</c:v>
                </c:pt>
                <c:pt idx="82">
                  <c:v>6.4</c:v>
                </c:pt>
                <c:pt idx="83">
                  <c:v>6.6</c:v>
                </c:pt>
                <c:pt idx="84">
                  <c:v>6.8</c:v>
                </c:pt>
                <c:pt idx="85">
                  <c:v>7</c:v>
                </c:pt>
                <c:pt idx="86">
                  <c:v>7.2</c:v>
                </c:pt>
                <c:pt idx="87">
                  <c:v>7.4</c:v>
                </c:pt>
                <c:pt idx="88">
                  <c:v>7.6</c:v>
                </c:pt>
                <c:pt idx="89">
                  <c:v>7.8</c:v>
                </c:pt>
                <c:pt idx="90">
                  <c:v>8</c:v>
                </c:pt>
                <c:pt idx="91">
                  <c:v>8.1999999999999993</c:v>
                </c:pt>
                <c:pt idx="92">
                  <c:v>8.4</c:v>
                </c:pt>
                <c:pt idx="93">
                  <c:v>8.6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9.4</c:v>
                </c:pt>
                <c:pt idx="98">
                  <c:v>9.6</c:v>
                </c:pt>
                <c:pt idx="99">
                  <c:v>9.8000000000000007</c:v>
                </c:pt>
                <c:pt idx="100">
                  <c:v>10</c:v>
                </c:pt>
              </c:numCache>
            </c:numRef>
          </c:cat>
          <c:val>
            <c:numRef>
              <c:f>'g4'!$B$2:$B$104</c:f>
              <c:numCache>
                <c:formatCode>General</c:formatCode>
                <c:ptCount val="103"/>
                <c:pt idx="0">
                  <c:v>110</c:v>
                </c:pt>
                <c:pt idx="1">
                  <c:v>105.84000000000002</c:v>
                </c:pt>
                <c:pt idx="2">
                  <c:v>101.75999999999999</c:v>
                </c:pt>
                <c:pt idx="3">
                  <c:v>97.760000000000019</c:v>
                </c:pt>
                <c:pt idx="4">
                  <c:v>93.839999999999989</c:v>
                </c:pt>
                <c:pt idx="5">
                  <c:v>90</c:v>
                </c:pt>
                <c:pt idx="6">
                  <c:v>86.240000000000009</c:v>
                </c:pt>
                <c:pt idx="7">
                  <c:v>82.559999999999988</c:v>
                </c:pt>
                <c:pt idx="8">
                  <c:v>78.960000000000008</c:v>
                </c:pt>
                <c:pt idx="9">
                  <c:v>75.44</c:v>
                </c:pt>
                <c:pt idx="10">
                  <c:v>72</c:v>
                </c:pt>
                <c:pt idx="11">
                  <c:v>68.64</c:v>
                </c:pt>
                <c:pt idx="12">
                  <c:v>65.36</c:v>
                </c:pt>
                <c:pt idx="13">
                  <c:v>62.160000000000004</c:v>
                </c:pt>
                <c:pt idx="14">
                  <c:v>59.040000000000006</c:v>
                </c:pt>
                <c:pt idx="15">
                  <c:v>56</c:v>
                </c:pt>
                <c:pt idx="16">
                  <c:v>53.039999999999992</c:v>
                </c:pt>
                <c:pt idx="17">
                  <c:v>50.16</c:v>
                </c:pt>
                <c:pt idx="18">
                  <c:v>47.360000000000007</c:v>
                </c:pt>
                <c:pt idx="19">
                  <c:v>44.640000000000008</c:v>
                </c:pt>
                <c:pt idx="20">
                  <c:v>42</c:v>
                </c:pt>
                <c:pt idx="21">
                  <c:v>39.44</c:v>
                </c:pt>
                <c:pt idx="22">
                  <c:v>36.959999999999994</c:v>
                </c:pt>
                <c:pt idx="23">
                  <c:v>34.56</c:v>
                </c:pt>
                <c:pt idx="24">
                  <c:v>32.24</c:v>
                </c:pt>
                <c:pt idx="25">
                  <c:v>30</c:v>
                </c:pt>
                <c:pt idx="26">
                  <c:v>27.84</c:v>
                </c:pt>
                <c:pt idx="27">
                  <c:v>25.759999999999998</c:v>
                </c:pt>
                <c:pt idx="28">
                  <c:v>23.760000000000005</c:v>
                </c:pt>
                <c:pt idx="29">
                  <c:v>21.84</c:v>
                </c:pt>
                <c:pt idx="30">
                  <c:v>20</c:v>
                </c:pt>
                <c:pt idx="31">
                  <c:v>18.239999999999998</c:v>
                </c:pt>
                <c:pt idx="32">
                  <c:v>16.560000000000002</c:v>
                </c:pt>
                <c:pt idx="33">
                  <c:v>14.959999999999999</c:v>
                </c:pt>
                <c:pt idx="34">
                  <c:v>13.440000000000001</c:v>
                </c:pt>
                <c:pt idx="35">
                  <c:v>12</c:v>
                </c:pt>
                <c:pt idx="36">
                  <c:v>10.639999999999999</c:v>
                </c:pt>
                <c:pt idx="37">
                  <c:v>9.3600000000000012</c:v>
                </c:pt>
                <c:pt idx="38">
                  <c:v>8.16</c:v>
                </c:pt>
                <c:pt idx="39">
                  <c:v>7.0400000000000009</c:v>
                </c:pt>
                <c:pt idx="40">
                  <c:v>6</c:v>
                </c:pt>
                <c:pt idx="41">
                  <c:v>5.04</c:v>
                </c:pt>
                <c:pt idx="42">
                  <c:v>4.16</c:v>
                </c:pt>
                <c:pt idx="43">
                  <c:v>3.3599999999999994</c:v>
                </c:pt>
                <c:pt idx="44">
                  <c:v>2.6399999999999997</c:v>
                </c:pt>
                <c:pt idx="45">
                  <c:v>2</c:v>
                </c:pt>
                <c:pt idx="46">
                  <c:v>1.4400000000000002</c:v>
                </c:pt>
                <c:pt idx="47">
                  <c:v>0.96</c:v>
                </c:pt>
                <c:pt idx="48">
                  <c:v>0.56000000000000005</c:v>
                </c:pt>
                <c:pt idx="49">
                  <c:v>0.24000000000000002</c:v>
                </c:pt>
                <c:pt idx="50">
                  <c:v>0</c:v>
                </c:pt>
                <c:pt idx="51">
                  <c:v>0.16</c:v>
                </c:pt>
                <c:pt idx="52">
                  <c:v>0.24</c:v>
                </c:pt>
                <c:pt idx="53">
                  <c:v>0.24</c:v>
                </c:pt>
                <c:pt idx="54">
                  <c:v>0.15999999999999992</c:v>
                </c:pt>
                <c:pt idx="55">
                  <c:v>3</c:v>
                </c:pt>
                <c:pt idx="56">
                  <c:v>4.0335999999999999</c:v>
                </c:pt>
                <c:pt idx="57">
                  <c:v>5.6815999999999987</c:v>
                </c:pt>
                <c:pt idx="58">
                  <c:v>8.1936000000000035</c:v>
                </c:pt>
                <c:pt idx="59">
                  <c:v>11.857600000000001</c:v>
                </c:pt>
                <c:pt idx="60">
                  <c:v>17</c:v>
                </c:pt>
                <c:pt idx="61">
                  <c:v>23.985600000000005</c:v>
                </c:pt>
                <c:pt idx="62">
                  <c:v>33.217599999999997</c:v>
                </c:pt>
                <c:pt idx="63">
                  <c:v>45.137600000000013</c:v>
                </c:pt>
                <c:pt idx="64">
                  <c:v>60.225599999999986</c:v>
                </c:pt>
                <c:pt idx="65">
                  <c:v>79</c:v>
                </c:pt>
                <c:pt idx="66">
                  <c:v>102.01760000000004</c:v>
                </c:pt>
                <c:pt idx="67">
                  <c:v>129.87359999999998</c:v>
                </c:pt>
                <c:pt idx="68">
                  <c:v>163.20160000000001</c:v>
                </c:pt>
                <c:pt idx="69">
                  <c:v>202.67359999999999</c:v>
                </c:pt>
                <c:pt idx="70">
                  <c:v>249</c:v>
                </c:pt>
                <c:pt idx="71">
                  <c:v>302.92959999999999</c:v>
                </c:pt>
                <c:pt idx="72">
                  <c:v>365.2496000000001</c:v>
                </c:pt>
                <c:pt idx="73">
                  <c:v>436.78559999999987</c:v>
                </c:pt>
                <c:pt idx="74">
                  <c:v>518.40159999999992</c:v>
                </c:pt>
                <c:pt idx="75">
                  <c:v>611</c:v>
                </c:pt>
                <c:pt idx="76">
                  <c:v>715.52160000000015</c:v>
                </c:pt>
                <c:pt idx="77">
                  <c:v>832.94560000000024</c:v>
                </c:pt>
                <c:pt idx="78">
                  <c:v>964.28959999999972</c:v>
                </c:pt>
                <c:pt idx="79">
                  <c:v>1110.6095999999998</c:v>
                </c:pt>
                <c:pt idx="80">
                  <c:v>1273</c:v>
                </c:pt>
                <c:pt idx="81">
                  <c:v>1452.5936000000004</c:v>
                </c:pt>
                <c:pt idx="82">
                  <c:v>1650.5616000000007</c:v>
                </c:pt>
                <c:pt idx="83">
                  <c:v>1868.1135999999997</c:v>
                </c:pt>
                <c:pt idx="84">
                  <c:v>2106.4975999999997</c:v>
                </c:pt>
                <c:pt idx="85">
                  <c:v>2367</c:v>
                </c:pt>
                <c:pt idx="86">
                  <c:v>2650.9456000000005</c:v>
                </c:pt>
                <c:pt idx="87">
                  <c:v>2959.6976000000004</c:v>
                </c:pt>
                <c:pt idx="88">
                  <c:v>3294.6575999999995</c:v>
                </c:pt>
                <c:pt idx="89">
                  <c:v>3657.2655999999993</c:v>
                </c:pt>
                <c:pt idx="90">
                  <c:v>4049</c:v>
                </c:pt>
                <c:pt idx="91">
                  <c:v>4471.3775999999989</c:v>
                </c:pt>
                <c:pt idx="92">
                  <c:v>4925.9535999999998</c:v>
                </c:pt>
                <c:pt idx="93">
                  <c:v>5414.3215999999993</c:v>
                </c:pt>
                <c:pt idx="94">
                  <c:v>5938.1136000000024</c:v>
                </c:pt>
                <c:pt idx="95">
                  <c:v>6499</c:v>
                </c:pt>
                <c:pt idx="96">
                  <c:v>7098.689599999997</c:v>
                </c:pt>
                <c:pt idx="97">
                  <c:v>7738.9296000000031</c:v>
                </c:pt>
                <c:pt idx="98">
                  <c:v>8421.5056000000004</c:v>
                </c:pt>
                <c:pt idx="99">
                  <c:v>9148.241600000003</c:v>
                </c:pt>
                <c:pt idx="100">
                  <c:v>9921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2E-4FC2-A2BF-31EC5D7EE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1548775"/>
        <c:axId val="76623958"/>
      </c:lineChart>
      <c:catAx>
        <c:axId val="815487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76623958"/>
        <c:crosses val="autoZero"/>
        <c:auto val="1"/>
        <c:lblAlgn val="ctr"/>
        <c:lblOffset val="100"/>
        <c:noMultiLvlLbl val="0"/>
      </c:catAx>
      <c:valAx>
        <c:axId val="766239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815487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'g5'!$B$1</c:f>
              <c:strCache>
                <c:ptCount val="1"/>
                <c:pt idx="0">
                  <c:v>g5</c:v>
                </c:pt>
              </c:strCache>
            </c:strRef>
          </c:tx>
          <c:spPr>
            <a:ln w="28440" cap="rnd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'g5'!$A$2:$A$104</c:f>
              <c:numCache>
                <c:formatCode>General</c:formatCode>
                <c:ptCount val="103"/>
                <c:pt idx="0">
                  <c:v>-10</c:v>
                </c:pt>
                <c:pt idx="1">
                  <c:v>-9.8000000000000007</c:v>
                </c:pt>
                <c:pt idx="2">
                  <c:v>-9.6</c:v>
                </c:pt>
                <c:pt idx="3">
                  <c:v>-9.4</c:v>
                </c:pt>
                <c:pt idx="4">
                  <c:v>-9.1999999999999993</c:v>
                </c:pt>
                <c:pt idx="5">
                  <c:v>-9</c:v>
                </c:pt>
                <c:pt idx="6">
                  <c:v>-8.8000000000000007</c:v>
                </c:pt>
                <c:pt idx="7">
                  <c:v>-8.6</c:v>
                </c:pt>
                <c:pt idx="8">
                  <c:v>-8.4</c:v>
                </c:pt>
                <c:pt idx="9">
                  <c:v>-8.1999999999999993</c:v>
                </c:pt>
                <c:pt idx="10">
                  <c:v>-8</c:v>
                </c:pt>
                <c:pt idx="11">
                  <c:v>-7.8</c:v>
                </c:pt>
                <c:pt idx="12">
                  <c:v>-7.6</c:v>
                </c:pt>
                <c:pt idx="13">
                  <c:v>-7.4</c:v>
                </c:pt>
                <c:pt idx="14">
                  <c:v>-7.2</c:v>
                </c:pt>
                <c:pt idx="15">
                  <c:v>-7</c:v>
                </c:pt>
                <c:pt idx="16">
                  <c:v>-6.8</c:v>
                </c:pt>
                <c:pt idx="17">
                  <c:v>-6.6</c:v>
                </c:pt>
                <c:pt idx="18">
                  <c:v>-6.4</c:v>
                </c:pt>
                <c:pt idx="19">
                  <c:v>-6.2</c:v>
                </c:pt>
                <c:pt idx="20">
                  <c:v>-6</c:v>
                </c:pt>
                <c:pt idx="21">
                  <c:v>-5.8</c:v>
                </c:pt>
                <c:pt idx="22">
                  <c:v>-5.6</c:v>
                </c:pt>
                <c:pt idx="23">
                  <c:v>-5.4</c:v>
                </c:pt>
                <c:pt idx="24">
                  <c:v>-5.2</c:v>
                </c:pt>
                <c:pt idx="25">
                  <c:v>-5</c:v>
                </c:pt>
                <c:pt idx="26">
                  <c:v>-4.8</c:v>
                </c:pt>
                <c:pt idx="27">
                  <c:v>-4.5999999999999996</c:v>
                </c:pt>
                <c:pt idx="28">
                  <c:v>-4.4000000000000004</c:v>
                </c:pt>
                <c:pt idx="29">
                  <c:v>-4.2</c:v>
                </c:pt>
                <c:pt idx="30">
                  <c:v>-4</c:v>
                </c:pt>
                <c:pt idx="31">
                  <c:v>-3.8</c:v>
                </c:pt>
                <c:pt idx="32">
                  <c:v>-3.6</c:v>
                </c:pt>
                <c:pt idx="33">
                  <c:v>-3.4</c:v>
                </c:pt>
                <c:pt idx="34">
                  <c:v>-3.2</c:v>
                </c:pt>
                <c:pt idx="35">
                  <c:v>-3</c:v>
                </c:pt>
                <c:pt idx="36">
                  <c:v>-2.8</c:v>
                </c:pt>
                <c:pt idx="37">
                  <c:v>-2.6</c:v>
                </c:pt>
                <c:pt idx="38">
                  <c:v>-2.4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-1.8</c:v>
                </c:pt>
                <c:pt idx="42">
                  <c:v>-1.6</c:v>
                </c:pt>
                <c:pt idx="43">
                  <c:v>-1.4</c:v>
                </c:pt>
                <c:pt idx="44">
                  <c:v>-1.2</c:v>
                </c:pt>
                <c:pt idx="45">
                  <c:v>-1</c:v>
                </c:pt>
                <c:pt idx="46">
                  <c:v>-0.8</c:v>
                </c:pt>
                <c:pt idx="47">
                  <c:v>-0.6</c:v>
                </c:pt>
                <c:pt idx="48">
                  <c:v>-0.4</c:v>
                </c:pt>
                <c:pt idx="49">
                  <c:v>-0.2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5.6</c:v>
                </c:pt>
                <c:pt idx="79">
                  <c:v>5.8</c:v>
                </c:pt>
                <c:pt idx="80">
                  <c:v>6</c:v>
                </c:pt>
                <c:pt idx="81">
                  <c:v>6.2</c:v>
                </c:pt>
                <c:pt idx="82">
                  <c:v>6.4</c:v>
                </c:pt>
                <c:pt idx="83">
                  <c:v>6.6</c:v>
                </c:pt>
                <c:pt idx="84">
                  <c:v>6.8</c:v>
                </c:pt>
                <c:pt idx="85">
                  <c:v>7</c:v>
                </c:pt>
                <c:pt idx="86">
                  <c:v>7.2</c:v>
                </c:pt>
                <c:pt idx="87">
                  <c:v>7.4</c:v>
                </c:pt>
                <c:pt idx="88">
                  <c:v>7.6</c:v>
                </c:pt>
                <c:pt idx="89">
                  <c:v>7.8</c:v>
                </c:pt>
                <c:pt idx="90">
                  <c:v>8</c:v>
                </c:pt>
                <c:pt idx="91">
                  <c:v>8.1999999999999993</c:v>
                </c:pt>
                <c:pt idx="92">
                  <c:v>8.4</c:v>
                </c:pt>
                <c:pt idx="93">
                  <c:v>8.6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9.4</c:v>
                </c:pt>
                <c:pt idx="98">
                  <c:v>9.6</c:v>
                </c:pt>
                <c:pt idx="99">
                  <c:v>9.8000000000000007</c:v>
                </c:pt>
                <c:pt idx="100">
                  <c:v>10</c:v>
                </c:pt>
              </c:numCache>
            </c:numRef>
          </c:cat>
          <c:val>
            <c:numRef>
              <c:f>'g5'!$B$2:$B$104</c:f>
              <c:numCache>
                <c:formatCode>General</c:formatCode>
                <c:ptCount val="103"/>
                <c:pt idx="0">
                  <c:v>-2965</c:v>
                </c:pt>
                <c:pt idx="1">
                  <c:v>-2789.1760000000008</c:v>
                </c:pt>
                <c:pt idx="2">
                  <c:v>-2620.4079999999999</c:v>
                </c:pt>
                <c:pt idx="3">
                  <c:v>-2458.5520000000006</c:v>
                </c:pt>
                <c:pt idx="4">
                  <c:v>-2303.4639999999995</c:v>
                </c:pt>
                <c:pt idx="5">
                  <c:v>-2155</c:v>
                </c:pt>
                <c:pt idx="6">
                  <c:v>-2013.0160000000005</c:v>
                </c:pt>
                <c:pt idx="7">
                  <c:v>-1877.3679999999997</c:v>
                </c:pt>
                <c:pt idx="8">
                  <c:v>-1747.912</c:v>
                </c:pt>
                <c:pt idx="9">
                  <c:v>-1624.5039999999999</c:v>
                </c:pt>
                <c:pt idx="10">
                  <c:v>-1507</c:v>
                </c:pt>
                <c:pt idx="11">
                  <c:v>-1395.2559999999999</c:v>
                </c:pt>
                <c:pt idx="12">
                  <c:v>-1289.1279999999999</c:v>
                </c:pt>
                <c:pt idx="13">
                  <c:v>-1188.472</c:v>
                </c:pt>
                <c:pt idx="14">
                  <c:v>-1093.1440000000002</c:v>
                </c:pt>
                <c:pt idx="15">
                  <c:v>-1003</c:v>
                </c:pt>
                <c:pt idx="16">
                  <c:v>-917.89599999999984</c:v>
                </c:pt>
                <c:pt idx="17">
                  <c:v>-837.68799999999999</c:v>
                </c:pt>
                <c:pt idx="18">
                  <c:v>-762.2320000000002</c:v>
                </c:pt>
                <c:pt idx="19">
                  <c:v>-691.38400000000013</c:v>
                </c:pt>
                <c:pt idx="20">
                  <c:v>-625</c:v>
                </c:pt>
                <c:pt idx="21">
                  <c:v>-562.93600000000004</c:v>
                </c:pt>
                <c:pt idx="22">
                  <c:v>-505.04799999999983</c:v>
                </c:pt>
                <c:pt idx="23">
                  <c:v>-451.19200000000006</c:v>
                </c:pt>
                <c:pt idx="24">
                  <c:v>-401.22400000000005</c:v>
                </c:pt>
                <c:pt idx="25">
                  <c:v>-355</c:v>
                </c:pt>
                <c:pt idx="26">
                  <c:v>-312.37600000000003</c:v>
                </c:pt>
                <c:pt idx="27">
                  <c:v>-273.20799999999991</c:v>
                </c:pt>
                <c:pt idx="28">
                  <c:v>-237.35200000000009</c:v>
                </c:pt>
                <c:pt idx="29">
                  <c:v>-204.66400000000002</c:v>
                </c:pt>
                <c:pt idx="30">
                  <c:v>-175</c:v>
                </c:pt>
                <c:pt idx="31">
                  <c:v>-148.21599999999998</c:v>
                </c:pt>
                <c:pt idx="32">
                  <c:v>-124.16800000000002</c:v>
                </c:pt>
                <c:pt idx="33">
                  <c:v>-102.71199999999997</c:v>
                </c:pt>
                <c:pt idx="34">
                  <c:v>-83.704000000000036</c:v>
                </c:pt>
                <c:pt idx="35">
                  <c:v>-67</c:v>
                </c:pt>
                <c:pt idx="36">
                  <c:v>-52.455999999999982</c:v>
                </c:pt>
                <c:pt idx="37">
                  <c:v>-39.928000000000011</c:v>
                </c:pt>
                <c:pt idx="38">
                  <c:v>-29.272000000000002</c:v>
                </c:pt>
                <c:pt idx="39">
                  <c:v>-20.344000000000008</c:v>
                </c:pt>
                <c:pt idx="40">
                  <c:v>-13</c:v>
                </c:pt>
                <c:pt idx="41">
                  <c:v>-7.0960000000000019</c:v>
                </c:pt>
                <c:pt idx="42">
                  <c:v>-2.4880000000000031</c:v>
                </c:pt>
                <c:pt idx="43">
                  <c:v>0.96800000000000175</c:v>
                </c:pt>
                <c:pt idx="44">
                  <c:v>3.4159999999999995</c:v>
                </c:pt>
                <c:pt idx="45">
                  <c:v>5</c:v>
                </c:pt>
                <c:pt idx="46">
                  <c:v>5.8639999999999999</c:v>
                </c:pt>
                <c:pt idx="47">
                  <c:v>6.1520000000000001</c:v>
                </c:pt>
                <c:pt idx="48">
                  <c:v>6.008</c:v>
                </c:pt>
                <c:pt idx="49">
                  <c:v>5.5759999999999996</c:v>
                </c:pt>
                <c:pt idx="50">
                  <c:v>0</c:v>
                </c:pt>
                <c:pt idx="51">
                  <c:v>25.039999999999996</c:v>
                </c:pt>
                <c:pt idx="52">
                  <c:v>6.4099999999999993</c:v>
                </c:pt>
                <c:pt idx="53">
                  <c:v>3.1377777777777776</c:v>
                </c:pt>
                <c:pt idx="54">
                  <c:v>2.2024999999999997</c:v>
                </c:pt>
                <c:pt idx="55">
                  <c:v>2</c:v>
                </c:pt>
                <c:pt idx="56">
                  <c:v>2.1344444444444441</c:v>
                </c:pt>
                <c:pt idx="57">
                  <c:v>2.4702040816326529</c:v>
                </c:pt>
                <c:pt idx="58">
                  <c:v>2.9506250000000005</c:v>
                </c:pt>
                <c:pt idx="59">
                  <c:v>3.5486419753086422</c:v>
                </c:pt>
                <c:pt idx="60">
                  <c:v>4.25</c:v>
                </c:pt>
                <c:pt idx="61">
                  <c:v>5.0466115702479346</c:v>
                </c:pt>
                <c:pt idx="62">
                  <c:v>5.9336111111111105</c:v>
                </c:pt>
                <c:pt idx="63">
                  <c:v>6.907928994082841</c:v>
                </c:pt>
                <c:pt idx="64">
                  <c:v>7.9675510204081625</c:v>
                </c:pt>
                <c:pt idx="65">
                  <c:v>9.1111111111111107</c:v>
                </c:pt>
                <c:pt idx="66">
                  <c:v>10.337656250000002</c:v>
                </c:pt>
                <c:pt idx="67">
                  <c:v>11.646505190311418</c:v>
                </c:pt>
                <c:pt idx="68">
                  <c:v>13.037160493827161</c:v>
                </c:pt>
                <c:pt idx="69">
                  <c:v>14.509252077562326</c:v>
                </c:pt>
                <c:pt idx="70">
                  <c:v>16.0625</c:v>
                </c:pt>
                <c:pt idx="71">
                  <c:v>17.69668934240363</c:v>
                </c:pt>
                <c:pt idx="72">
                  <c:v>19.411652892561985</c:v>
                </c:pt>
                <c:pt idx="73">
                  <c:v>21.207258979206046</c:v>
                </c:pt>
                <c:pt idx="74">
                  <c:v>23.083402777777778</c:v>
                </c:pt>
                <c:pt idx="75">
                  <c:v>25.04</c:v>
                </c:pt>
                <c:pt idx="76">
                  <c:v>27.076982248520714</c:v>
                </c:pt>
                <c:pt idx="77">
                  <c:v>29.194293552812074</c:v>
                </c:pt>
                <c:pt idx="78">
                  <c:v>31.391887755102037</c:v>
                </c:pt>
                <c:pt idx="79">
                  <c:v>33.669726516052322</c:v>
                </c:pt>
                <c:pt idx="80">
                  <c:v>36.027777777777779</c:v>
                </c:pt>
                <c:pt idx="81">
                  <c:v>38.466014568158172</c:v>
                </c:pt>
                <c:pt idx="82">
                  <c:v>40.984414062500008</c:v>
                </c:pt>
                <c:pt idx="83">
                  <c:v>43.582956841138653</c:v>
                </c:pt>
                <c:pt idx="84">
                  <c:v>46.261626297577848</c:v>
                </c:pt>
                <c:pt idx="85">
                  <c:v>49.020408163265309</c:v>
                </c:pt>
                <c:pt idx="86">
                  <c:v>51.859290123456795</c:v>
                </c:pt>
                <c:pt idx="87">
                  <c:v>54.778261504747995</c:v>
                </c:pt>
                <c:pt idx="88">
                  <c:v>57.777313019390583</c:v>
                </c:pt>
                <c:pt idx="89">
                  <c:v>60.856436554898089</c:v>
                </c:pt>
                <c:pt idx="90">
                  <c:v>64.015625</c:v>
                </c:pt>
                <c:pt idx="91">
                  <c:v>67.254872099940513</c:v>
                </c:pt>
                <c:pt idx="92">
                  <c:v>70.574172335600906</c:v>
                </c:pt>
                <c:pt idx="93">
                  <c:v>73.973520822065979</c:v>
                </c:pt>
                <c:pt idx="94">
                  <c:v>77.452913223140513</c:v>
                </c:pt>
                <c:pt idx="95">
                  <c:v>81.012345679012341</c:v>
                </c:pt>
                <c:pt idx="96">
                  <c:v>84.651814744801499</c:v>
                </c:pt>
                <c:pt idx="97">
                  <c:v>88.371317338162072</c:v>
                </c:pt>
                <c:pt idx="98">
                  <c:v>92.170850694444439</c:v>
                </c:pt>
                <c:pt idx="99">
                  <c:v>96.0504123281966</c:v>
                </c:pt>
                <c:pt idx="100">
                  <c:v>100.01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5-4029-B636-2A8FD2265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4246825"/>
        <c:axId val="51243845"/>
      </c:lineChart>
      <c:catAx>
        <c:axId val="942468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51243845"/>
        <c:crosses val="autoZero"/>
        <c:auto val="1"/>
        <c:lblAlgn val="ctr"/>
        <c:lblOffset val="100"/>
        <c:noMultiLvlLbl val="0"/>
      </c:catAx>
      <c:valAx>
        <c:axId val="5124384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942468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z1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'z1'!$B$1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'z1'!$A$2:$A$102</c:f>
              <c:numCache>
                <c:formatCode>General</c:formatCode>
                <c:ptCount val="101"/>
                <c:pt idx="0">
                  <c:v>-10</c:v>
                </c:pt>
                <c:pt idx="1">
                  <c:v>-9.8000000000000007</c:v>
                </c:pt>
                <c:pt idx="2">
                  <c:v>-9.6</c:v>
                </c:pt>
                <c:pt idx="3">
                  <c:v>-9.4</c:v>
                </c:pt>
                <c:pt idx="4">
                  <c:v>-9.1999999999999993</c:v>
                </c:pt>
                <c:pt idx="5">
                  <c:v>-9</c:v>
                </c:pt>
                <c:pt idx="6">
                  <c:v>-8.8000000000000007</c:v>
                </c:pt>
                <c:pt idx="7">
                  <c:v>-8.6</c:v>
                </c:pt>
                <c:pt idx="8">
                  <c:v>-8.4</c:v>
                </c:pt>
                <c:pt idx="9">
                  <c:v>-8.1999999999999993</c:v>
                </c:pt>
                <c:pt idx="10">
                  <c:v>-8</c:v>
                </c:pt>
                <c:pt idx="11">
                  <c:v>-7.8</c:v>
                </c:pt>
                <c:pt idx="12">
                  <c:v>-7.6</c:v>
                </c:pt>
                <c:pt idx="13">
                  <c:v>-7.4</c:v>
                </c:pt>
                <c:pt idx="14">
                  <c:v>-7.2</c:v>
                </c:pt>
                <c:pt idx="15">
                  <c:v>-7</c:v>
                </c:pt>
                <c:pt idx="16">
                  <c:v>-6.8</c:v>
                </c:pt>
                <c:pt idx="17">
                  <c:v>-6.6</c:v>
                </c:pt>
                <c:pt idx="18">
                  <c:v>-6.4</c:v>
                </c:pt>
                <c:pt idx="19">
                  <c:v>-6.2</c:v>
                </c:pt>
                <c:pt idx="20">
                  <c:v>-6</c:v>
                </c:pt>
                <c:pt idx="21">
                  <c:v>-5.8</c:v>
                </c:pt>
                <c:pt idx="22">
                  <c:v>-5.6</c:v>
                </c:pt>
                <c:pt idx="23">
                  <c:v>-5.4</c:v>
                </c:pt>
                <c:pt idx="24">
                  <c:v>-5.2</c:v>
                </c:pt>
                <c:pt idx="25">
                  <c:v>-5</c:v>
                </c:pt>
                <c:pt idx="26">
                  <c:v>-4.8</c:v>
                </c:pt>
                <c:pt idx="27">
                  <c:v>-4.5999999999999996</c:v>
                </c:pt>
                <c:pt idx="28">
                  <c:v>-4.4000000000000004</c:v>
                </c:pt>
                <c:pt idx="29">
                  <c:v>-4.2</c:v>
                </c:pt>
                <c:pt idx="30">
                  <c:v>-4</c:v>
                </c:pt>
                <c:pt idx="31">
                  <c:v>-3.8</c:v>
                </c:pt>
                <c:pt idx="32">
                  <c:v>-3.6</c:v>
                </c:pt>
                <c:pt idx="33">
                  <c:v>-3.4</c:v>
                </c:pt>
                <c:pt idx="34">
                  <c:v>-3.2</c:v>
                </c:pt>
                <c:pt idx="35">
                  <c:v>-3</c:v>
                </c:pt>
                <c:pt idx="36">
                  <c:v>-2.8</c:v>
                </c:pt>
                <c:pt idx="37">
                  <c:v>-2.6</c:v>
                </c:pt>
                <c:pt idx="38">
                  <c:v>-2.4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-1.8</c:v>
                </c:pt>
                <c:pt idx="42">
                  <c:v>-1.6</c:v>
                </c:pt>
                <c:pt idx="43">
                  <c:v>-1.4</c:v>
                </c:pt>
                <c:pt idx="44">
                  <c:v>-1.2</c:v>
                </c:pt>
                <c:pt idx="45">
                  <c:v>-1</c:v>
                </c:pt>
                <c:pt idx="46">
                  <c:v>-0.8</c:v>
                </c:pt>
                <c:pt idx="47">
                  <c:v>-0.6</c:v>
                </c:pt>
                <c:pt idx="48">
                  <c:v>-0.4</c:v>
                </c:pt>
                <c:pt idx="49">
                  <c:v>-0.2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5.6</c:v>
                </c:pt>
                <c:pt idx="79">
                  <c:v>5.8</c:v>
                </c:pt>
                <c:pt idx="80">
                  <c:v>6</c:v>
                </c:pt>
                <c:pt idx="81">
                  <c:v>6.2</c:v>
                </c:pt>
                <c:pt idx="82">
                  <c:v>6.4</c:v>
                </c:pt>
                <c:pt idx="83">
                  <c:v>6.6</c:v>
                </c:pt>
                <c:pt idx="84">
                  <c:v>6.8</c:v>
                </c:pt>
                <c:pt idx="85">
                  <c:v>7</c:v>
                </c:pt>
                <c:pt idx="86">
                  <c:v>7.2</c:v>
                </c:pt>
                <c:pt idx="87">
                  <c:v>7.4</c:v>
                </c:pt>
                <c:pt idx="88">
                  <c:v>7.6</c:v>
                </c:pt>
                <c:pt idx="89">
                  <c:v>7.8</c:v>
                </c:pt>
                <c:pt idx="90">
                  <c:v>8</c:v>
                </c:pt>
                <c:pt idx="91">
                  <c:v>8.1999999999999993</c:v>
                </c:pt>
                <c:pt idx="92">
                  <c:v>8.4</c:v>
                </c:pt>
                <c:pt idx="93">
                  <c:v>8.6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9.4</c:v>
                </c:pt>
                <c:pt idx="98">
                  <c:v>9.6</c:v>
                </c:pt>
                <c:pt idx="99">
                  <c:v>9.8000000000000007</c:v>
                </c:pt>
                <c:pt idx="100">
                  <c:v>10</c:v>
                </c:pt>
              </c:numCache>
            </c:numRef>
          </c:cat>
          <c:val>
            <c:numRef>
              <c:f>'z1'!$B$2:$B$102</c:f>
              <c:numCache>
                <c:formatCode>General</c:formatCode>
                <c:ptCount val="101"/>
                <c:pt idx="0">
                  <c:v>-8</c:v>
                </c:pt>
                <c:pt idx="1">
                  <c:v>-7.8</c:v>
                </c:pt>
                <c:pt idx="2">
                  <c:v>-7.6</c:v>
                </c:pt>
                <c:pt idx="3">
                  <c:v>-7.4</c:v>
                </c:pt>
                <c:pt idx="4">
                  <c:v>-7.2</c:v>
                </c:pt>
                <c:pt idx="5">
                  <c:v>-7</c:v>
                </c:pt>
                <c:pt idx="6">
                  <c:v>-6.8</c:v>
                </c:pt>
                <c:pt idx="7">
                  <c:v>-6.6</c:v>
                </c:pt>
                <c:pt idx="8">
                  <c:v>-6.4</c:v>
                </c:pt>
                <c:pt idx="9">
                  <c:v>-6.2</c:v>
                </c:pt>
                <c:pt idx="10">
                  <c:v>-6</c:v>
                </c:pt>
                <c:pt idx="11">
                  <c:v>-5.8</c:v>
                </c:pt>
                <c:pt idx="12">
                  <c:v>-5.6</c:v>
                </c:pt>
                <c:pt idx="13">
                  <c:v>-5.4</c:v>
                </c:pt>
                <c:pt idx="14">
                  <c:v>-5.2</c:v>
                </c:pt>
                <c:pt idx="15">
                  <c:v>-5</c:v>
                </c:pt>
                <c:pt idx="16">
                  <c:v>-4.8</c:v>
                </c:pt>
                <c:pt idx="17">
                  <c:v>-4.5999999999999996</c:v>
                </c:pt>
                <c:pt idx="18">
                  <c:v>-4.4000000000000004</c:v>
                </c:pt>
                <c:pt idx="19">
                  <c:v>-4.2</c:v>
                </c:pt>
                <c:pt idx="20">
                  <c:v>-4</c:v>
                </c:pt>
                <c:pt idx="21">
                  <c:v>-3.8</c:v>
                </c:pt>
                <c:pt idx="22">
                  <c:v>-3.6</c:v>
                </c:pt>
                <c:pt idx="23">
                  <c:v>-3.4</c:v>
                </c:pt>
                <c:pt idx="24">
                  <c:v>-3.2</c:v>
                </c:pt>
                <c:pt idx="25">
                  <c:v>-3</c:v>
                </c:pt>
                <c:pt idx="26">
                  <c:v>-2.8</c:v>
                </c:pt>
                <c:pt idx="27">
                  <c:v>-2.6</c:v>
                </c:pt>
                <c:pt idx="28">
                  <c:v>-2.4</c:v>
                </c:pt>
                <c:pt idx="29">
                  <c:v>-2.2000000000000002</c:v>
                </c:pt>
                <c:pt idx="30">
                  <c:v>-2</c:v>
                </c:pt>
                <c:pt idx="31">
                  <c:v>-1.8</c:v>
                </c:pt>
                <c:pt idx="32">
                  <c:v>-1.6</c:v>
                </c:pt>
                <c:pt idx="33">
                  <c:v>-1.4</c:v>
                </c:pt>
                <c:pt idx="34">
                  <c:v>-1.2</c:v>
                </c:pt>
                <c:pt idx="35">
                  <c:v>-1</c:v>
                </c:pt>
                <c:pt idx="36">
                  <c:v>-0.8</c:v>
                </c:pt>
                <c:pt idx="37">
                  <c:v>-0.6</c:v>
                </c:pt>
                <c:pt idx="38">
                  <c:v>-0.4</c:v>
                </c:pt>
                <c:pt idx="39">
                  <c:v>-0.2</c:v>
                </c:pt>
                <c:pt idx="40">
                  <c:v>0</c:v>
                </c:pt>
                <c:pt idx="41">
                  <c:v>0.2</c:v>
                </c:pt>
                <c:pt idx="42">
                  <c:v>0.4</c:v>
                </c:pt>
                <c:pt idx="43">
                  <c:v>0.6</c:v>
                </c:pt>
                <c:pt idx="44">
                  <c:v>0.8</c:v>
                </c:pt>
                <c:pt idx="45">
                  <c:v>1</c:v>
                </c:pt>
                <c:pt idx="46">
                  <c:v>1.2</c:v>
                </c:pt>
                <c:pt idx="47">
                  <c:v>1.4</c:v>
                </c:pt>
                <c:pt idx="48">
                  <c:v>1.6</c:v>
                </c:pt>
                <c:pt idx="49">
                  <c:v>1.8</c:v>
                </c:pt>
                <c:pt idx="50">
                  <c:v>2</c:v>
                </c:pt>
                <c:pt idx="51">
                  <c:v>2.2000000000000002</c:v>
                </c:pt>
                <c:pt idx="52">
                  <c:v>2.4</c:v>
                </c:pt>
                <c:pt idx="53">
                  <c:v>2.6</c:v>
                </c:pt>
                <c:pt idx="54">
                  <c:v>2.8</c:v>
                </c:pt>
                <c:pt idx="55">
                  <c:v>3</c:v>
                </c:pt>
                <c:pt idx="56">
                  <c:v>3.2</c:v>
                </c:pt>
                <c:pt idx="57">
                  <c:v>3.4</c:v>
                </c:pt>
                <c:pt idx="58">
                  <c:v>3.6</c:v>
                </c:pt>
                <c:pt idx="59">
                  <c:v>3.8</c:v>
                </c:pt>
                <c:pt idx="60">
                  <c:v>4</c:v>
                </c:pt>
                <c:pt idx="61">
                  <c:v>4.2</c:v>
                </c:pt>
                <c:pt idx="62">
                  <c:v>4.4000000000000004</c:v>
                </c:pt>
                <c:pt idx="63">
                  <c:v>4.5999999999999996</c:v>
                </c:pt>
                <c:pt idx="64">
                  <c:v>4.8</c:v>
                </c:pt>
                <c:pt idx="65">
                  <c:v>5</c:v>
                </c:pt>
                <c:pt idx="66">
                  <c:v>5.2</c:v>
                </c:pt>
                <c:pt idx="67">
                  <c:v>5.4</c:v>
                </c:pt>
                <c:pt idx="68">
                  <c:v>5.6</c:v>
                </c:pt>
                <c:pt idx="69">
                  <c:v>5.8</c:v>
                </c:pt>
                <c:pt idx="70">
                  <c:v>6</c:v>
                </c:pt>
                <c:pt idx="71">
                  <c:v>6.2</c:v>
                </c:pt>
                <c:pt idx="72">
                  <c:v>6.4</c:v>
                </c:pt>
                <c:pt idx="73">
                  <c:v>6.6</c:v>
                </c:pt>
                <c:pt idx="74">
                  <c:v>6.8</c:v>
                </c:pt>
                <c:pt idx="75">
                  <c:v>7</c:v>
                </c:pt>
                <c:pt idx="76">
                  <c:v>7.2</c:v>
                </c:pt>
                <c:pt idx="77">
                  <c:v>7.4</c:v>
                </c:pt>
                <c:pt idx="78">
                  <c:v>7.6</c:v>
                </c:pt>
                <c:pt idx="79">
                  <c:v>7.8</c:v>
                </c:pt>
                <c:pt idx="80">
                  <c:v>8</c:v>
                </c:pt>
                <c:pt idx="81">
                  <c:v>8.1999999999999993</c:v>
                </c:pt>
                <c:pt idx="82">
                  <c:v>8.4</c:v>
                </c:pt>
                <c:pt idx="83">
                  <c:v>8.6</c:v>
                </c:pt>
                <c:pt idx="84">
                  <c:v>8.8000000000000007</c:v>
                </c:pt>
                <c:pt idx="85">
                  <c:v>9</c:v>
                </c:pt>
                <c:pt idx="86">
                  <c:v>9.1999999999999993</c:v>
                </c:pt>
                <c:pt idx="87">
                  <c:v>9.4</c:v>
                </c:pt>
                <c:pt idx="88">
                  <c:v>9.6</c:v>
                </c:pt>
                <c:pt idx="89">
                  <c:v>9.8000000000000007</c:v>
                </c:pt>
                <c:pt idx="90">
                  <c:v>10</c:v>
                </c:pt>
                <c:pt idx="91">
                  <c:v>10.199999999999999</c:v>
                </c:pt>
                <c:pt idx="92">
                  <c:v>10.4</c:v>
                </c:pt>
                <c:pt idx="93">
                  <c:v>10.6</c:v>
                </c:pt>
                <c:pt idx="94">
                  <c:v>10.8</c:v>
                </c:pt>
                <c:pt idx="95">
                  <c:v>11</c:v>
                </c:pt>
                <c:pt idx="96">
                  <c:v>11.2</c:v>
                </c:pt>
                <c:pt idx="97">
                  <c:v>11.4</c:v>
                </c:pt>
                <c:pt idx="98">
                  <c:v>11.6</c:v>
                </c:pt>
                <c:pt idx="99">
                  <c:v>11.8</c:v>
                </c:pt>
                <c:pt idx="10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E4-48AC-8CC6-83353CB86A4C}"/>
            </c:ext>
          </c:extLst>
        </c:ser>
        <c:ser>
          <c:idx val="1"/>
          <c:order val="1"/>
          <c:tx>
            <c:strRef>
              <c:f>'z1'!$C$1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'z1'!$A$2:$A$102</c:f>
              <c:numCache>
                <c:formatCode>General</c:formatCode>
                <c:ptCount val="101"/>
                <c:pt idx="0">
                  <c:v>-10</c:v>
                </c:pt>
                <c:pt idx="1">
                  <c:v>-9.8000000000000007</c:v>
                </c:pt>
                <c:pt idx="2">
                  <c:v>-9.6</c:v>
                </c:pt>
                <c:pt idx="3">
                  <c:v>-9.4</c:v>
                </c:pt>
                <c:pt idx="4">
                  <c:v>-9.1999999999999993</c:v>
                </c:pt>
                <c:pt idx="5">
                  <c:v>-9</c:v>
                </c:pt>
                <c:pt idx="6">
                  <c:v>-8.8000000000000007</c:v>
                </c:pt>
                <c:pt idx="7">
                  <c:v>-8.6</c:v>
                </c:pt>
                <c:pt idx="8">
                  <c:v>-8.4</c:v>
                </c:pt>
                <c:pt idx="9">
                  <c:v>-8.1999999999999993</c:v>
                </c:pt>
                <c:pt idx="10">
                  <c:v>-8</c:v>
                </c:pt>
                <c:pt idx="11">
                  <c:v>-7.8</c:v>
                </c:pt>
                <c:pt idx="12">
                  <c:v>-7.6</c:v>
                </c:pt>
                <c:pt idx="13">
                  <c:v>-7.4</c:v>
                </c:pt>
                <c:pt idx="14">
                  <c:v>-7.2</c:v>
                </c:pt>
                <c:pt idx="15">
                  <c:v>-7</c:v>
                </c:pt>
                <c:pt idx="16">
                  <c:v>-6.8</c:v>
                </c:pt>
                <c:pt idx="17">
                  <c:v>-6.6</c:v>
                </c:pt>
                <c:pt idx="18">
                  <c:v>-6.4</c:v>
                </c:pt>
                <c:pt idx="19">
                  <c:v>-6.2</c:v>
                </c:pt>
                <c:pt idx="20">
                  <c:v>-6</c:v>
                </c:pt>
                <c:pt idx="21">
                  <c:v>-5.8</c:v>
                </c:pt>
                <c:pt idx="22">
                  <c:v>-5.6</c:v>
                </c:pt>
                <c:pt idx="23">
                  <c:v>-5.4</c:v>
                </c:pt>
                <c:pt idx="24">
                  <c:v>-5.2</c:v>
                </c:pt>
                <c:pt idx="25">
                  <c:v>-5</c:v>
                </c:pt>
                <c:pt idx="26">
                  <c:v>-4.8</c:v>
                </c:pt>
                <c:pt idx="27">
                  <c:v>-4.5999999999999996</c:v>
                </c:pt>
                <c:pt idx="28">
                  <c:v>-4.4000000000000004</c:v>
                </c:pt>
                <c:pt idx="29">
                  <c:v>-4.2</c:v>
                </c:pt>
                <c:pt idx="30">
                  <c:v>-4</c:v>
                </c:pt>
                <c:pt idx="31">
                  <c:v>-3.8</c:v>
                </c:pt>
                <c:pt idx="32">
                  <c:v>-3.6</c:v>
                </c:pt>
                <c:pt idx="33">
                  <c:v>-3.4</c:v>
                </c:pt>
                <c:pt idx="34">
                  <c:v>-3.2</c:v>
                </c:pt>
                <c:pt idx="35">
                  <c:v>-3</c:v>
                </c:pt>
                <c:pt idx="36">
                  <c:v>-2.8</c:v>
                </c:pt>
                <c:pt idx="37">
                  <c:v>-2.6</c:v>
                </c:pt>
                <c:pt idx="38">
                  <c:v>-2.4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-1.8</c:v>
                </c:pt>
                <c:pt idx="42">
                  <c:v>-1.6</c:v>
                </c:pt>
                <c:pt idx="43">
                  <c:v>-1.4</c:v>
                </c:pt>
                <c:pt idx="44">
                  <c:v>-1.2</c:v>
                </c:pt>
                <c:pt idx="45">
                  <c:v>-1</c:v>
                </c:pt>
                <c:pt idx="46">
                  <c:v>-0.8</c:v>
                </c:pt>
                <c:pt idx="47">
                  <c:v>-0.6</c:v>
                </c:pt>
                <c:pt idx="48">
                  <c:v>-0.4</c:v>
                </c:pt>
                <c:pt idx="49">
                  <c:v>-0.2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5.6</c:v>
                </c:pt>
                <c:pt idx="79">
                  <c:v>5.8</c:v>
                </c:pt>
                <c:pt idx="80">
                  <c:v>6</c:v>
                </c:pt>
                <c:pt idx="81">
                  <c:v>6.2</c:v>
                </c:pt>
                <c:pt idx="82">
                  <c:v>6.4</c:v>
                </c:pt>
                <c:pt idx="83">
                  <c:v>6.6</c:v>
                </c:pt>
                <c:pt idx="84">
                  <c:v>6.8</c:v>
                </c:pt>
                <c:pt idx="85">
                  <c:v>7</c:v>
                </c:pt>
                <c:pt idx="86">
                  <c:v>7.2</c:v>
                </c:pt>
                <c:pt idx="87">
                  <c:v>7.4</c:v>
                </c:pt>
                <c:pt idx="88">
                  <c:v>7.6</c:v>
                </c:pt>
                <c:pt idx="89">
                  <c:v>7.8</c:v>
                </c:pt>
                <c:pt idx="90">
                  <c:v>8</c:v>
                </c:pt>
                <c:pt idx="91">
                  <c:v>8.1999999999999993</c:v>
                </c:pt>
                <c:pt idx="92">
                  <c:v>8.4</c:v>
                </c:pt>
                <c:pt idx="93">
                  <c:v>8.6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9.4</c:v>
                </c:pt>
                <c:pt idx="98">
                  <c:v>9.6</c:v>
                </c:pt>
                <c:pt idx="99">
                  <c:v>9.8000000000000007</c:v>
                </c:pt>
                <c:pt idx="100">
                  <c:v>10</c:v>
                </c:pt>
              </c:numCache>
            </c:numRef>
          </c:cat>
          <c:val>
            <c:numRef>
              <c:f>'z1'!$C$2:$C$102</c:f>
              <c:numCache>
                <c:formatCode>General</c:formatCode>
                <c:ptCount val="101"/>
                <c:pt idx="0">
                  <c:v>-6</c:v>
                </c:pt>
                <c:pt idx="1">
                  <c:v>-5.8</c:v>
                </c:pt>
                <c:pt idx="2">
                  <c:v>-5.6</c:v>
                </c:pt>
                <c:pt idx="3">
                  <c:v>-5.4</c:v>
                </c:pt>
                <c:pt idx="4">
                  <c:v>-5.2</c:v>
                </c:pt>
                <c:pt idx="5">
                  <c:v>-5</c:v>
                </c:pt>
                <c:pt idx="6">
                  <c:v>-4.8</c:v>
                </c:pt>
                <c:pt idx="7">
                  <c:v>-4.5999999999999996</c:v>
                </c:pt>
                <c:pt idx="8">
                  <c:v>-4.4000000000000004</c:v>
                </c:pt>
                <c:pt idx="9">
                  <c:v>-4.2</c:v>
                </c:pt>
                <c:pt idx="10">
                  <c:v>-4</c:v>
                </c:pt>
                <c:pt idx="11">
                  <c:v>-3.8</c:v>
                </c:pt>
                <c:pt idx="12">
                  <c:v>-3.6</c:v>
                </c:pt>
                <c:pt idx="13">
                  <c:v>-3.4</c:v>
                </c:pt>
                <c:pt idx="14">
                  <c:v>-3.2</c:v>
                </c:pt>
                <c:pt idx="15">
                  <c:v>-3</c:v>
                </c:pt>
                <c:pt idx="16">
                  <c:v>-2.8</c:v>
                </c:pt>
                <c:pt idx="17">
                  <c:v>-2.6</c:v>
                </c:pt>
                <c:pt idx="18">
                  <c:v>-2.4</c:v>
                </c:pt>
                <c:pt idx="19">
                  <c:v>-2.2000000000000002</c:v>
                </c:pt>
                <c:pt idx="20">
                  <c:v>-2</c:v>
                </c:pt>
                <c:pt idx="21">
                  <c:v>-1.8</c:v>
                </c:pt>
                <c:pt idx="22">
                  <c:v>-1.6</c:v>
                </c:pt>
                <c:pt idx="23">
                  <c:v>-1.4</c:v>
                </c:pt>
                <c:pt idx="24">
                  <c:v>-1.2</c:v>
                </c:pt>
                <c:pt idx="25">
                  <c:v>-1</c:v>
                </c:pt>
                <c:pt idx="26">
                  <c:v>-0.8</c:v>
                </c:pt>
                <c:pt idx="27">
                  <c:v>-0.6</c:v>
                </c:pt>
                <c:pt idx="28">
                  <c:v>-0.4</c:v>
                </c:pt>
                <c:pt idx="29">
                  <c:v>-0.2</c:v>
                </c:pt>
                <c:pt idx="30">
                  <c:v>0</c:v>
                </c:pt>
                <c:pt idx="31">
                  <c:v>0.2</c:v>
                </c:pt>
                <c:pt idx="32">
                  <c:v>0.4</c:v>
                </c:pt>
                <c:pt idx="33">
                  <c:v>0.6</c:v>
                </c:pt>
                <c:pt idx="34">
                  <c:v>0.8</c:v>
                </c:pt>
                <c:pt idx="35">
                  <c:v>1</c:v>
                </c:pt>
                <c:pt idx="36">
                  <c:v>1.2</c:v>
                </c:pt>
                <c:pt idx="37">
                  <c:v>1.4</c:v>
                </c:pt>
                <c:pt idx="38">
                  <c:v>1.6</c:v>
                </c:pt>
                <c:pt idx="39">
                  <c:v>1.8</c:v>
                </c:pt>
                <c:pt idx="40">
                  <c:v>2</c:v>
                </c:pt>
                <c:pt idx="41">
                  <c:v>2.2000000000000002</c:v>
                </c:pt>
                <c:pt idx="42">
                  <c:v>2.4</c:v>
                </c:pt>
                <c:pt idx="43">
                  <c:v>2.6</c:v>
                </c:pt>
                <c:pt idx="44">
                  <c:v>2.8</c:v>
                </c:pt>
                <c:pt idx="45">
                  <c:v>3</c:v>
                </c:pt>
                <c:pt idx="46">
                  <c:v>3.2</c:v>
                </c:pt>
                <c:pt idx="47">
                  <c:v>3.4</c:v>
                </c:pt>
                <c:pt idx="48">
                  <c:v>3.6</c:v>
                </c:pt>
                <c:pt idx="49">
                  <c:v>3.8</c:v>
                </c:pt>
                <c:pt idx="50">
                  <c:v>4</c:v>
                </c:pt>
                <c:pt idx="51">
                  <c:v>4.2</c:v>
                </c:pt>
                <c:pt idx="52">
                  <c:v>4.4000000000000004</c:v>
                </c:pt>
                <c:pt idx="53">
                  <c:v>4.5999999999999996</c:v>
                </c:pt>
                <c:pt idx="54">
                  <c:v>4.8</c:v>
                </c:pt>
                <c:pt idx="55">
                  <c:v>5</c:v>
                </c:pt>
                <c:pt idx="56">
                  <c:v>5.2</c:v>
                </c:pt>
                <c:pt idx="57">
                  <c:v>5.4</c:v>
                </c:pt>
                <c:pt idx="58">
                  <c:v>5.6</c:v>
                </c:pt>
                <c:pt idx="59">
                  <c:v>5.8</c:v>
                </c:pt>
                <c:pt idx="60">
                  <c:v>6</c:v>
                </c:pt>
                <c:pt idx="61">
                  <c:v>6.2</c:v>
                </c:pt>
                <c:pt idx="62">
                  <c:v>6.4</c:v>
                </c:pt>
                <c:pt idx="63">
                  <c:v>6.6</c:v>
                </c:pt>
                <c:pt idx="64">
                  <c:v>6.8</c:v>
                </c:pt>
                <c:pt idx="65">
                  <c:v>7</c:v>
                </c:pt>
                <c:pt idx="66">
                  <c:v>7.2</c:v>
                </c:pt>
                <c:pt idx="67">
                  <c:v>7.4</c:v>
                </c:pt>
                <c:pt idx="68">
                  <c:v>7.6</c:v>
                </c:pt>
                <c:pt idx="69">
                  <c:v>7.8</c:v>
                </c:pt>
                <c:pt idx="70">
                  <c:v>8</c:v>
                </c:pt>
                <c:pt idx="71">
                  <c:v>8.1999999999999993</c:v>
                </c:pt>
                <c:pt idx="72">
                  <c:v>8.4</c:v>
                </c:pt>
                <c:pt idx="73">
                  <c:v>8.6</c:v>
                </c:pt>
                <c:pt idx="74">
                  <c:v>8.8000000000000007</c:v>
                </c:pt>
                <c:pt idx="75">
                  <c:v>9</c:v>
                </c:pt>
                <c:pt idx="76">
                  <c:v>9.1999999999999993</c:v>
                </c:pt>
                <c:pt idx="77">
                  <c:v>9.4</c:v>
                </c:pt>
                <c:pt idx="78">
                  <c:v>9.6</c:v>
                </c:pt>
                <c:pt idx="79">
                  <c:v>9.8000000000000007</c:v>
                </c:pt>
                <c:pt idx="80">
                  <c:v>10</c:v>
                </c:pt>
                <c:pt idx="81">
                  <c:v>10.199999999999999</c:v>
                </c:pt>
                <c:pt idx="82">
                  <c:v>10.4</c:v>
                </c:pt>
                <c:pt idx="83">
                  <c:v>10.6</c:v>
                </c:pt>
                <c:pt idx="84">
                  <c:v>10.8</c:v>
                </c:pt>
                <c:pt idx="85">
                  <c:v>11</c:v>
                </c:pt>
                <c:pt idx="86">
                  <c:v>11.2</c:v>
                </c:pt>
                <c:pt idx="87">
                  <c:v>11.4</c:v>
                </c:pt>
                <c:pt idx="88">
                  <c:v>11.6</c:v>
                </c:pt>
                <c:pt idx="89">
                  <c:v>11.8</c:v>
                </c:pt>
                <c:pt idx="90">
                  <c:v>12</c:v>
                </c:pt>
                <c:pt idx="91">
                  <c:v>12.2</c:v>
                </c:pt>
                <c:pt idx="92">
                  <c:v>12.4</c:v>
                </c:pt>
                <c:pt idx="93">
                  <c:v>12.6</c:v>
                </c:pt>
                <c:pt idx="94">
                  <c:v>12.8</c:v>
                </c:pt>
                <c:pt idx="95">
                  <c:v>13</c:v>
                </c:pt>
                <c:pt idx="96">
                  <c:v>13.2</c:v>
                </c:pt>
                <c:pt idx="97">
                  <c:v>13.4</c:v>
                </c:pt>
                <c:pt idx="98">
                  <c:v>13.6</c:v>
                </c:pt>
                <c:pt idx="99">
                  <c:v>13.8</c:v>
                </c:pt>
                <c:pt idx="10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E4-48AC-8CC6-83353CB86A4C}"/>
            </c:ext>
          </c:extLst>
        </c:ser>
        <c:ser>
          <c:idx val="2"/>
          <c:order val="2"/>
          <c:tx>
            <c:strRef>
              <c:f>'z1'!$D$1</c:f>
              <c:strCache>
                <c:ptCount val="1"/>
                <c:pt idx="0">
                  <c:v>z1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'z1'!$A$2:$A$102</c:f>
              <c:numCache>
                <c:formatCode>General</c:formatCode>
                <c:ptCount val="101"/>
                <c:pt idx="0">
                  <c:v>-10</c:v>
                </c:pt>
                <c:pt idx="1">
                  <c:v>-9.8000000000000007</c:v>
                </c:pt>
                <c:pt idx="2">
                  <c:v>-9.6</c:v>
                </c:pt>
                <c:pt idx="3">
                  <c:v>-9.4</c:v>
                </c:pt>
                <c:pt idx="4">
                  <c:v>-9.1999999999999993</c:v>
                </c:pt>
                <c:pt idx="5">
                  <c:v>-9</c:v>
                </c:pt>
                <c:pt idx="6">
                  <c:v>-8.8000000000000007</c:v>
                </c:pt>
                <c:pt idx="7">
                  <c:v>-8.6</c:v>
                </c:pt>
                <c:pt idx="8">
                  <c:v>-8.4</c:v>
                </c:pt>
                <c:pt idx="9">
                  <c:v>-8.1999999999999993</c:v>
                </c:pt>
                <c:pt idx="10">
                  <c:v>-8</c:v>
                </c:pt>
                <c:pt idx="11">
                  <c:v>-7.8</c:v>
                </c:pt>
                <c:pt idx="12">
                  <c:v>-7.6</c:v>
                </c:pt>
                <c:pt idx="13">
                  <c:v>-7.4</c:v>
                </c:pt>
                <c:pt idx="14">
                  <c:v>-7.2</c:v>
                </c:pt>
                <c:pt idx="15">
                  <c:v>-7</c:v>
                </c:pt>
                <c:pt idx="16">
                  <c:v>-6.8</c:v>
                </c:pt>
                <c:pt idx="17">
                  <c:v>-6.6</c:v>
                </c:pt>
                <c:pt idx="18">
                  <c:v>-6.4</c:v>
                </c:pt>
                <c:pt idx="19">
                  <c:v>-6.2</c:v>
                </c:pt>
                <c:pt idx="20">
                  <c:v>-6</c:v>
                </c:pt>
                <c:pt idx="21">
                  <c:v>-5.8</c:v>
                </c:pt>
                <c:pt idx="22">
                  <c:v>-5.6</c:v>
                </c:pt>
                <c:pt idx="23">
                  <c:v>-5.4</c:v>
                </c:pt>
                <c:pt idx="24">
                  <c:v>-5.2</c:v>
                </c:pt>
                <c:pt idx="25">
                  <c:v>-5</c:v>
                </c:pt>
                <c:pt idx="26">
                  <c:v>-4.8</c:v>
                </c:pt>
                <c:pt idx="27">
                  <c:v>-4.5999999999999996</c:v>
                </c:pt>
                <c:pt idx="28">
                  <c:v>-4.4000000000000004</c:v>
                </c:pt>
                <c:pt idx="29">
                  <c:v>-4.2</c:v>
                </c:pt>
                <c:pt idx="30">
                  <c:v>-4</c:v>
                </c:pt>
                <c:pt idx="31">
                  <c:v>-3.8</c:v>
                </c:pt>
                <c:pt idx="32">
                  <c:v>-3.6</c:v>
                </c:pt>
                <c:pt idx="33">
                  <c:v>-3.4</c:v>
                </c:pt>
                <c:pt idx="34">
                  <c:v>-3.2</c:v>
                </c:pt>
                <c:pt idx="35">
                  <c:v>-3</c:v>
                </c:pt>
                <c:pt idx="36">
                  <c:v>-2.8</c:v>
                </c:pt>
                <c:pt idx="37">
                  <c:v>-2.6</c:v>
                </c:pt>
                <c:pt idx="38">
                  <c:v>-2.4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-1.8</c:v>
                </c:pt>
                <c:pt idx="42">
                  <c:v>-1.6</c:v>
                </c:pt>
                <c:pt idx="43">
                  <c:v>-1.4</c:v>
                </c:pt>
                <c:pt idx="44">
                  <c:v>-1.2</c:v>
                </c:pt>
                <c:pt idx="45">
                  <c:v>-1</c:v>
                </c:pt>
                <c:pt idx="46">
                  <c:v>-0.8</c:v>
                </c:pt>
                <c:pt idx="47">
                  <c:v>-0.6</c:v>
                </c:pt>
                <c:pt idx="48">
                  <c:v>-0.4</c:v>
                </c:pt>
                <c:pt idx="49">
                  <c:v>-0.2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5.6</c:v>
                </c:pt>
                <c:pt idx="79">
                  <c:v>5.8</c:v>
                </c:pt>
                <c:pt idx="80">
                  <c:v>6</c:v>
                </c:pt>
                <c:pt idx="81">
                  <c:v>6.2</c:v>
                </c:pt>
                <c:pt idx="82">
                  <c:v>6.4</c:v>
                </c:pt>
                <c:pt idx="83">
                  <c:v>6.6</c:v>
                </c:pt>
                <c:pt idx="84">
                  <c:v>6.8</c:v>
                </c:pt>
                <c:pt idx="85">
                  <c:v>7</c:v>
                </c:pt>
                <c:pt idx="86">
                  <c:v>7.2</c:v>
                </c:pt>
                <c:pt idx="87">
                  <c:v>7.4</c:v>
                </c:pt>
                <c:pt idx="88">
                  <c:v>7.6</c:v>
                </c:pt>
                <c:pt idx="89">
                  <c:v>7.8</c:v>
                </c:pt>
                <c:pt idx="90">
                  <c:v>8</c:v>
                </c:pt>
                <c:pt idx="91">
                  <c:v>8.1999999999999993</c:v>
                </c:pt>
                <c:pt idx="92">
                  <c:v>8.4</c:v>
                </c:pt>
                <c:pt idx="93">
                  <c:v>8.6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9.4</c:v>
                </c:pt>
                <c:pt idx="98">
                  <c:v>9.6</c:v>
                </c:pt>
                <c:pt idx="99">
                  <c:v>9.8000000000000007</c:v>
                </c:pt>
                <c:pt idx="100">
                  <c:v>10</c:v>
                </c:pt>
              </c:numCache>
            </c:numRef>
          </c:cat>
          <c:val>
            <c:numRef>
              <c:f>'z1'!$D$2:$D$102</c:f>
              <c:numCache>
                <c:formatCode>General</c:formatCode>
                <c:ptCount val="101"/>
                <c:pt idx="0">
                  <c:v>-432</c:v>
                </c:pt>
                <c:pt idx="1">
                  <c:v>-423.9094736842107</c:v>
                </c:pt>
                <c:pt idx="2">
                  <c:v>-416.48</c:v>
                </c:pt>
                <c:pt idx="3">
                  <c:v>-409.7858823529412</c:v>
                </c:pt>
                <c:pt idx="4">
                  <c:v>-403.91999999999973</c:v>
                </c:pt>
                <c:pt idx="5">
                  <c:v>-399</c:v>
                </c:pt>
                <c:pt idx="6">
                  <c:v>-395.17714285714311</c:v>
                </c:pt>
                <c:pt idx="7">
                  <c:v>-392.64923076923077</c:v>
                </c:pt>
                <c:pt idx="8">
                  <c:v>-391.68</c:v>
                </c:pt>
                <c:pt idx="9">
                  <c:v>-392.62909090909068</c:v>
                </c:pt>
                <c:pt idx="10">
                  <c:v>-396</c:v>
                </c:pt>
                <c:pt idx="11">
                  <c:v>-402.52</c:v>
                </c:pt>
                <c:pt idx="12">
                  <c:v>-413.27999999999986</c:v>
                </c:pt>
                <c:pt idx="13">
                  <c:v>-429.99428571428581</c:v>
                </c:pt>
                <c:pt idx="14">
                  <c:v>-455.52000000000004</c:v>
                </c:pt>
                <c:pt idx="15">
                  <c:v>-495</c:v>
                </c:pt>
                <c:pt idx="16">
                  <c:v>-558.72</c:v>
                </c:pt>
                <c:pt idx="17">
                  <c:v>-670.67999999999984</c:v>
                </c:pt>
                <c:pt idx="18">
                  <c:v>-902.88000000000045</c:v>
                </c:pt>
                <c:pt idx="19">
                  <c:v>-1615.319999999999</c:v>
                </c:pt>
                <c:pt idx="20">
                  <c:v>0</c:v>
                </c:pt>
                <c:pt idx="21">
                  <c:v>1279.0800000000002</c:v>
                </c:pt>
                <c:pt idx="22">
                  <c:v>565.92000000000064</c:v>
                </c:pt>
                <c:pt idx="23">
                  <c:v>332.51999999999975</c:v>
                </c:pt>
                <c:pt idx="24">
                  <c:v>218.88000000000005</c:v>
                </c:pt>
                <c:pt idx="25">
                  <c:v>153</c:v>
                </c:pt>
                <c:pt idx="26">
                  <c:v>110.88</c:v>
                </c:pt>
                <c:pt idx="27">
                  <c:v>82.234285714285718</c:v>
                </c:pt>
                <c:pt idx="28">
                  <c:v>61.919999999999987</c:v>
                </c:pt>
                <c:pt idx="29">
                  <c:v>47.080000000000005</c:v>
                </c:pt>
                <c:pt idx="30">
                  <c:v>36</c:v>
                </c:pt>
                <c:pt idx="31">
                  <c:v>27.58909090909091</c:v>
                </c:pt>
                <c:pt idx="32">
                  <c:v>21.120000000000005</c:v>
                </c:pt>
                <c:pt idx="33">
                  <c:v>16.089230769230767</c:v>
                </c:pt>
                <c:pt idx="34">
                  <c:v>12.137142857142861</c:v>
                </c:pt>
                <c:pt idx="35">
                  <c:v>9</c:v>
                </c:pt>
                <c:pt idx="36">
                  <c:v>6.4799999999999986</c:v>
                </c:pt>
                <c:pt idx="37">
                  <c:v>4.4258823529411782</c:v>
                </c:pt>
                <c:pt idx="38">
                  <c:v>2.7199999999999993</c:v>
                </c:pt>
                <c:pt idx="39">
                  <c:v>1.2694736842105268</c:v>
                </c:pt>
                <c:pt idx="40">
                  <c:v>0</c:v>
                </c:pt>
                <c:pt idx="41">
                  <c:v>-1.148571428571429</c:v>
                </c:pt>
                <c:pt idx="42">
                  <c:v>-2.2254545454545447</c:v>
                </c:pt>
                <c:pt idx="43">
                  <c:v>-3.2713043478260886</c:v>
                </c:pt>
                <c:pt idx="44">
                  <c:v>-4.3199999999999985</c:v>
                </c:pt>
                <c:pt idx="45">
                  <c:v>-5.4</c:v>
                </c:pt>
                <c:pt idx="46">
                  <c:v>-6.5353846153846167</c:v>
                </c:pt>
                <c:pt idx="47">
                  <c:v>-7.7466666666666653</c:v>
                </c:pt>
                <c:pt idx="48">
                  <c:v>-9.0514285714285734</c:v>
                </c:pt>
                <c:pt idx="49">
                  <c:v>-10.464827586206896</c:v>
                </c:pt>
                <c:pt idx="50">
                  <c:v>-12</c:v>
                </c:pt>
                <c:pt idx="51">
                  <c:v>-13.668387096774195</c:v>
                </c:pt>
                <c:pt idx="52">
                  <c:v>-15.480000000000004</c:v>
                </c:pt>
                <c:pt idx="53">
                  <c:v>-17.443636363636362</c:v>
                </c:pt>
                <c:pt idx="54">
                  <c:v>-19.567058823529411</c:v>
                </c:pt>
                <c:pt idx="55">
                  <c:v>-21.857142857142858</c:v>
                </c:pt>
                <c:pt idx="56">
                  <c:v>-24.320000000000004</c:v>
                </c:pt>
                <c:pt idx="57">
                  <c:v>-26.961081081081083</c:v>
                </c:pt>
                <c:pt idx="58">
                  <c:v>-29.785263157894732</c:v>
                </c:pt>
                <c:pt idx="59">
                  <c:v>-32.796923076923072</c:v>
                </c:pt>
                <c:pt idx="60">
                  <c:v>-36</c:v>
                </c:pt>
                <c:pt idx="61">
                  <c:v>-39.398048780487819</c:v>
                </c:pt>
                <c:pt idx="62">
                  <c:v>-42.994285714285724</c:v>
                </c:pt>
                <c:pt idx="63">
                  <c:v>-46.791627906976743</c:v>
                </c:pt>
                <c:pt idx="64">
                  <c:v>-50.792727272727262</c:v>
                </c:pt>
                <c:pt idx="65">
                  <c:v>-55</c:v>
                </c:pt>
                <c:pt idx="66">
                  <c:v>-59.415652173913053</c:v>
                </c:pt>
                <c:pt idx="67">
                  <c:v>-64.041702127659576</c:v>
                </c:pt>
                <c:pt idx="68">
                  <c:v>-68.88</c:v>
                </c:pt>
                <c:pt idx="69">
                  <c:v>-73.93224489795918</c:v>
                </c:pt>
                <c:pt idx="70">
                  <c:v>-79.2</c:v>
                </c:pt>
                <c:pt idx="71">
                  <c:v>-84.684705882352944</c:v>
                </c:pt>
                <c:pt idx="72">
                  <c:v>-90.387692307692319</c:v>
                </c:pt>
                <c:pt idx="73">
                  <c:v>-96.310188679245272</c:v>
                </c:pt>
                <c:pt idx="74">
                  <c:v>-102.45333333333333</c:v>
                </c:pt>
                <c:pt idx="75">
                  <c:v>-108.81818181818181</c:v>
                </c:pt>
                <c:pt idx="76">
                  <c:v>-115.40571428571428</c:v>
                </c:pt>
                <c:pt idx="77">
                  <c:v>-122.21684210526318</c:v>
                </c:pt>
                <c:pt idx="78">
                  <c:v>-129.25241379310344</c:v>
                </c:pt>
                <c:pt idx="79">
                  <c:v>-136.51322033898307</c:v>
                </c:pt>
                <c:pt idx="80">
                  <c:v>-144</c:v>
                </c:pt>
                <c:pt idx="81">
                  <c:v>-151.71344262295082</c:v>
                </c:pt>
                <c:pt idx="82">
                  <c:v>-159.65419354838713</c:v>
                </c:pt>
                <c:pt idx="83">
                  <c:v>-167.82285714285712</c:v>
                </c:pt>
                <c:pt idx="84">
                  <c:v>-176.22000000000003</c:v>
                </c:pt>
                <c:pt idx="85">
                  <c:v>-184.84615384615384</c:v>
                </c:pt>
                <c:pt idx="86">
                  <c:v>-193.70181818181817</c:v>
                </c:pt>
                <c:pt idx="87">
                  <c:v>-202.78746268656718</c:v>
                </c:pt>
                <c:pt idx="88">
                  <c:v>-212.10352941176473</c:v>
                </c:pt>
                <c:pt idx="89">
                  <c:v>-221.6504347826087</c:v>
                </c:pt>
                <c:pt idx="90">
                  <c:v>-231.42857142857142</c:v>
                </c:pt>
                <c:pt idx="91">
                  <c:v>-241.43830985915488</c:v>
                </c:pt>
                <c:pt idx="92">
                  <c:v>-251.68000000000004</c:v>
                </c:pt>
                <c:pt idx="93">
                  <c:v>-262.15397260273971</c:v>
                </c:pt>
                <c:pt idx="94">
                  <c:v>-272.86054054054063</c:v>
                </c:pt>
                <c:pt idx="95">
                  <c:v>-283.8</c:v>
                </c:pt>
                <c:pt idx="96">
                  <c:v>-294.9726315789473</c:v>
                </c:pt>
                <c:pt idx="97">
                  <c:v>-306.37870129870129</c:v>
                </c:pt>
                <c:pt idx="98">
                  <c:v>-318.01846153846151</c:v>
                </c:pt>
                <c:pt idx="99">
                  <c:v>-329.8921518987342</c:v>
                </c:pt>
                <c:pt idx="100">
                  <c:v>-342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E4-48AC-8CC6-83353CB86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224864"/>
        <c:axId val="716222344"/>
      </c:lineChart>
      <c:catAx>
        <c:axId val="71622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6222344"/>
        <c:crosses val="autoZero"/>
        <c:auto val="1"/>
        <c:lblAlgn val="ctr"/>
        <c:lblOffset val="100"/>
        <c:noMultiLvlLbl val="0"/>
      </c:catAx>
      <c:valAx>
        <c:axId val="716222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622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z2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'z2'!$B$1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'z2'!$A$2:$A$102</c:f>
              <c:numCache>
                <c:formatCode>General</c:formatCode>
                <c:ptCount val="101"/>
                <c:pt idx="0">
                  <c:v>-10</c:v>
                </c:pt>
                <c:pt idx="1">
                  <c:v>-9.8000000000000007</c:v>
                </c:pt>
                <c:pt idx="2">
                  <c:v>-9.6</c:v>
                </c:pt>
                <c:pt idx="3">
                  <c:v>-9.4</c:v>
                </c:pt>
                <c:pt idx="4">
                  <c:v>-9.1999999999999993</c:v>
                </c:pt>
                <c:pt idx="5">
                  <c:v>-9</c:v>
                </c:pt>
                <c:pt idx="6">
                  <c:v>-8.8000000000000007</c:v>
                </c:pt>
                <c:pt idx="7">
                  <c:v>-8.6</c:v>
                </c:pt>
                <c:pt idx="8">
                  <c:v>-8.4</c:v>
                </c:pt>
                <c:pt idx="9">
                  <c:v>-8.1999999999999993</c:v>
                </c:pt>
                <c:pt idx="10">
                  <c:v>-8</c:v>
                </c:pt>
                <c:pt idx="11">
                  <c:v>-7.8</c:v>
                </c:pt>
                <c:pt idx="12">
                  <c:v>-7.6</c:v>
                </c:pt>
                <c:pt idx="13">
                  <c:v>-7.4</c:v>
                </c:pt>
                <c:pt idx="14">
                  <c:v>-7.2</c:v>
                </c:pt>
                <c:pt idx="15">
                  <c:v>-7</c:v>
                </c:pt>
                <c:pt idx="16">
                  <c:v>-6.8</c:v>
                </c:pt>
                <c:pt idx="17">
                  <c:v>-6.6</c:v>
                </c:pt>
                <c:pt idx="18">
                  <c:v>-6.4</c:v>
                </c:pt>
                <c:pt idx="19">
                  <c:v>-6.2</c:v>
                </c:pt>
                <c:pt idx="20">
                  <c:v>-6</c:v>
                </c:pt>
                <c:pt idx="21">
                  <c:v>-5.8</c:v>
                </c:pt>
                <c:pt idx="22">
                  <c:v>-5.6</c:v>
                </c:pt>
                <c:pt idx="23">
                  <c:v>-5.4</c:v>
                </c:pt>
                <c:pt idx="24">
                  <c:v>-5.2</c:v>
                </c:pt>
                <c:pt idx="25">
                  <c:v>-5</c:v>
                </c:pt>
                <c:pt idx="26">
                  <c:v>-4.8</c:v>
                </c:pt>
                <c:pt idx="27">
                  <c:v>-4.5999999999999996</c:v>
                </c:pt>
                <c:pt idx="28">
                  <c:v>-4.4000000000000004</c:v>
                </c:pt>
                <c:pt idx="29">
                  <c:v>-4.2</c:v>
                </c:pt>
                <c:pt idx="30">
                  <c:v>-4</c:v>
                </c:pt>
                <c:pt idx="31">
                  <c:v>-3.8</c:v>
                </c:pt>
                <c:pt idx="32">
                  <c:v>-3.6</c:v>
                </c:pt>
                <c:pt idx="33">
                  <c:v>-3.4</c:v>
                </c:pt>
                <c:pt idx="34">
                  <c:v>-3.2</c:v>
                </c:pt>
                <c:pt idx="35">
                  <c:v>-3</c:v>
                </c:pt>
                <c:pt idx="36">
                  <c:v>-2.8</c:v>
                </c:pt>
                <c:pt idx="37">
                  <c:v>-2.6</c:v>
                </c:pt>
                <c:pt idx="38">
                  <c:v>-2.4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-1.8</c:v>
                </c:pt>
                <c:pt idx="42">
                  <c:v>-1.6</c:v>
                </c:pt>
                <c:pt idx="43">
                  <c:v>-1.4</c:v>
                </c:pt>
                <c:pt idx="44">
                  <c:v>-1.2</c:v>
                </c:pt>
                <c:pt idx="45">
                  <c:v>-1</c:v>
                </c:pt>
                <c:pt idx="46">
                  <c:v>-0.8</c:v>
                </c:pt>
                <c:pt idx="47">
                  <c:v>-0.6</c:v>
                </c:pt>
                <c:pt idx="48">
                  <c:v>-0.4</c:v>
                </c:pt>
                <c:pt idx="49">
                  <c:v>-0.2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5.6</c:v>
                </c:pt>
                <c:pt idx="79">
                  <c:v>5.8</c:v>
                </c:pt>
                <c:pt idx="80">
                  <c:v>6</c:v>
                </c:pt>
                <c:pt idx="81">
                  <c:v>6.2</c:v>
                </c:pt>
                <c:pt idx="82">
                  <c:v>6.4</c:v>
                </c:pt>
                <c:pt idx="83">
                  <c:v>6.6</c:v>
                </c:pt>
                <c:pt idx="84">
                  <c:v>6.8</c:v>
                </c:pt>
                <c:pt idx="85">
                  <c:v>7</c:v>
                </c:pt>
                <c:pt idx="86">
                  <c:v>7.2</c:v>
                </c:pt>
                <c:pt idx="87">
                  <c:v>7.4</c:v>
                </c:pt>
                <c:pt idx="88">
                  <c:v>7.6</c:v>
                </c:pt>
                <c:pt idx="89">
                  <c:v>7.8</c:v>
                </c:pt>
                <c:pt idx="90">
                  <c:v>8</c:v>
                </c:pt>
                <c:pt idx="91">
                  <c:v>8.1999999999999993</c:v>
                </c:pt>
                <c:pt idx="92">
                  <c:v>8.4</c:v>
                </c:pt>
                <c:pt idx="93">
                  <c:v>8.6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9.4</c:v>
                </c:pt>
                <c:pt idx="98">
                  <c:v>9.6</c:v>
                </c:pt>
                <c:pt idx="99">
                  <c:v>9.8000000000000007</c:v>
                </c:pt>
                <c:pt idx="100">
                  <c:v>10</c:v>
                </c:pt>
              </c:numCache>
            </c:numRef>
          </c:cat>
          <c:val>
            <c:numRef>
              <c:f>'z2'!$B$2:$B$102</c:f>
              <c:numCache>
                <c:formatCode>General</c:formatCode>
                <c:ptCount val="101"/>
                <c:pt idx="0">
                  <c:v>-8</c:v>
                </c:pt>
                <c:pt idx="1">
                  <c:v>-7.8</c:v>
                </c:pt>
                <c:pt idx="2">
                  <c:v>-7.6</c:v>
                </c:pt>
                <c:pt idx="3">
                  <c:v>-7.4</c:v>
                </c:pt>
                <c:pt idx="4">
                  <c:v>-7.2</c:v>
                </c:pt>
                <c:pt idx="5">
                  <c:v>-7</c:v>
                </c:pt>
                <c:pt idx="6">
                  <c:v>-6.8</c:v>
                </c:pt>
                <c:pt idx="7">
                  <c:v>-6.6</c:v>
                </c:pt>
                <c:pt idx="8">
                  <c:v>-6.4</c:v>
                </c:pt>
                <c:pt idx="9">
                  <c:v>-6.2</c:v>
                </c:pt>
                <c:pt idx="10">
                  <c:v>-6</c:v>
                </c:pt>
                <c:pt idx="11">
                  <c:v>-5.8</c:v>
                </c:pt>
                <c:pt idx="12">
                  <c:v>-5.6</c:v>
                </c:pt>
                <c:pt idx="13">
                  <c:v>-5.4</c:v>
                </c:pt>
                <c:pt idx="14">
                  <c:v>-5.2</c:v>
                </c:pt>
                <c:pt idx="15">
                  <c:v>-5</c:v>
                </c:pt>
                <c:pt idx="16">
                  <c:v>-4.8</c:v>
                </c:pt>
                <c:pt idx="17">
                  <c:v>-4.5999999999999996</c:v>
                </c:pt>
                <c:pt idx="18">
                  <c:v>-4.4000000000000004</c:v>
                </c:pt>
                <c:pt idx="19">
                  <c:v>-4.2</c:v>
                </c:pt>
                <c:pt idx="20">
                  <c:v>-4</c:v>
                </c:pt>
                <c:pt idx="21">
                  <c:v>-3.8</c:v>
                </c:pt>
                <c:pt idx="22">
                  <c:v>-3.6</c:v>
                </c:pt>
                <c:pt idx="23">
                  <c:v>-3.4</c:v>
                </c:pt>
                <c:pt idx="24">
                  <c:v>-3.2</c:v>
                </c:pt>
                <c:pt idx="25">
                  <c:v>-3</c:v>
                </c:pt>
                <c:pt idx="26">
                  <c:v>-2.8</c:v>
                </c:pt>
                <c:pt idx="27">
                  <c:v>-2.6</c:v>
                </c:pt>
                <c:pt idx="28">
                  <c:v>-2.4</c:v>
                </c:pt>
                <c:pt idx="29">
                  <c:v>-2.2000000000000002</c:v>
                </c:pt>
                <c:pt idx="30">
                  <c:v>-2</c:v>
                </c:pt>
                <c:pt idx="31">
                  <c:v>-1.8</c:v>
                </c:pt>
                <c:pt idx="32">
                  <c:v>-1.6</c:v>
                </c:pt>
                <c:pt idx="33">
                  <c:v>-1.4</c:v>
                </c:pt>
                <c:pt idx="34">
                  <c:v>-1.2</c:v>
                </c:pt>
                <c:pt idx="35">
                  <c:v>-1</c:v>
                </c:pt>
                <c:pt idx="36">
                  <c:v>-0.8</c:v>
                </c:pt>
                <c:pt idx="37">
                  <c:v>-0.6</c:v>
                </c:pt>
                <c:pt idx="38">
                  <c:v>-0.4</c:v>
                </c:pt>
                <c:pt idx="39">
                  <c:v>-0.2</c:v>
                </c:pt>
                <c:pt idx="40">
                  <c:v>0</c:v>
                </c:pt>
                <c:pt idx="41">
                  <c:v>0.2</c:v>
                </c:pt>
                <c:pt idx="42">
                  <c:v>0.4</c:v>
                </c:pt>
                <c:pt idx="43">
                  <c:v>0.6</c:v>
                </c:pt>
                <c:pt idx="44">
                  <c:v>0.8</c:v>
                </c:pt>
                <c:pt idx="45">
                  <c:v>1</c:v>
                </c:pt>
                <c:pt idx="46">
                  <c:v>1.2</c:v>
                </c:pt>
                <c:pt idx="47">
                  <c:v>1.4</c:v>
                </c:pt>
                <c:pt idx="48">
                  <c:v>1.6</c:v>
                </c:pt>
                <c:pt idx="49">
                  <c:v>1.8</c:v>
                </c:pt>
                <c:pt idx="50">
                  <c:v>2</c:v>
                </c:pt>
                <c:pt idx="51">
                  <c:v>2.2000000000000002</c:v>
                </c:pt>
                <c:pt idx="52">
                  <c:v>2.4</c:v>
                </c:pt>
                <c:pt idx="53">
                  <c:v>2.6</c:v>
                </c:pt>
                <c:pt idx="54">
                  <c:v>2.8</c:v>
                </c:pt>
                <c:pt idx="55">
                  <c:v>3</c:v>
                </c:pt>
                <c:pt idx="56">
                  <c:v>3.2</c:v>
                </c:pt>
                <c:pt idx="57">
                  <c:v>3.4</c:v>
                </c:pt>
                <c:pt idx="58">
                  <c:v>3.6</c:v>
                </c:pt>
                <c:pt idx="59">
                  <c:v>3.8</c:v>
                </c:pt>
                <c:pt idx="60">
                  <c:v>4</c:v>
                </c:pt>
                <c:pt idx="61">
                  <c:v>4.2</c:v>
                </c:pt>
                <c:pt idx="62">
                  <c:v>4.4000000000000004</c:v>
                </c:pt>
                <c:pt idx="63">
                  <c:v>4.5999999999999996</c:v>
                </c:pt>
                <c:pt idx="64">
                  <c:v>4.8</c:v>
                </c:pt>
                <c:pt idx="65">
                  <c:v>5</c:v>
                </c:pt>
                <c:pt idx="66">
                  <c:v>5.2</c:v>
                </c:pt>
                <c:pt idx="67">
                  <c:v>5.4</c:v>
                </c:pt>
                <c:pt idx="68">
                  <c:v>5.6</c:v>
                </c:pt>
                <c:pt idx="69">
                  <c:v>5.8</c:v>
                </c:pt>
                <c:pt idx="70">
                  <c:v>6</c:v>
                </c:pt>
                <c:pt idx="71">
                  <c:v>6.2</c:v>
                </c:pt>
                <c:pt idx="72">
                  <c:v>6.4</c:v>
                </c:pt>
                <c:pt idx="73">
                  <c:v>6.6</c:v>
                </c:pt>
                <c:pt idx="74">
                  <c:v>6.8</c:v>
                </c:pt>
                <c:pt idx="75">
                  <c:v>7</c:v>
                </c:pt>
                <c:pt idx="76">
                  <c:v>7.2</c:v>
                </c:pt>
                <c:pt idx="77">
                  <c:v>7.4</c:v>
                </c:pt>
                <c:pt idx="78">
                  <c:v>7.6</c:v>
                </c:pt>
                <c:pt idx="79">
                  <c:v>7.8</c:v>
                </c:pt>
                <c:pt idx="80">
                  <c:v>8</c:v>
                </c:pt>
                <c:pt idx="81">
                  <c:v>8.1999999999999993</c:v>
                </c:pt>
                <c:pt idx="82">
                  <c:v>8.4</c:v>
                </c:pt>
                <c:pt idx="83">
                  <c:v>8.6</c:v>
                </c:pt>
                <c:pt idx="84">
                  <c:v>8.8000000000000007</c:v>
                </c:pt>
                <c:pt idx="85">
                  <c:v>9</c:v>
                </c:pt>
                <c:pt idx="86">
                  <c:v>9.1999999999999993</c:v>
                </c:pt>
                <c:pt idx="87">
                  <c:v>9.4</c:v>
                </c:pt>
                <c:pt idx="88">
                  <c:v>9.6</c:v>
                </c:pt>
                <c:pt idx="89">
                  <c:v>9.8000000000000007</c:v>
                </c:pt>
                <c:pt idx="90">
                  <c:v>10</c:v>
                </c:pt>
                <c:pt idx="91">
                  <c:v>10.199999999999999</c:v>
                </c:pt>
                <c:pt idx="92">
                  <c:v>10.4</c:v>
                </c:pt>
                <c:pt idx="93">
                  <c:v>10.6</c:v>
                </c:pt>
                <c:pt idx="94">
                  <c:v>10.8</c:v>
                </c:pt>
                <c:pt idx="95">
                  <c:v>11</c:v>
                </c:pt>
                <c:pt idx="96">
                  <c:v>11.2</c:v>
                </c:pt>
                <c:pt idx="97">
                  <c:v>11.4</c:v>
                </c:pt>
                <c:pt idx="98">
                  <c:v>11.6</c:v>
                </c:pt>
                <c:pt idx="99">
                  <c:v>11.8</c:v>
                </c:pt>
                <c:pt idx="10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37-4F4F-B214-59F2042E7910}"/>
            </c:ext>
          </c:extLst>
        </c:ser>
        <c:ser>
          <c:idx val="1"/>
          <c:order val="1"/>
          <c:tx>
            <c:strRef>
              <c:f>'z2'!$C$1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'z2'!$A$2:$A$102</c:f>
              <c:numCache>
                <c:formatCode>General</c:formatCode>
                <c:ptCount val="101"/>
                <c:pt idx="0">
                  <c:v>-10</c:v>
                </c:pt>
                <c:pt idx="1">
                  <c:v>-9.8000000000000007</c:v>
                </c:pt>
                <c:pt idx="2">
                  <c:v>-9.6</c:v>
                </c:pt>
                <c:pt idx="3">
                  <c:v>-9.4</c:v>
                </c:pt>
                <c:pt idx="4">
                  <c:v>-9.1999999999999993</c:v>
                </c:pt>
                <c:pt idx="5">
                  <c:v>-9</c:v>
                </c:pt>
                <c:pt idx="6">
                  <c:v>-8.8000000000000007</c:v>
                </c:pt>
                <c:pt idx="7">
                  <c:v>-8.6</c:v>
                </c:pt>
                <c:pt idx="8">
                  <c:v>-8.4</c:v>
                </c:pt>
                <c:pt idx="9">
                  <c:v>-8.1999999999999993</c:v>
                </c:pt>
                <c:pt idx="10">
                  <c:v>-8</c:v>
                </c:pt>
                <c:pt idx="11">
                  <c:v>-7.8</c:v>
                </c:pt>
                <c:pt idx="12">
                  <c:v>-7.6</c:v>
                </c:pt>
                <c:pt idx="13">
                  <c:v>-7.4</c:v>
                </c:pt>
                <c:pt idx="14">
                  <c:v>-7.2</c:v>
                </c:pt>
                <c:pt idx="15">
                  <c:v>-7</c:v>
                </c:pt>
                <c:pt idx="16">
                  <c:v>-6.8</c:v>
                </c:pt>
                <c:pt idx="17">
                  <c:v>-6.6</c:v>
                </c:pt>
                <c:pt idx="18">
                  <c:v>-6.4</c:v>
                </c:pt>
                <c:pt idx="19">
                  <c:v>-6.2</c:v>
                </c:pt>
                <c:pt idx="20">
                  <c:v>-6</c:v>
                </c:pt>
                <c:pt idx="21">
                  <c:v>-5.8</c:v>
                </c:pt>
                <c:pt idx="22">
                  <c:v>-5.6</c:v>
                </c:pt>
                <c:pt idx="23">
                  <c:v>-5.4</c:v>
                </c:pt>
                <c:pt idx="24">
                  <c:v>-5.2</c:v>
                </c:pt>
                <c:pt idx="25">
                  <c:v>-5</c:v>
                </c:pt>
                <c:pt idx="26">
                  <c:v>-4.8</c:v>
                </c:pt>
                <c:pt idx="27">
                  <c:v>-4.5999999999999996</c:v>
                </c:pt>
                <c:pt idx="28">
                  <c:v>-4.4000000000000004</c:v>
                </c:pt>
                <c:pt idx="29">
                  <c:v>-4.2</c:v>
                </c:pt>
                <c:pt idx="30">
                  <c:v>-4</c:v>
                </c:pt>
                <c:pt idx="31">
                  <c:v>-3.8</c:v>
                </c:pt>
                <c:pt idx="32">
                  <c:v>-3.6</c:v>
                </c:pt>
                <c:pt idx="33">
                  <c:v>-3.4</c:v>
                </c:pt>
                <c:pt idx="34">
                  <c:v>-3.2</c:v>
                </c:pt>
                <c:pt idx="35">
                  <c:v>-3</c:v>
                </c:pt>
                <c:pt idx="36">
                  <c:v>-2.8</c:v>
                </c:pt>
                <c:pt idx="37">
                  <c:v>-2.6</c:v>
                </c:pt>
                <c:pt idx="38">
                  <c:v>-2.4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-1.8</c:v>
                </c:pt>
                <c:pt idx="42">
                  <c:v>-1.6</c:v>
                </c:pt>
                <c:pt idx="43">
                  <c:v>-1.4</c:v>
                </c:pt>
                <c:pt idx="44">
                  <c:v>-1.2</c:v>
                </c:pt>
                <c:pt idx="45">
                  <c:v>-1</c:v>
                </c:pt>
                <c:pt idx="46">
                  <c:v>-0.8</c:v>
                </c:pt>
                <c:pt idx="47">
                  <c:v>-0.6</c:v>
                </c:pt>
                <c:pt idx="48">
                  <c:v>-0.4</c:v>
                </c:pt>
                <c:pt idx="49">
                  <c:v>-0.2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5.6</c:v>
                </c:pt>
                <c:pt idx="79">
                  <c:v>5.8</c:v>
                </c:pt>
                <c:pt idx="80">
                  <c:v>6</c:v>
                </c:pt>
                <c:pt idx="81">
                  <c:v>6.2</c:v>
                </c:pt>
                <c:pt idx="82">
                  <c:v>6.4</c:v>
                </c:pt>
                <c:pt idx="83">
                  <c:v>6.6</c:v>
                </c:pt>
                <c:pt idx="84">
                  <c:v>6.8</c:v>
                </c:pt>
                <c:pt idx="85">
                  <c:v>7</c:v>
                </c:pt>
                <c:pt idx="86">
                  <c:v>7.2</c:v>
                </c:pt>
                <c:pt idx="87">
                  <c:v>7.4</c:v>
                </c:pt>
                <c:pt idx="88">
                  <c:v>7.6</c:v>
                </c:pt>
                <c:pt idx="89">
                  <c:v>7.8</c:v>
                </c:pt>
                <c:pt idx="90">
                  <c:v>8</c:v>
                </c:pt>
                <c:pt idx="91">
                  <c:v>8.1999999999999993</c:v>
                </c:pt>
                <c:pt idx="92">
                  <c:v>8.4</c:v>
                </c:pt>
                <c:pt idx="93">
                  <c:v>8.6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9.4</c:v>
                </c:pt>
                <c:pt idx="98">
                  <c:v>9.6</c:v>
                </c:pt>
                <c:pt idx="99">
                  <c:v>9.8000000000000007</c:v>
                </c:pt>
                <c:pt idx="100">
                  <c:v>10</c:v>
                </c:pt>
              </c:numCache>
            </c:numRef>
          </c:cat>
          <c:val>
            <c:numRef>
              <c:f>'z2'!$C$2:$C$102</c:f>
              <c:numCache>
                <c:formatCode>General</c:formatCode>
                <c:ptCount val="101"/>
                <c:pt idx="0">
                  <c:v>-6</c:v>
                </c:pt>
                <c:pt idx="1">
                  <c:v>-5.8</c:v>
                </c:pt>
                <c:pt idx="2">
                  <c:v>-5.6</c:v>
                </c:pt>
                <c:pt idx="3">
                  <c:v>-5.4</c:v>
                </c:pt>
                <c:pt idx="4">
                  <c:v>-5.2</c:v>
                </c:pt>
                <c:pt idx="5">
                  <c:v>-5</c:v>
                </c:pt>
                <c:pt idx="6">
                  <c:v>-4.8</c:v>
                </c:pt>
                <c:pt idx="7">
                  <c:v>-4.5999999999999996</c:v>
                </c:pt>
                <c:pt idx="8">
                  <c:v>-4.4000000000000004</c:v>
                </c:pt>
                <c:pt idx="9">
                  <c:v>-4.2</c:v>
                </c:pt>
                <c:pt idx="10">
                  <c:v>-4</c:v>
                </c:pt>
                <c:pt idx="11">
                  <c:v>-3.8</c:v>
                </c:pt>
                <c:pt idx="12">
                  <c:v>-3.6</c:v>
                </c:pt>
                <c:pt idx="13">
                  <c:v>-3.4</c:v>
                </c:pt>
                <c:pt idx="14">
                  <c:v>-3.2</c:v>
                </c:pt>
                <c:pt idx="15">
                  <c:v>-3</c:v>
                </c:pt>
                <c:pt idx="16">
                  <c:v>-2.8</c:v>
                </c:pt>
                <c:pt idx="17">
                  <c:v>-2.6</c:v>
                </c:pt>
                <c:pt idx="18">
                  <c:v>-2.4</c:v>
                </c:pt>
                <c:pt idx="19">
                  <c:v>-2.2000000000000002</c:v>
                </c:pt>
                <c:pt idx="20">
                  <c:v>-2</c:v>
                </c:pt>
                <c:pt idx="21">
                  <c:v>-1.8</c:v>
                </c:pt>
                <c:pt idx="22">
                  <c:v>-1.6</c:v>
                </c:pt>
                <c:pt idx="23">
                  <c:v>-1.4</c:v>
                </c:pt>
                <c:pt idx="24">
                  <c:v>-1.2</c:v>
                </c:pt>
                <c:pt idx="25">
                  <c:v>-1</c:v>
                </c:pt>
                <c:pt idx="26">
                  <c:v>-0.8</c:v>
                </c:pt>
                <c:pt idx="27">
                  <c:v>-0.6</c:v>
                </c:pt>
                <c:pt idx="28">
                  <c:v>-0.4</c:v>
                </c:pt>
                <c:pt idx="29">
                  <c:v>-0.2</c:v>
                </c:pt>
                <c:pt idx="30">
                  <c:v>0</c:v>
                </c:pt>
                <c:pt idx="31">
                  <c:v>0.2</c:v>
                </c:pt>
                <c:pt idx="32">
                  <c:v>0.4</c:v>
                </c:pt>
                <c:pt idx="33">
                  <c:v>0.6</c:v>
                </c:pt>
                <c:pt idx="34">
                  <c:v>0.8</c:v>
                </c:pt>
                <c:pt idx="35">
                  <c:v>1</c:v>
                </c:pt>
                <c:pt idx="36">
                  <c:v>1.2</c:v>
                </c:pt>
                <c:pt idx="37">
                  <c:v>1.4</c:v>
                </c:pt>
                <c:pt idx="38">
                  <c:v>1.6</c:v>
                </c:pt>
                <c:pt idx="39">
                  <c:v>1.8</c:v>
                </c:pt>
                <c:pt idx="40">
                  <c:v>2</c:v>
                </c:pt>
                <c:pt idx="41">
                  <c:v>2.2000000000000002</c:v>
                </c:pt>
                <c:pt idx="42">
                  <c:v>2.4</c:v>
                </c:pt>
                <c:pt idx="43">
                  <c:v>2.6</c:v>
                </c:pt>
                <c:pt idx="44">
                  <c:v>2.8</c:v>
                </c:pt>
                <c:pt idx="45">
                  <c:v>3</c:v>
                </c:pt>
                <c:pt idx="46">
                  <c:v>3.2</c:v>
                </c:pt>
                <c:pt idx="47">
                  <c:v>3.4</c:v>
                </c:pt>
                <c:pt idx="48">
                  <c:v>3.6</c:v>
                </c:pt>
                <c:pt idx="49">
                  <c:v>3.8</c:v>
                </c:pt>
                <c:pt idx="50">
                  <c:v>4</c:v>
                </c:pt>
                <c:pt idx="51">
                  <c:v>4.2</c:v>
                </c:pt>
                <c:pt idx="52">
                  <c:v>4.4000000000000004</c:v>
                </c:pt>
                <c:pt idx="53">
                  <c:v>4.5999999999999996</c:v>
                </c:pt>
                <c:pt idx="54">
                  <c:v>4.8</c:v>
                </c:pt>
                <c:pt idx="55">
                  <c:v>5</c:v>
                </c:pt>
                <c:pt idx="56">
                  <c:v>5.2</c:v>
                </c:pt>
                <c:pt idx="57">
                  <c:v>5.4</c:v>
                </c:pt>
                <c:pt idx="58">
                  <c:v>5.6</c:v>
                </c:pt>
                <c:pt idx="59">
                  <c:v>5.8</c:v>
                </c:pt>
                <c:pt idx="60">
                  <c:v>6</c:v>
                </c:pt>
                <c:pt idx="61">
                  <c:v>6.2</c:v>
                </c:pt>
                <c:pt idx="62">
                  <c:v>6.4</c:v>
                </c:pt>
                <c:pt idx="63">
                  <c:v>6.6</c:v>
                </c:pt>
                <c:pt idx="64">
                  <c:v>6.8</c:v>
                </c:pt>
                <c:pt idx="65">
                  <c:v>7</c:v>
                </c:pt>
                <c:pt idx="66">
                  <c:v>7.2</c:v>
                </c:pt>
                <c:pt idx="67">
                  <c:v>7.4</c:v>
                </c:pt>
                <c:pt idx="68">
                  <c:v>7.6</c:v>
                </c:pt>
                <c:pt idx="69">
                  <c:v>7.8</c:v>
                </c:pt>
                <c:pt idx="70">
                  <c:v>8</c:v>
                </c:pt>
                <c:pt idx="71">
                  <c:v>8.1999999999999993</c:v>
                </c:pt>
                <c:pt idx="72">
                  <c:v>8.4</c:v>
                </c:pt>
                <c:pt idx="73">
                  <c:v>8.6</c:v>
                </c:pt>
                <c:pt idx="74">
                  <c:v>8.8000000000000007</c:v>
                </c:pt>
                <c:pt idx="75">
                  <c:v>9</c:v>
                </c:pt>
                <c:pt idx="76">
                  <c:v>9.1999999999999993</c:v>
                </c:pt>
                <c:pt idx="77">
                  <c:v>9.4</c:v>
                </c:pt>
                <c:pt idx="78">
                  <c:v>9.6</c:v>
                </c:pt>
                <c:pt idx="79">
                  <c:v>9.8000000000000007</c:v>
                </c:pt>
                <c:pt idx="80">
                  <c:v>10</c:v>
                </c:pt>
                <c:pt idx="81">
                  <c:v>10.199999999999999</c:v>
                </c:pt>
                <c:pt idx="82">
                  <c:v>10.4</c:v>
                </c:pt>
                <c:pt idx="83">
                  <c:v>10.6</c:v>
                </c:pt>
                <c:pt idx="84">
                  <c:v>10.8</c:v>
                </c:pt>
                <c:pt idx="85">
                  <c:v>11</c:v>
                </c:pt>
                <c:pt idx="86">
                  <c:v>11.2</c:v>
                </c:pt>
                <c:pt idx="87">
                  <c:v>11.4</c:v>
                </c:pt>
                <c:pt idx="88">
                  <c:v>11.6</c:v>
                </c:pt>
                <c:pt idx="89">
                  <c:v>11.8</c:v>
                </c:pt>
                <c:pt idx="90">
                  <c:v>12</c:v>
                </c:pt>
                <c:pt idx="91">
                  <c:v>12.2</c:v>
                </c:pt>
                <c:pt idx="92">
                  <c:v>12.4</c:v>
                </c:pt>
                <c:pt idx="93">
                  <c:v>12.6</c:v>
                </c:pt>
                <c:pt idx="94">
                  <c:v>12.8</c:v>
                </c:pt>
                <c:pt idx="95">
                  <c:v>13</c:v>
                </c:pt>
                <c:pt idx="96">
                  <c:v>13.2</c:v>
                </c:pt>
                <c:pt idx="97">
                  <c:v>13.4</c:v>
                </c:pt>
                <c:pt idx="98">
                  <c:v>13.6</c:v>
                </c:pt>
                <c:pt idx="99">
                  <c:v>13.8</c:v>
                </c:pt>
                <c:pt idx="10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37-4F4F-B214-59F2042E7910}"/>
            </c:ext>
          </c:extLst>
        </c:ser>
        <c:ser>
          <c:idx val="2"/>
          <c:order val="2"/>
          <c:tx>
            <c:strRef>
              <c:f>'z2'!$D$1</c:f>
              <c:strCache>
                <c:ptCount val="1"/>
                <c:pt idx="0">
                  <c:v>z2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'z2'!$A$2:$A$102</c:f>
              <c:numCache>
                <c:formatCode>General</c:formatCode>
                <c:ptCount val="101"/>
                <c:pt idx="0">
                  <c:v>-10</c:v>
                </c:pt>
                <c:pt idx="1">
                  <c:v>-9.8000000000000007</c:v>
                </c:pt>
                <c:pt idx="2">
                  <c:v>-9.6</c:v>
                </c:pt>
                <c:pt idx="3">
                  <c:v>-9.4</c:v>
                </c:pt>
                <c:pt idx="4">
                  <c:v>-9.1999999999999993</c:v>
                </c:pt>
                <c:pt idx="5">
                  <c:v>-9</c:v>
                </c:pt>
                <c:pt idx="6">
                  <c:v>-8.8000000000000007</c:v>
                </c:pt>
                <c:pt idx="7">
                  <c:v>-8.6</c:v>
                </c:pt>
                <c:pt idx="8">
                  <c:v>-8.4</c:v>
                </c:pt>
                <c:pt idx="9">
                  <c:v>-8.1999999999999993</c:v>
                </c:pt>
                <c:pt idx="10">
                  <c:v>-8</c:v>
                </c:pt>
                <c:pt idx="11">
                  <c:v>-7.8</c:v>
                </c:pt>
                <c:pt idx="12">
                  <c:v>-7.6</c:v>
                </c:pt>
                <c:pt idx="13">
                  <c:v>-7.4</c:v>
                </c:pt>
                <c:pt idx="14">
                  <c:v>-7.2</c:v>
                </c:pt>
                <c:pt idx="15">
                  <c:v>-7</c:v>
                </c:pt>
                <c:pt idx="16">
                  <c:v>-6.8</c:v>
                </c:pt>
                <c:pt idx="17">
                  <c:v>-6.6</c:v>
                </c:pt>
                <c:pt idx="18">
                  <c:v>-6.4</c:v>
                </c:pt>
                <c:pt idx="19">
                  <c:v>-6.2</c:v>
                </c:pt>
                <c:pt idx="20">
                  <c:v>-6</c:v>
                </c:pt>
                <c:pt idx="21">
                  <c:v>-5.8</c:v>
                </c:pt>
                <c:pt idx="22">
                  <c:v>-5.6</c:v>
                </c:pt>
                <c:pt idx="23">
                  <c:v>-5.4</c:v>
                </c:pt>
                <c:pt idx="24">
                  <c:v>-5.2</c:v>
                </c:pt>
                <c:pt idx="25">
                  <c:v>-5</c:v>
                </c:pt>
                <c:pt idx="26">
                  <c:v>-4.8</c:v>
                </c:pt>
                <c:pt idx="27">
                  <c:v>-4.5999999999999996</c:v>
                </c:pt>
                <c:pt idx="28">
                  <c:v>-4.4000000000000004</c:v>
                </c:pt>
                <c:pt idx="29">
                  <c:v>-4.2</c:v>
                </c:pt>
                <c:pt idx="30">
                  <c:v>-4</c:v>
                </c:pt>
                <c:pt idx="31">
                  <c:v>-3.8</c:v>
                </c:pt>
                <c:pt idx="32">
                  <c:v>-3.6</c:v>
                </c:pt>
                <c:pt idx="33">
                  <c:v>-3.4</c:v>
                </c:pt>
                <c:pt idx="34">
                  <c:v>-3.2</c:v>
                </c:pt>
                <c:pt idx="35">
                  <c:v>-3</c:v>
                </c:pt>
                <c:pt idx="36">
                  <c:v>-2.8</c:v>
                </c:pt>
                <c:pt idx="37">
                  <c:v>-2.6</c:v>
                </c:pt>
                <c:pt idx="38">
                  <c:v>-2.4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-1.8</c:v>
                </c:pt>
                <c:pt idx="42">
                  <c:v>-1.6</c:v>
                </c:pt>
                <c:pt idx="43">
                  <c:v>-1.4</c:v>
                </c:pt>
                <c:pt idx="44">
                  <c:v>-1.2</c:v>
                </c:pt>
                <c:pt idx="45">
                  <c:v>-1</c:v>
                </c:pt>
                <c:pt idx="46">
                  <c:v>-0.8</c:v>
                </c:pt>
                <c:pt idx="47">
                  <c:v>-0.6</c:v>
                </c:pt>
                <c:pt idx="48">
                  <c:v>-0.4</c:v>
                </c:pt>
                <c:pt idx="49">
                  <c:v>-0.2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5.6</c:v>
                </c:pt>
                <c:pt idx="79">
                  <c:v>5.8</c:v>
                </c:pt>
                <c:pt idx="80">
                  <c:v>6</c:v>
                </c:pt>
                <c:pt idx="81">
                  <c:v>6.2</c:v>
                </c:pt>
                <c:pt idx="82">
                  <c:v>6.4</c:v>
                </c:pt>
                <c:pt idx="83">
                  <c:v>6.6</c:v>
                </c:pt>
                <c:pt idx="84">
                  <c:v>6.8</c:v>
                </c:pt>
                <c:pt idx="85">
                  <c:v>7</c:v>
                </c:pt>
                <c:pt idx="86">
                  <c:v>7.2</c:v>
                </c:pt>
                <c:pt idx="87">
                  <c:v>7.4</c:v>
                </c:pt>
                <c:pt idx="88">
                  <c:v>7.6</c:v>
                </c:pt>
                <c:pt idx="89">
                  <c:v>7.8</c:v>
                </c:pt>
                <c:pt idx="90">
                  <c:v>8</c:v>
                </c:pt>
                <c:pt idx="91">
                  <c:v>8.1999999999999993</c:v>
                </c:pt>
                <c:pt idx="92">
                  <c:v>8.4</c:v>
                </c:pt>
                <c:pt idx="93">
                  <c:v>8.6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9.4</c:v>
                </c:pt>
                <c:pt idx="98">
                  <c:v>9.6</c:v>
                </c:pt>
                <c:pt idx="99">
                  <c:v>9.8000000000000007</c:v>
                </c:pt>
                <c:pt idx="100">
                  <c:v>10</c:v>
                </c:pt>
              </c:numCache>
            </c:numRef>
          </c:cat>
          <c:val>
            <c:numRef>
              <c:f>'z2'!$D$2:$D$102</c:f>
              <c:numCache>
                <c:formatCode>General</c:formatCode>
                <c:ptCount val="101"/>
                <c:pt idx="0">
                  <c:v>-103630</c:v>
                </c:pt>
                <c:pt idx="1">
                  <c:v>-86438.337372771901</c:v>
                </c:pt>
                <c:pt idx="2">
                  <c:v>-71675.21738154476</c:v>
                </c:pt>
                <c:pt idx="3">
                  <c:v>-59060.138896793185</c:v>
                </c:pt>
                <c:pt idx="4">
                  <c:v>-48337.434766562241</c:v>
                </c:pt>
                <c:pt idx="5">
                  <c:v>-39274.774300138546</c:v>
                </c:pt>
                <c:pt idx="6">
                  <c:v>-31661.711835255846</c:v>
                </c:pt>
                <c:pt idx="7">
                  <c:v>-25308.281388488009</c:v>
                </c:pt>
                <c:pt idx="8">
                  <c:v>-20043.63738800686</c:v>
                </c:pt>
                <c:pt idx="9">
                  <c:v>-15714.741487004971</c:v>
                </c:pt>
                <c:pt idx="10">
                  <c:v>-12185.095454429505</c:v>
                </c:pt>
                <c:pt idx="11">
                  <c:v>-9333.5201364503191</c:v>
                </c:pt>
                <c:pt idx="12">
                  <c:v>-7052.9804755410587</c:v>
                </c:pt>
                <c:pt idx="13">
                  <c:v>-5249.4565600023707</c:v>
                </c:pt>
                <c:pt idx="14">
                  <c:v>-3840.8606444136499</c:v>
                </c:pt>
                <c:pt idx="15">
                  <c:v>-2756</c:v>
                </c:pt>
                <c:pt idx="16">
                  <c:v>-1933.5852225058297</c:v>
                </c:pt>
                <c:pt idx="17">
                  <c:v>-1321.2828503893472</c:v>
                </c:pt>
                <c:pt idx="18">
                  <c:v>-874.80782574279988</c:v>
                </c:pt>
                <c:pt idx="19">
                  <c:v>-557.02934076938391</c:v>
                </c:pt>
                <c:pt idx="20">
                  <c:v>-336</c:v>
                </c:pt>
                <c:pt idx="21">
                  <c:v>-193.85604009345582</c:v>
                </c:pt>
                <c:pt idx="22">
                  <c:v>-101.82265832717628</c:v>
                </c:pt>
                <c:pt idx="23">
                  <c:v>-46.178672591157124</c:v>
                </c:pt>
                <c:pt idx="24">
                  <c:v>-15.18784699504794</c:v>
                </c:pt>
                <c:pt idx="25">
                  <c:v>0</c:v>
                </c:pt>
                <c:pt idx="26">
                  <c:v>5.7815532161250411</c:v>
                </c:pt>
                <c:pt idx="27">
                  <c:v>6.5536253099900188</c:v>
                </c:pt>
                <c:pt idx="28">
                  <c:v>5.137620755967041</c:v>
                </c:pt>
                <c:pt idx="29">
                  <c:v>3.1641236602078755</c:v>
                </c:pt>
                <c:pt idx="30">
                  <c:v>1.4142135623730951</c:v>
                </c:pt>
                <c:pt idx="31">
                  <c:v>0.11616161499848537</c:v>
                </c:pt>
                <c:pt idx="32">
                  <c:v>-0.80311428785412364</c:v>
                </c:pt>
                <c:pt idx="33">
                  <c:v>-1.5121549156137923</c:v>
                </c:pt>
                <c:pt idx="34">
                  <c:v>-2.1148040797609555</c:v>
                </c:pt>
                <c:pt idx="35">
                  <c:v>-2.5358983848622456</c:v>
                </c:pt>
                <c:pt idx="36">
                  <c:v>-2.4528692459044583</c:v>
                </c:pt>
                <c:pt idx="37">
                  <c:v>-1.2733011103790846</c:v>
                </c:pt>
                <c:pt idx="38">
                  <c:v>1.8415241737308365</c:v>
                </c:pt>
                <c:pt idx="39">
                  <c:v>7.9070757927469684</c:v>
                </c:pt>
                <c:pt idx="40">
                  <c:v>18</c:v>
                </c:pt>
                <c:pt idx="41">
                  <c:v>33.096512504379497</c:v>
                </c:pt>
                <c:pt idx="42">
                  <c:v>53.864748730548662</c:v>
                </c:pt>
                <c:pt idx="43">
                  <c:v>80.411065431105783</c:v>
                </c:pt>
                <c:pt idx="44">
                  <c:v>111.98028855943426</c:v>
                </c:pt>
                <c:pt idx="45">
                  <c:v>146.60990336999413</c:v>
                </c:pt>
                <c:pt idx="46">
                  <c:v>180.73818350949543</c:v>
                </c:pt>
                <c:pt idx="47">
                  <c:v>208.76625647132622</c:v>
                </c:pt>
                <c:pt idx="48">
                  <c:v>222.57410325735819</c:v>
                </c:pt>
                <c:pt idx="49">
                  <c:v>210.9904904612566</c:v>
                </c:pt>
                <c:pt idx="50">
                  <c:v>159.21683328090657</c:v>
                </c:pt>
                <c:pt idx="51">
                  <c:v>48.204988202755558</c:v>
                </c:pt>
                <c:pt idx="52">
                  <c:v>-146.01102570883876</c:v>
                </c:pt>
                <c:pt idx="53">
                  <c:v>-453.02937782887699</c:v>
                </c:pt>
                <c:pt idx="54">
                  <c:v>-908.84085007945032</c:v>
                </c:pt>
                <c:pt idx="55">
                  <c:v>-1556.6353348058617</c:v>
                </c:pt>
                <c:pt idx="56">
                  <c:v>-2447.6544070106524</c:v>
                </c:pt>
                <c:pt idx="57">
                  <c:v>-3642.0899714607499</c:v>
                </c:pt>
                <c:pt idx="58">
                  <c:v>-5210.028985120166</c:v>
                </c:pt>
                <c:pt idx="59">
                  <c:v>-7232.4442553072768</c:v>
                </c:pt>
                <c:pt idx="60">
                  <c:v>-9802.2313139300768</c:v>
                </c:pt>
                <c:pt idx="61">
                  <c:v>-13025.291368113643</c:v>
                </c:pt>
                <c:pt idx="62">
                  <c:v>-17021.660327500151</c:v>
                </c:pt>
                <c:pt idx="63">
                  <c:v>-21926.683908472536</c:v>
                </c:pt>
                <c:pt idx="64">
                  <c:v>-27892.238815527373</c:v>
                </c:pt>
                <c:pt idx="65">
                  <c:v>-35088</c:v>
                </c:pt>
                <c:pt idx="66">
                  <c:v>-43702.753996325846</c:v>
                </c:pt>
                <c:pt idx="67">
                  <c:v>-53945.758336004117</c:v>
                </c:pt>
                <c:pt idx="68">
                  <c:v>-66048.147039415227</c:v>
                </c:pt>
                <c:pt idx="69">
                  <c:v>-80264.382185629613</c:v>
                </c:pt>
                <c:pt idx="70">
                  <c:v>-96873.751560333621</c:v>
                </c:pt>
                <c:pt idx="71">
                  <c:v>-116181.91238198757</c:v>
                </c:pt>
                <c:pt idx="72">
                  <c:v>-138522.48110632171</c:v>
                </c:pt>
                <c:pt idx="73">
                  <c:v>-164258.66930926617</c:v>
                </c:pt>
                <c:pt idx="74">
                  <c:v>-193784.9656484061</c:v>
                </c:pt>
                <c:pt idx="75">
                  <c:v>-227528.86390304056</c:v>
                </c:pt>
                <c:pt idx="76">
                  <c:v>-265952.63709292671</c:v>
                </c:pt>
                <c:pt idx="77">
                  <c:v>-309555.15767577436</c:v>
                </c:pt>
                <c:pt idx="78">
                  <c:v>-358873.76382355794</c:v>
                </c:pt>
                <c:pt idx="79">
                  <c:v>-414486.17177771038</c:v>
                </c:pt>
                <c:pt idx="80">
                  <c:v>-477012.4342832471</c:v>
                </c:pt>
                <c:pt idx="81">
                  <c:v>-547116.94510188117</c:v>
                </c:pt>
                <c:pt idx="82">
                  <c:v>-625510.48960417311</c:v>
                </c:pt>
                <c:pt idx="83">
                  <c:v>-712952.34144076111</c:v>
                </c:pt>
                <c:pt idx="84">
                  <c:v>-810252.40529272065</c:v>
                </c:pt>
                <c:pt idx="85">
                  <c:v>-918273.40570108197</c:v>
                </c:pt>
                <c:pt idx="86">
                  <c:v>-1037933.1219755569</c:v>
                </c:pt>
                <c:pt idx="87">
                  <c:v>-1170206.6691824994</c:v>
                </c:pt>
                <c:pt idx="88">
                  <c:v>-1316128.8252121327</c:v>
                </c:pt>
                <c:pt idx="89">
                  <c:v>-1476796.4039250892</c:v>
                </c:pt>
                <c:pt idx="90">
                  <c:v>-1653370.674378268</c:v>
                </c:pt>
                <c:pt idx="91">
                  <c:v>-1847079.8261300602</c:v>
                </c:pt>
                <c:pt idx="92">
                  <c:v>-2059221.4806249591</c:v>
                </c:pt>
                <c:pt idx="93">
                  <c:v>-2291165.2486575646</c:v>
                </c:pt>
                <c:pt idx="94">
                  <c:v>-2544355.3339160485</c:v>
                </c:pt>
                <c:pt idx="95">
                  <c:v>-2820313.1826050365</c:v>
                </c:pt>
                <c:pt idx="96">
                  <c:v>-3120640.1791480053</c:v>
                </c:pt>
                <c:pt idx="97">
                  <c:v>-3447020.3879691442</c:v>
                </c:pt>
                <c:pt idx="98">
                  <c:v>-3801223.3413547371</c:v>
                </c:pt>
                <c:pt idx="99">
                  <c:v>-4185106.8733940958</c:v>
                </c:pt>
                <c:pt idx="100">
                  <c:v>-4600620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37-4F4F-B214-59F2042E7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7463840"/>
        <c:axId val="617467440"/>
      </c:lineChart>
      <c:catAx>
        <c:axId val="6174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467440"/>
        <c:crosses val="autoZero"/>
        <c:auto val="1"/>
        <c:lblAlgn val="ctr"/>
        <c:lblOffset val="100"/>
        <c:noMultiLvlLbl val="0"/>
      </c:catAx>
      <c:valAx>
        <c:axId val="61746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46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z3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'z3'!$B$1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'z3'!$A$2:$A$102</c:f>
              <c:numCache>
                <c:formatCode>General</c:formatCode>
                <c:ptCount val="101"/>
                <c:pt idx="0">
                  <c:v>-10</c:v>
                </c:pt>
                <c:pt idx="1">
                  <c:v>-9.8000000000000007</c:v>
                </c:pt>
                <c:pt idx="2">
                  <c:v>-9.6</c:v>
                </c:pt>
                <c:pt idx="3">
                  <c:v>-9.4</c:v>
                </c:pt>
                <c:pt idx="4">
                  <c:v>-9.1999999999999993</c:v>
                </c:pt>
                <c:pt idx="5">
                  <c:v>-9</c:v>
                </c:pt>
                <c:pt idx="6">
                  <c:v>-8.8000000000000007</c:v>
                </c:pt>
                <c:pt idx="7">
                  <c:v>-8.6</c:v>
                </c:pt>
                <c:pt idx="8">
                  <c:v>-8.4</c:v>
                </c:pt>
                <c:pt idx="9">
                  <c:v>-8.1999999999999993</c:v>
                </c:pt>
                <c:pt idx="10">
                  <c:v>-8</c:v>
                </c:pt>
                <c:pt idx="11">
                  <c:v>-7.8</c:v>
                </c:pt>
                <c:pt idx="12">
                  <c:v>-7.6</c:v>
                </c:pt>
                <c:pt idx="13">
                  <c:v>-7.4</c:v>
                </c:pt>
                <c:pt idx="14">
                  <c:v>-7.2</c:v>
                </c:pt>
                <c:pt idx="15">
                  <c:v>-7</c:v>
                </c:pt>
                <c:pt idx="16">
                  <c:v>-6.8</c:v>
                </c:pt>
                <c:pt idx="17">
                  <c:v>-6.6</c:v>
                </c:pt>
                <c:pt idx="18">
                  <c:v>-6.4</c:v>
                </c:pt>
                <c:pt idx="19">
                  <c:v>-6.2</c:v>
                </c:pt>
                <c:pt idx="20">
                  <c:v>-6</c:v>
                </c:pt>
                <c:pt idx="21">
                  <c:v>-5.8</c:v>
                </c:pt>
                <c:pt idx="22">
                  <c:v>-5.6</c:v>
                </c:pt>
                <c:pt idx="23">
                  <c:v>-5.4</c:v>
                </c:pt>
                <c:pt idx="24">
                  <c:v>-5.2</c:v>
                </c:pt>
                <c:pt idx="25">
                  <c:v>-5</c:v>
                </c:pt>
                <c:pt idx="26">
                  <c:v>-4.8</c:v>
                </c:pt>
                <c:pt idx="27">
                  <c:v>-4.5999999999999996</c:v>
                </c:pt>
                <c:pt idx="28">
                  <c:v>-4.4000000000000004</c:v>
                </c:pt>
                <c:pt idx="29">
                  <c:v>-4.2</c:v>
                </c:pt>
                <c:pt idx="30">
                  <c:v>-4</c:v>
                </c:pt>
                <c:pt idx="31">
                  <c:v>-3.8</c:v>
                </c:pt>
                <c:pt idx="32">
                  <c:v>-3.6</c:v>
                </c:pt>
                <c:pt idx="33">
                  <c:v>-3.4</c:v>
                </c:pt>
                <c:pt idx="34">
                  <c:v>-3.2</c:v>
                </c:pt>
                <c:pt idx="35">
                  <c:v>-3</c:v>
                </c:pt>
                <c:pt idx="36">
                  <c:v>-2.8</c:v>
                </c:pt>
                <c:pt idx="37">
                  <c:v>-2.6</c:v>
                </c:pt>
                <c:pt idx="38">
                  <c:v>-2.4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-1.8</c:v>
                </c:pt>
                <c:pt idx="42">
                  <c:v>-1.6</c:v>
                </c:pt>
                <c:pt idx="43">
                  <c:v>-1.4</c:v>
                </c:pt>
                <c:pt idx="44">
                  <c:v>-1.2</c:v>
                </c:pt>
                <c:pt idx="45">
                  <c:v>-1</c:v>
                </c:pt>
                <c:pt idx="46">
                  <c:v>-0.8</c:v>
                </c:pt>
                <c:pt idx="47">
                  <c:v>-0.6</c:v>
                </c:pt>
                <c:pt idx="48">
                  <c:v>-0.4</c:v>
                </c:pt>
                <c:pt idx="49">
                  <c:v>-0.2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5.6</c:v>
                </c:pt>
                <c:pt idx="79">
                  <c:v>5.8</c:v>
                </c:pt>
                <c:pt idx="80">
                  <c:v>6</c:v>
                </c:pt>
                <c:pt idx="81">
                  <c:v>6.2</c:v>
                </c:pt>
                <c:pt idx="82">
                  <c:v>6.4</c:v>
                </c:pt>
                <c:pt idx="83">
                  <c:v>6.6</c:v>
                </c:pt>
                <c:pt idx="84">
                  <c:v>6.8</c:v>
                </c:pt>
                <c:pt idx="85">
                  <c:v>7</c:v>
                </c:pt>
                <c:pt idx="86">
                  <c:v>7.2</c:v>
                </c:pt>
                <c:pt idx="87">
                  <c:v>7.4</c:v>
                </c:pt>
                <c:pt idx="88">
                  <c:v>7.6</c:v>
                </c:pt>
                <c:pt idx="89">
                  <c:v>7.8</c:v>
                </c:pt>
                <c:pt idx="90">
                  <c:v>8</c:v>
                </c:pt>
                <c:pt idx="91">
                  <c:v>8.1999999999999993</c:v>
                </c:pt>
                <c:pt idx="92">
                  <c:v>8.4</c:v>
                </c:pt>
                <c:pt idx="93">
                  <c:v>8.6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9.4</c:v>
                </c:pt>
                <c:pt idx="98">
                  <c:v>9.6</c:v>
                </c:pt>
                <c:pt idx="99">
                  <c:v>9.8000000000000007</c:v>
                </c:pt>
                <c:pt idx="100">
                  <c:v>10</c:v>
                </c:pt>
              </c:numCache>
            </c:numRef>
          </c:cat>
          <c:val>
            <c:numRef>
              <c:f>'z3'!$B$2:$B$102</c:f>
              <c:numCache>
                <c:formatCode>General</c:formatCode>
                <c:ptCount val="101"/>
                <c:pt idx="0">
                  <c:v>-8</c:v>
                </c:pt>
                <c:pt idx="1">
                  <c:v>-7.8</c:v>
                </c:pt>
                <c:pt idx="2">
                  <c:v>-7.6</c:v>
                </c:pt>
                <c:pt idx="3">
                  <c:v>-7.4</c:v>
                </c:pt>
                <c:pt idx="4">
                  <c:v>-7.2</c:v>
                </c:pt>
                <c:pt idx="5">
                  <c:v>-7</c:v>
                </c:pt>
                <c:pt idx="6">
                  <c:v>-6.8</c:v>
                </c:pt>
                <c:pt idx="7">
                  <c:v>-6.6</c:v>
                </c:pt>
                <c:pt idx="8">
                  <c:v>-6.4</c:v>
                </c:pt>
                <c:pt idx="9">
                  <c:v>-6.2</c:v>
                </c:pt>
                <c:pt idx="10">
                  <c:v>-6</c:v>
                </c:pt>
                <c:pt idx="11">
                  <c:v>-5.8</c:v>
                </c:pt>
                <c:pt idx="12">
                  <c:v>-5.6</c:v>
                </c:pt>
                <c:pt idx="13">
                  <c:v>-5.4</c:v>
                </c:pt>
                <c:pt idx="14">
                  <c:v>-5.2</c:v>
                </c:pt>
                <c:pt idx="15">
                  <c:v>-5</c:v>
                </c:pt>
                <c:pt idx="16">
                  <c:v>-4.8</c:v>
                </c:pt>
                <c:pt idx="17">
                  <c:v>-4.5999999999999996</c:v>
                </c:pt>
                <c:pt idx="18">
                  <c:v>-4.4000000000000004</c:v>
                </c:pt>
                <c:pt idx="19">
                  <c:v>-4.2</c:v>
                </c:pt>
                <c:pt idx="20">
                  <c:v>-4</c:v>
                </c:pt>
                <c:pt idx="21">
                  <c:v>-3.8</c:v>
                </c:pt>
                <c:pt idx="22">
                  <c:v>-3.6</c:v>
                </c:pt>
                <c:pt idx="23">
                  <c:v>-3.4</c:v>
                </c:pt>
                <c:pt idx="24">
                  <c:v>-3.2</c:v>
                </c:pt>
                <c:pt idx="25">
                  <c:v>-3</c:v>
                </c:pt>
                <c:pt idx="26">
                  <c:v>-2.8</c:v>
                </c:pt>
                <c:pt idx="27">
                  <c:v>-2.6</c:v>
                </c:pt>
                <c:pt idx="28">
                  <c:v>-2.4</c:v>
                </c:pt>
                <c:pt idx="29">
                  <c:v>-2.2000000000000002</c:v>
                </c:pt>
                <c:pt idx="30">
                  <c:v>-2</c:v>
                </c:pt>
                <c:pt idx="31">
                  <c:v>-1.8</c:v>
                </c:pt>
                <c:pt idx="32">
                  <c:v>-1.6</c:v>
                </c:pt>
                <c:pt idx="33">
                  <c:v>-1.4</c:v>
                </c:pt>
                <c:pt idx="34">
                  <c:v>-1.2</c:v>
                </c:pt>
                <c:pt idx="35">
                  <c:v>-1</c:v>
                </c:pt>
                <c:pt idx="36">
                  <c:v>-0.8</c:v>
                </c:pt>
                <c:pt idx="37">
                  <c:v>-0.6</c:v>
                </c:pt>
                <c:pt idx="38">
                  <c:v>-0.4</c:v>
                </c:pt>
                <c:pt idx="39">
                  <c:v>-0.2</c:v>
                </c:pt>
                <c:pt idx="40">
                  <c:v>0</c:v>
                </c:pt>
                <c:pt idx="41">
                  <c:v>0.2</c:v>
                </c:pt>
                <c:pt idx="42">
                  <c:v>0.4</c:v>
                </c:pt>
                <c:pt idx="43">
                  <c:v>0.6</c:v>
                </c:pt>
                <c:pt idx="44">
                  <c:v>0.8</c:v>
                </c:pt>
                <c:pt idx="45">
                  <c:v>1</c:v>
                </c:pt>
                <c:pt idx="46">
                  <c:v>1.2</c:v>
                </c:pt>
                <c:pt idx="47">
                  <c:v>1.4</c:v>
                </c:pt>
                <c:pt idx="48">
                  <c:v>1.6</c:v>
                </c:pt>
                <c:pt idx="49">
                  <c:v>1.8</c:v>
                </c:pt>
                <c:pt idx="50">
                  <c:v>2</c:v>
                </c:pt>
                <c:pt idx="51">
                  <c:v>2.2000000000000002</c:v>
                </c:pt>
                <c:pt idx="52">
                  <c:v>2.4</c:v>
                </c:pt>
                <c:pt idx="53">
                  <c:v>2.6</c:v>
                </c:pt>
                <c:pt idx="54">
                  <c:v>2.8</c:v>
                </c:pt>
                <c:pt idx="55">
                  <c:v>3</c:v>
                </c:pt>
                <c:pt idx="56">
                  <c:v>3.2</c:v>
                </c:pt>
                <c:pt idx="57">
                  <c:v>3.4</c:v>
                </c:pt>
                <c:pt idx="58">
                  <c:v>3.6</c:v>
                </c:pt>
                <c:pt idx="59">
                  <c:v>3.8</c:v>
                </c:pt>
                <c:pt idx="60">
                  <c:v>4</c:v>
                </c:pt>
                <c:pt idx="61">
                  <c:v>4.2</c:v>
                </c:pt>
                <c:pt idx="62">
                  <c:v>4.4000000000000004</c:v>
                </c:pt>
                <c:pt idx="63">
                  <c:v>4.5999999999999996</c:v>
                </c:pt>
                <c:pt idx="64">
                  <c:v>4.8</c:v>
                </c:pt>
                <c:pt idx="65">
                  <c:v>5</c:v>
                </c:pt>
                <c:pt idx="66">
                  <c:v>5.2</c:v>
                </c:pt>
                <c:pt idx="67">
                  <c:v>5.4</c:v>
                </c:pt>
                <c:pt idx="68">
                  <c:v>5.6</c:v>
                </c:pt>
                <c:pt idx="69">
                  <c:v>5.8</c:v>
                </c:pt>
                <c:pt idx="70">
                  <c:v>6</c:v>
                </c:pt>
                <c:pt idx="71">
                  <c:v>6.2</c:v>
                </c:pt>
                <c:pt idx="72">
                  <c:v>6.4</c:v>
                </c:pt>
                <c:pt idx="73">
                  <c:v>6.6</c:v>
                </c:pt>
                <c:pt idx="74">
                  <c:v>6.8</c:v>
                </c:pt>
                <c:pt idx="75">
                  <c:v>7</c:v>
                </c:pt>
                <c:pt idx="76">
                  <c:v>7.2</c:v>
                </c:pt>
                <c:pt idx="77">
                  <c:v>7.4</c:v>
                </c:pt>
                <c:pt idx="78">
                  <c:v>7.6</c:v>
                </c:pt>
                <c:pt idx="79">
                  <c:v>7.8</c:v>
                </c:pt>
                <c:pt idx="80">
                  <c:v>8</c:v>
                </c:pt>
                <c:pt idx="81">
                  <c:v>8.1999999999999993</c:v>
                </c:pt>
                <c:pt idx="82">
                  <c:v>8.4</c:v>
                </c:pt>
                <c:pt idx="83">
                  <c:v>8.6</c:v>
                </c:pt>
                <c:pt idx="84">
                  <c:v>8.8000000000000007</c:v>
                </c:pt>
                <c:pt idx="85">
                  <c:v>9</c:v>
                </c:pt>
                <c:pt idx="86">
                  <c:v>9.1999999999999993</c:v>
                </c:pt>
                <c:pt idx="87">
                  <c:v>9.4</c:v>
                </c:pt>
                <c:pt idx="88">
                  <c:v>9.6</c:v>
                </c:pt>
                <c:pt idx="89">
                  <c:v>9.8000000000000007</c:v>
                </c:pt>
                <c:pt idx="90">
                  <c:v>10</c:v>
                </c:pt>
                <c:pt idx="91">
                  <c:v>10.199999999999999</c:v>
                </c:pt>
                <c:pt idx="92">
                  <c:v>10.4</c:v>
                </c:pt>
                <c:pt idx="93">
                  <c:v>10.6</c:v>
                </c:pt>
                <c:pt idx="94">
                  <c:v>10.8</c:v>
                </c:pt>
                <c:pt idx="95">
                  <c:v>11</c:v>
                </c:pt>
                <c:pt idx="96">
                  <c:v>11.2</c:v>
                </c:pt>
                <c:pt idx="97">
                  <c:v>11.4</c:v>
                </c:pt>
                <c:pt idx="98">
                  <c:v>11.6</c:v>
                </c:pt>
                <c:pt idx="99">
                  <c:v>11.8</c:v>
                </c:pt>
                <c:pt idx="10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F-429B-A03E-9970871CA98D}"/>
            </c:ext>
          </c:extLst>
        </c:ser>
        <c:ser>
          <c:idx val="1"/>
          <c:order val="1"/>
          <c:tx>
            <c:strRef>
              <c:f>'z3'!$C$1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'z3'!$A$2:$A$102</c:f>
              <c:numCache>
                <c:formatCode>General</c:formatCode>
                <c:ptCount val="101"/>
                <c:pt idx="0">
                  <c:v>-10</c:v>
                </c:pt>
                <c:pt idx="1">
                  <c:v>-9.8000000000000007</c:v>
                </c:pt>
                <c:pt idx="2">
                  <c:v>-9.6</c:v>
                </c:pt>
                <c:pt idx="3">
                  <c:v>-9.4</c:v>
                </c:pt>
                <c:pt idx="4">
                  <c:v>-9.1999999999999993</c:v>
                </c:pt>
                <c:pt idx="5">
                  <c:v>-9</c:v>
                </c:pt>
                <c:pt idx="6">
                  <c:v>-8.8000000000000007</c:v>
                </c:pt>
                <c:pt idx="7">
                  <c:v>-8.6</c:v>
                </c:pt>
                <c:pt idx="8">
                  <c:v>-8.4</c:v>
                </c:pt>
                <c:pt idx="9">
                  <c:v>-8.1999999999999993</c:v>
                </c:pt>
                <c:pt idx="10">
                  <c:v>-8</c:v>
                </c:pt>
                <c:pt idx="11">
                  <c:v>-7.8</c:v>
                </c:pt>
                <c:pt idx="12">
                  <c:v>-7.6</c:v>
                </c:pt>
                <c:pt idx="13">
                  <c:v>-7.4</c:v>
                </c:pt>
                <c:pt idx="14">
                  <c:v>-7.2</c:v>
                </c:pt>
                <c:pt idx="15">
                  <c:v>-7</c:v>
                </c:pt>
                <c:pt idx="16">
                  <c:v>-6.8</c:v>
                </c:pt>
                <c:pt idx="17">
                  <c:v>-6.6</c:v>
                </c:pt>
                <c:pt idx="18">
                  <c:v>-6.4</c:v>
                </c:pt>
                <c:pt idx="19">
                  <c:v>-6.2</c:v>
                </c:pt>
                <c:pt idx="20">
                  <c:v>-6</c:v>
                </c:pt>
                <c:pt idx="21">
                  <c:v>-5.8</c:v>
                </c:pt>
                <c:pt idx="22">
                  <c:v>-5.6</c:v>
                </c:pt>
                <c:pt idx="23">
                  <c:v>-5.4</c:v>
                </c:pt>
                <c:pt idx="24">
                  <c:v>-5.2</c:v>
                </c:pt>
                <c:pt idx="25">
                  <c:v>-5</c:v>
                </c:pt>
                <c:pt idx="26">
                  <c:v>-4.8</c:v>
                </c:pt>
                <c:pt idx="27">
                  <c:v>-4.5999999999999996</c:v>
                </c:pt>
                <c:pt idx="28">
                  <c:v>-4.4000000000000004</c:v>
                </c:pt>
                <c:pt idx="29">
                  <c:v>-4.2</c:v>
                </c:pt>
                <c:pt idx="30">
                  <c:v>-4</c:v>
                </c:pt>
                <c:pt idx="31">
                  <c:v>-3.8</c:v>
                </c:pt>
                <c:pt idx="32">
                  <c:v>-3.6</c:v>
                </c:pt>
                <c:pt idx="33">
                  <c:v>-3.4</c:v>
                </c:pt>
                <c:pt idx="34">
                  <c:v>-3.2</c:v>
                </c:pt>
                <c:pt idx="35">
                  <c:v>-3</c:v>
                </c:pt>
                <c:pt idx="36">
                  <c:v>-2.8</c:v>
                </c:pt>
                <c:pt idx="37">
                  <c:v>-2.6</c:v>
                </c:pt>
                <c:pt idx="38">
                  <c:v>-2.4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-1.8</c:v>
                </c:pt>
                <c:pt idx="42">
                  <c:v>-1.6</c:v>
                </c:pt>
                <c:pt idx="43">
                  <c:v>-1.4</c:v>
                </c:pt>
                <c:pt idx="44">
                  <c:v>-1.2</c:v>
                </c:pt>
                <c:pt idx="45">
                  <c:v>-1</c:v>
                </c:pt>
                <c:pt idx="46">
                  <c:v>-0.8</c:v>
                </c:pt>
                <c:pt idx="47">
                  <c:v>-0.6</c:v>
                </c:pt>
                <c:pt idx="48">
                  <c:v>-0.4</c:v>
                </c:pt>
                <c:pt idx="49">
                  <c:v>-0.2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5.6</c:v>
                </c:pt>
                <c:pt idx="79">
                  <c:v>5.8</c:v>
                </c:pt>
                <c:pt idx="80">
                  <c:v>6</c:v>
                </c:pt>
                <c:pt idx="81">
                  <c:v>6.2</c:v>
                </c:pt>
                <c:pt idx="82">
                  <c:v>6.4</c:v>
                </c:pt>
                <c:pt idx="83">
                  <c:v>6.6</c:v>
                </c:pt>
                <c:pt idx="84">
                  <c:v>6.8</c:v>
                </c:pt>
                <c:pt idx="85">
                  <c:v>7</c:v>
                </c:pt>
                <c:pt idx="86">
                  <c:v>7.2</c:v>
                </c:pt>
                <c:pt idx="87">
                  <c:v>7.4</c:v>
                </c:pt>
                <c:pt idx="88">
                  <c:v>7.6</c:v>
                </c:pt>
                <c:pt idx="89">
                  <c:v>7.8</c:v>
                </c:pt>
                <c:pt idx="90">
                  <c:v>8</c:v>
                </c:pt>
                <c:pt idx="91">
                  <c:v>8.1999999999999993</c:v>
                </c:pt>
                <c:pt idx="92">
                  <c:v>8.4</c:v>
                </c:pt>
                <c:pt idx="93">
                  <c:v>8.6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9.4</c:v>
                </c:pt>
                <c:pt idx="98">
                  <c:v>9.6</c:v>
                </c:pt>
                <c:pt idx="99">
                  <c:v>9.8000000000000007</c:v>
                </c:pt>
                <c:pt idx="100">
                  <c:v>10</c:v>
                </c:pt>
              </c:numCache>
            </c:numRef>
          </c:cat>
          <c:val>
            <c:numRef>
              <c:f>'z3'!$C$2:$C$102</c:f>
              <c:numCache>
                <c:formatCode>General</c:formatCode>
                <c:ptCount val="101"/>
                <c:pt idx="0">
                  <c:v>-6</c:v>
                </c:pt>
                <c:pt idx="1">
                  <c:v>-5.8</c:v>
                </c:pt>
                <c:pt idx="2">
                  <c:v>-5.6</c:v>
                </c:pt>
                <c:pt idx="3">
                  <c:v>-5.4</c:v>
                </c:pt>
                <c:pt idx="4">
                  <c:v>-5.2</c:v>
                </c:pt>
                <c:pt idx="5">
                  <c:v>-5</c:v>
                </c:pt>
                <c:pt idx="6">
                  <c:v>-4.8</c:v>
                </c:pt>
                <c:pt idx="7">
                  <c:v>-4.5999999999999996</c:v>
                </c:pt>
                <c:pt idx="8">
                  <c:v>-4.4000000000000004</c:v>
                </c:pt>
                <c:pt idx="9">
                  <c:v>-4.2</c:v>
                </c:pt>
                <c:pt idx="10">
                  <c:v>-4</c:v>
                </c:pt>
                <c:pt idx="11">
                  <c:v>-3.8</c:v>
                </c:pt>
                <c:pt idx="12">
                  <c:v>-3.6</c:v>
                </c:pt>
                <c:pt idx="13">
                  <c:v>-3.4</c:v>
                </c:pt>
                <c:pt idx="14">
                  <c:v>-3.2</c:v>
                </c:pt>
                <c:pt idx="15">
                  <c:v>-3</c:v>
                </c:pt>
                <c:pt idx="16">
                  <c:v>-2.8</c:v>
                </c:pt>
                <c:pt idx="17">
                  <c:v>-2.6</c:v>
                </c:pt>
                <c:pt idx="18">
                  <c:v>-2.4</c:v>
                </c:pt>
                <c:pt idx="19">
                  <c:v>-2.2000000000000002</c:v>
                </c:pt>
                <c:pt idx="20">
                  <c:v>-2</c:v>
                </c:pt>
                <c:pt idx="21">
                  <c:v>-1.8</c:v>
                </c:pt>
                <c:pt idx="22">
                  <c:v>-1.6</c:v>
                </c:pt>
                <c:pt idx="23">
                  <c:v>-1.4</c:v>
                </c:pt>
                <c:pt idx="24">
                  <c:v>-1.2</c:v>
                </c:pt>
                <c:pt idx="25">
                  <c:v>-1</c:v>
                </c:pt>
                <c:pt idx="26">
                  <c:v>-0.8</c:v>
                </c:pt>
                <c:pt idx="27">
                  <c:v>-0.6</c:v>
                </c:pt>
                <c:pt idx="28">
                  <c:v>-0.4</c:v>
                </c:pt>
                <c:pt idx="29">
                  <c:v>-0.2</c:v>
                </c:pt>
                <c:pt idx="30">
                  <c:v>0</c:v>
                </c:pt>
                <c:pt idx="31">
                  <c:v>0.2</c:v>
                </c:pt>
                <c:pt idx="32">
                  <c:v>0.4</c:v>
                </c:pt>
                <c:pt idx="33">
                  <c:v>0.6</c:v>
                </c:pt>
                <c:pt idx="34">
                  <c:v>0.8</c:v>
                </c:pt>
                <c:pt idx="35">
                  <c:v>1</c:v>
                </c:pt>
                <c:pt idx="36">
                  <c:v>1.2</c:v>
                </c:pt>
                <c:pt idx="37">
                  <c:v>1.4</c:v>
                </c:pt>
                <c:pt idx="38">
                  <c:v>1.6</c:v>
                </c:pt>
                <c:pt idx="39">
                  <c:v>1.8</c:v>
                </c:pt>
                <c:pt idx="40">
                  <c:v>2</c:v>
                </c:pt>
                <c:pt idx="41">
                  <c:v>2.2000000000000002</c:v>
                </c:pt>
                <c:pt idx="42">
                  <c:v>2.4</c:v>
                </c:pt>
                <c:pt idx="43">
                  <c:v>2.6</c:v>
                </c:pt>
                <c:pt idx="44">
                  <c:v>2.8</c:v>
                </c:pt>
                <c:pt idx="45">
                  <c:v>3</c:v>
                </c:pt>
                <c:pt idx="46">
                  <c:v>3.2</c:v>
                </c:pt>
                <c:pt idx="47">
                  <c:v>3.4</c:v>
                </c:pt>
                <c:pt idx="48">
                  <c:v>3.6</c:v>
                </c:pt>
                <c:pt idx="49">
                  <c:v>3.8</c:v>
                </c:pt>
                <c:pt idx="50">
                  <c:v>4</c:v>
                </c:pt>
                <c:pt idx="51">
                  <c:v>4.2</c:v>
                </c:pt>
                <c:pt idx="52">
                  <c:v>4.4000000000000004</c:v>
                </c:pt>
                <c:pt idx="53">
                  <c:v>4.5999999999999996</c:v>
                </c:pt>
                <c:pt idx="54">
                  <c:v>4.8</c:v>
                </c:pt>
                <c:pt idx="55">
                  <c:v>5</c:v>
                </c:pt>
                <c:pt idx="56">
                  <c:v>5.2</c:v>
                </c:pt>
                <c:pt idx="57">
                  <c:v>5.4</c:v>
                </c:pt>
                <c:pt idx="58">
                  <c:v>5.6</c:v>
                </c:pt>
                <c:pt idx="59">
                  <c:v>5.8</c:v>
                </c:pt>
                <c:pt idx="60">
                  <c:v>6</c:v>
                </c:pt>
                <c:pt idx="61">
                  <c:v>6.2</c:v>
                </c:pt>
                <c:pt idx="62">
                  <c:v>6.4</c:v>
                </c:pt>
                <c:pt idx="63">
                  <c:v>6.6</c:v>
                </c:pt>
                <c:pt idx="64">
                  <c:v>6.8</c:v>
                </c:pt>
                <c:pt idx="65">
                  <c:v>7</c:v>
                </c:pt>
                <c:pt idx="66">
                  <c:v>7.2</c:v>
                </c:pt>
                <c:pt idx="67">
                  <c:v>7.4</c:v>
                </c:pt>
                <c:pt idx="68">
                  <c:v>7.6</c:v>
                </c:pt>
                <c:pt idx="69">
                  <c:v>7.8</c:v>
                </c:pt>
                <c:pt idx="70">
                  <c:v>8</c:v>
                </c:pt>
                <c:pt idx="71">
                  <c:v>8.1999999999999993</c:v>
                </c:pt>
                <c:pt idx="72">
                  <c:v>8.4</c:v>
                </c:pt>
                <c:pt idx="73">
                  <c:v>8.6</c:v>
                </c:pt>
                <c:pt idx="74">
                  <c:v>8.8000000000000007</c:v>
                </c:pt>
                <c:pt idx="75">
                  <c:v>9</c:v>
                </c:pt>
                <c:pt idx="76">
                  <c:v>9.1999999999999993</c:v>
                </c:pt>
                <c:pt idx="77">
                  <c:v>9.4</c:v>
                </c:pt>
                <c:pt idx="78">
                  <c:v>9.6</c:v>
                </c:pt>
                <c:pt idx="79">
                  <c:v>9.8000000000000007</c:v>
                </c:pt>
                <c:pt idx="80">
                  <c:v>10</c:v>
                </c:pt>
                <c:pt idx="81">
                  <c:v>10.199999999999999</c:v>
                </c:pt>
                <c:pt idx="82">
                  <c:v>10.4</c:v>
                </c:pt>
                <c:pt idx="83">
                  <c:v>10.6</c:v>
                </c:pt>
                <c:pt idx="84">
                  <c:v>10.8</c:v>
                </c:pt>
                <c:pt idx="85">
                  <c:v>11</c:v>
                </c:pt>
                <c:pt idx="86">
                  <c:v>11.2</c:v>
                </c:pt>
                <c:pt idx="87">
                  <c:v>11.4</c:v>
                </c:pt>
                <c:pt idx="88">
                  <c:v>11.6</c:v>
                </c:pt>
                <c:pt idx="89">
                  <c:v>11.8</c:v>
                </c:pt>
                <c:pt idx="90">
                  <c:v>12</c:v>
                </c:pt>
                <c:pt idx="91">
                  <c:v>12.2</c:v>
                </c:pt>
                <c:pt idx="92">
                  <c:v>12.4</c:v>
                </c:pt>
                <c:pt idx="93">
                  <c:v>12.6</c:v>
                </c:pt>
                <c:pt idx="94">
                  <c:v>12.8</c:v>
                </c:pt>
                <c:pt idx="95">
                  <c:v>13</c:v>
                </c:pt>
                <c:pt idx="96">
                  <c:v>13.2</c:v>
                </c:pt>
                <c:pt idx="97">
                  <c:v>13.4</c:v>
                </c:pt>
                <c:pt idx="98">
                  <c:v>13.6</c:v>
                </c:pt>
                <c:pt idx="99">
                  <c:v>13.8</c:v>
                </c:pt>
                <c:pt idx="10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6F-429B-A03E-9970871CA98D}"/>
            </c:ext>
          </c:extLst>
        </c:ser>
        <c:ser>
          <c:idx val="2"/>
          <c:order val="2"/>
          <c:tx>
            <c:strRef>
              <c:f>'z3'!$D$1</c:f>
              <c:strCache>
                <c:ptCount val="1"/>
                <c:pt idx="0">
                  <c:v>z3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'z3'!$A$2:$A$102</c:f>
              <c:numCache>
                <c:formatCode>General</c:formatCode>
                <c:ptCount val="101"/>
                <c:pt idx="0">
                  <c:v>-10</c:v>
                </c:pt>
                <c:pt idx="1">
                  <c:v>-9.8000000000000007</c:v>
                </c:pt>
                <c:pt idx="2">
                  <c:v>-9.6</c:v>
                </c:pt>
                <c:pt idx="3">
                  <c:v>-9.4</c:v>
                </c:pt>
                <c:pt idx="4">
                  <c:v>-9.1999999999999993</c:v>
                </c:pt>
                <c:pt idx="5">
                  <c:v>-9</c:v>
                </c:pt>
                <c:pt idx="6">
                  <c:v>-8.8000000000000007</c:v>
                </c:pt>
                <c:pt idx="7">
                  <c:v>-8.6</c:v>
                </c:pt>
                <c:pt idx="8">
                  <c:v>-8.4</c:v>
                </c:pt>
                <c:pt idx="9">
                  <c:v>-8.1999999999999993</c:v>
                </c:pt>
                <c:pt idx="10">
                  <c:v>-8</c:v>
                </c:pt>
                <c:pt idx="11">
                  <c:v>-7.8</c:v>
                </c:pt>
                <c:pt idx="12">
                  <c:v>-7.6</c:v>
                </c:pt>
                <c:pt idx="13">
                  <c:v>-7.4</c:v>
                </c:pt>
                <c:pt idx="14">
                  <c:v>-7.2</c:v>
                </c:pt>
                <c:pt idx="15">
                  <c:v>-7</c:v>
                </c:pt>
                <c:pt idx="16">
                  <c:v>-6.8</c:v>
                </c:pt>
                <c:pt idx="17">
                  <c:v>-6.6</c:v>
                </c:pt>
                <c:pt idx="18">
                  <c:v>-6.4</c:v>
                </c:pt>
                <c:pt idx="19">
                  <c:v>-6.2</c:v>
                </c:pt>
                <c:pt idx="20">
                  <c:v>-6</c:v>
                </c:pt>
                <c:pt idx="21">
                  <c:v>-5.8</c:v>
                </c:pt>
                <c:pt idx="22">
                  <c:v>-5.6</c:v>
                </c:pt>
                <c:pt idx="23">
                  <c:v>-5.4</c:v>
                </c:pt>
                <c:pt idx="24">
                  <c:v>-5.2</c:v>
                </c:pt>
                <c:pt idx="25">
                  <c:v>-5</c:v>
                </c:pt>
                <c:pt idx="26">
                  <c:v>-4.8</c:v>
                </c:pt>
                <c:pt idx="27">
                  <c:v>-4.5999999999999996</c:v>
                </c:pt>
                <c:pt idx="28">
                  <c:v>-4.4000000000000004</c:v>
                </c:pt>
                <c:pt idx="29">
                  <c:v>-4.2</c:v>
                </c:pt>
                <c:pt idx="30">
                  <c:v>-4</c:v>
                </c:pt>
                <c:pt idx="31">
                  <c:v>-3.8</c:v>
                </c:pt>
                <c:pt idx="32">
                  <c:v>-3.6</c:v>
                </c:pt>
                <c:pt idx="33">
                  <c:v>-3.4</c:v>
                </c:pt>
                <c:pt idx="34">
                  <c:v>-3.2</c:v>
                </c:pt>
                <c:pt idx="35">
                  <c:v>-3</c:v>
                </c:pt>
                <c:pt idx="36">
                  <c:v>-2.8</c:v>
                </c:pt>
                <c:pt idx="37">
                  <c:v>-2.6</c:v>
                </c:pt>
                <c:pt idx="38">
                  <c:v>-2.4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-1.8</c:v>
                </c:pt>
                <c:pt idx="42">
                  <c:v>-1.6</c:v>
                </c:pt>
                <c:pt idx="43">
                  <c:v>-1.4</c:v>
                </c:pt>
                <c:pt idx="44">
                  <c:v>-1.2</c:v>
                </c:pt>
                <c:pt idx="45">
                  <c:v>-1</c:v>
                </c:pt>
                <c:pt idx="46">
                  <c:v>-0.8</c:v>
                </c:pt>
                <c:pt idx="47">
                  <c:v>-0.6</c:v>
                </c:pt>
                <c:pt idx="48">
                  <c:v>-0.4</c:v>
                </c:pt>
                <c:pt idx="49">
                  <c:v>-0.2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5.6</c:v>
                </c:pt>
                <c:pt idx="79">
                  <c:v>5.8</c:v>
                </c:pt>
                <c:pt idx="80">
                  <c:v>6</c:v>
                </c:pt>
                <c:pt idx="81">
                  <c:v>6.2</c:v>
                </c:pt>
                <c:pt idx="82">
                  <c:v>6.4</c:v>
                </c:pt>
                <c:pt idx="83">
                  <c:v>6.6</c:v>
                </c:pt>
                <c:pt idx="84">
                  <c:v>6.8</c:v>
                </c:pt>
                <c:pt idx="85">
                  <c:v>7</c:v>
                </c:pt>
                <c:pt idx="86">
                  <c:v>7.2</c:v>
                </c:pt>
                <c:pt idx="87">
                  <c:v>7.4</c:v>
                </c:pt>
                <c:pt idx="88">
                  <c:v>7.6</c:v>
                </c:pt>
                <c:pt idx="89">
                  <c:v>7.8</c:v>
                </c:pt>
                <c:pt idx="90">
                  <c:v>8</c:v>
                </c:pt>
                <c:pt idx="91">
                  <c:v>8.1999999999999993</c:v>
                </c:pt>
                <c:pt idx="92">
                  <c:v>8.4</c:v>
                </c:pt>
                <c:pt idx="93">
                  <c:v>8.6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9.4</c:v>
                </c:pt>
                <c:pt idx="98">
                  <c:v>9.6</c:v>
                </c:pt>
                <c:pt idx="99">
                  <c:v>9.8000000000000007</c:v>
                </c:pt>
                <c:pt idx="100">
                  <c:v>10</c:v>
                </c:pt>
              </c:numCache>
            </c:numRef>
          </c:cat>
          <c:val>
            <c:numRef>
              <c:f>'z3'!$D$2:$D$102</c:f>
              <c:numCache>
                <c:formatCode>General</c:formatCode>
                <c:ptCount val="101"/>
                <c:pt idx="0">
                  <c:v>-36.952229299363054</c:v>
                </c:pt>
                <c:pt idx="1">
                  <c:v>-34.58944423524818</c:v>
                </c:pt>
                <c:pt idx="2">
                  <c:v>-32.306404508146514</c:v>
                </c:pt>
                <c:pt idx="3">
                  <c:v>-30.103077364186809</c:v>
                </c:pt>
                <c:pt idx="4">
                  <c:v>-27.979424438977116</c:v>
                </c:pt>
                <c:pt idx="5">
                  <c:v>-25.935400516795866</c:v>
                </c:pt>
                <c:pt idx="6">
                  <c:v>-23.970951942552016</c:v>
                </c:pt>
                <c:pt idx="7">
                  <c:v>-22.086014565480323</c:v>
                </c:pt>
                <c:pt idx="8">
                  <c:v>-20.280511041738933</c:v>
                </c:pt>
                <c:pt idx="9">
                  <c:v>-18.554347244428492</c:v>
                </c:pt>
                <c:pt idx="10">
                  <c:v>-16.907407407407405</c:v>
                </c:pt>
                <c:pt idx="11">
                  <c:v>-15.339547434758702</c:v>
                </c:pt>
                <c:pt idx="12">
                  <c:v>-13.850585489204436</c:v>
                </c:pt>
                <c:pt idx="13">
                  <c:v>-12.440288434454395</c:v>
                </c:pt>
                <c:pt idx="14">
                  <c:v>-11.108351764086363</c:v>
                </c:pt>
                <c:pt idx="15">
                  <c:v>-9.8543689320388346</c:v>
                </c:pt>
                <c:pt idx="16">
                  <c:v>-8.677782721542453</c:v>
                </c:pt>
                <c:pt idx="17">
                  <c:v>-7.5778046866240611</c:v>
                </c:pt>
                <c:pt idx="18">
                  <c:v>-6.5532745314222707</c:v>
                </c:pt>
                <c:pt idx="19">
                  <c:v>-5.6023984793502688</c:v>
                </c:pt>
                <c:pt idx="20">
                  <c:v>-4.7222222222222223</c:v>
                </c:pt>
                <c:pt idx="21">
                  <c:v>-3.9074549216671595</c:v>
                </c:pt>
                <c:pt idx="22">
                  <c:v>-3.1474587458745882</c:v>
                </c:pt>
                <c:pt idx="23">
                  <c:v>-2.4168590937306016</c:v>
                </c:pt>
                <c:pt idx="24">
                  <c:v>-1.635278969957082</c:v>
                </c:pt>
                <c:pt idx="25">
                  <c:v>-0.33333333333333326</c:v>
                </c:pt>
                <c:pt idx="26">
                  <c:v>-8.5844444444443919</c:v>
                </c:pt>
                <c:pt idx="27">
                  <c:v>-2.2507363420427575</c:v>
                </c:pt>
                <c:pt idx="28">
                  <c:v>-1.5254970760233917</c:v>
                </c:pt>
                <c:pt idx="29">
                  <c:v>-1.183184421534937</c:v>
                </c:pt>
                <c:pt idx="30">
                  <c:v>-1</c:v>
                </c:pt>
                <c:pt idx="31">
                  <c:v>-0.92393686165273903</c:v>
                </c:pt>
                <c:pt idx="32">
                  <c:v>-0.93598566308243736</c:v>
                </c:pt>
                <c:pt idx="33">
                  <c:v>-1.0278476527900797</c:v>
                </c:pt>
                <c:pt idx="34">
                  <c:v>-1.1967375886524825</c:v>
                </c:pt>
                <c:pt idx="35">
                  <c:v>-1.4444444444444444</c:v>
                </c:pt>
                <c:pt idx="36">
                  <c:v>-1.7774558303886925</c:v>
                </c:pt>
                <c:pt idx="37">
                  <c:v>-2.206339362618432</c:v>
                </c:pt>
                <c:pt idx="38">
                  <c:v>-2.7430065359477132</c:v>
                </c:pt>
                <c:pt idx="39">
                  <c:v>-3.3960390097524384</c:v>
                </c:pt>
                <c:pt idx="40">
                  <c:v>-4.1666666666666661</c:v>
                </c:pt>
                <c:pt idx="41">
                  <c:v>-5.0484052964881991</c:v>
                </c:pt>
                <c:pt idx="42">
                  <c:v>-6.030428015564202</c:v>
                </c:pt>
                <c:pt idx="43">
                  <c:v>-7.101838801134063</c:v>
                </c:pt>
                <c:pt idx="44">
                  <c:v>-8.2543239625167324</c:v>
                </c:pt>
                <c:pt idx="45">
                  <c:v>-9.4827586206896548</c:v>
                </c:pt>
                <c:pt idx="46">
                  <c:v>-10.784626593806923</c:v>
                </c:pt>
                <c:pt idx="47">
                  <c:v>-12.159132239200149</c:v>
                </c:pt>
                <c:pt idx="48">
                  <c:v>-13.606448774355751</c:v>
                </c:pt>
                <c:pt idx="49">
                  <c:v>-15.12721190570262</c:v>
                </c:pt>
                <c:pt idx="50">
                  <c:v>-16.722222222222221</c:v>
                </c:pt>
                <c:pt idx="51">
                  <c:v>-18.392288383504766</c:v>
                </c:pt>
                <c:pt idx="52">
                  <c:v>-20.138154243304296</c:v>
                </c:pt>
                <c:pt idx="53">
                  <c:v>-21.960471927267676</c:v>
                </c:pt>
                <c:pt idx="54">
                  <c:v>-23.859798173954829</c:v>
                </c:pt>
                <c:pt idx="55">
                  <c:v>-25.836601307189543</c:v>
                </c:pt>
                <c:pt idx="56">
                  <c:v>-27.891272194764785</c:v>
                </c:pt>
                <c:pt idx="57">
                  <c:v>-30.024135904351681</c:v>
                </c:pt>
                <c:pt idx="58">
                  <c:v>-32.235462567606035</c:v>
                </c:pt>
                <c:pt idx="59">
                  <c:v>-34.525476890026219</c:v>
                </c:pt>
                <c:pt idx="60">
                  <c:v>-36.894366197183096</c:v>
                </c:pt>
                <c:pt idx="61">
                  <c:v>-39.342287111985279</c:v>
                </c:pt>
                <c:pt idx="62">
                  <c:v>-41.869371034982791</c:v>
                </c:pt>
                <c:pt idx="63">
                  <c:v>-44.475728615497758</c:v>
                </c:pt>
                <c:pt idx="64">
                  <c:v>-47.161453389517256</c:v>
                </c:pt>
                <c:pt idx="65">
                  <c:v>-49.926624737945495</c:v>
                </c:pt>
                <c:pt idx="66">
                  <c:v>-52.77131029429723</c:v>
                </c:pt>
                <c:pt idx="67">
                  <c:v>-55.69556790794222</c:v>
                </c:pt>
                <c:pt idx="68">
                  <c:v>-58.699447248992911</c:v>
                </c:pt>
                <c:pt idx="69">
                  <c:v>-61.78299112415656</c:v>
                </c:pt>
                <c:pt idx="70">
                  <c:v>-64.946236559139777</c:v>
                </c:pt>
                <c:pt idx="71">
                  <c:v>-68.189215692103403</c:v>
                </c:pt>
                <c:pt idx="72">
                  <c:v>-71.511956513781612</c:v>
                </c:pt>
                <c:pt idx="73">
                  <c:v>-74.914483482796868</c:v>
                </c:pt>
                <c:pt idx="74">
                  <c:v>-78.396818039067909</c:v>
                </c:pt>
                <c:pt idx="75">
                  <c:v>-81.958979033728355</c:v>
                </c:pt>
                <c:pt idx="76">
                  <c:v>-85.600983090410651</c:v>
                </c:pt>
                <c:pt idx="77">
                  <c:v>-89.322844909910785</c:v>
                </c:pt>
                <c:pt idx="78">
                  <c:v>-93.124577527983746</c:v>
                </c:pt>
                <c:pt idx="79">
                  <c:v>-97.006192534207656</c:v>
                </c:pt>
                <c:pt idx="80">
                  <c:v>-100.96770025839793</c:v>
                </c:pt>
                <c:pt idx="81">
                  <c:v>-105.0091099298856</c:v>
                </c:pt>
                <c:pt idx="82">
                  <c:v>-109.13042981402629</c:v>
                </c:pt>
                <c:pt idx="83">
                  <c:v>-113.33166732954425</c:v>
                </c:pt>
                <c:pt idx="84">
                  <c:v>-117.61282914969328</c:v>
                </c:pt>
                <c:pt idx="85">
                  <c:v>-121.97392128971076</c:v>
                </c:pt>
                <c:pt idx="86">
                  <c:v>-126.41494918262759</c:v>
                </c:pt>
                <c:pt idx="87">
                  <c:v>-130.93591774515735</c:v>
                </c:pt>
                <c:pt idx="88">
                  <c:v>-135.53683143510884</c:v>
                </c:pt>
                <c:pt idx="89">
                  <c:v>-140.21769430153677</c:v>
                </c:pt>
                <c:pt idx="90">
                  <c:v>-144.97851002865329</c:v>
                </c:pt>
                <c:pt idx="91">
                  <c:v>-149.81928197436667</c:v>
                </c:pt>
                <c:pt idx="92">
                  <c:v>-154.74001320417997</c:v>
                </c:pt>
                <c:pt idx="93">
                  <c:v>-159.74070652107338</c:v>
                </c:pt>
                <c:pt idx="94">
                  <c:v>-164.8213644919029</c:v>
                </c:pt>
                <c:pt idx="95">
                  <c:v>-169.98198947076753</c:v>
                </c:pt>
                <c:pt idx="96">
                  <c:v>-175.22258361973601</c:v>
                </c:pt>
                <c:pt idx="97">
                  <c:v>-180.54314892726575</c:v>
                </c:pt>
                <c:pt idx="98">
                  <c:v>-185.94368722460194</c:v>
                </c:pt>
                <c:pt idx="99">
                  <c:v>-191.42420020040561</c:v>
                </c:pt>
                <c:pt idx="100">
                  <c:v>-196.98468941382328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6F-429B-A03E-9970871CA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207344"/>
        <c:axId val="624212744"/>
      </c:lineChart>
      <c:catAx>
        <c:axId val="62420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4212744"/>
        <c:crosses val="autoZero"/>
        <c:auto val="1"/>
        <c:lblAlgn val="ctr"/>
        <c:lblOffset val="100"/>
        <c:noMultiLvlLbl val="0"/>
      </c:catAx>
      <c:valAx>
        <c:axId val="62421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420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'z4'!$B$1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'z4'!$A$2:$A$102</c:f>
              <c:numCache>
                <c:formatCode>General</c:formatCode>
                <c:ptCount val="101"/>
                <c:pt idx="0">
                  <c:v>-10</c:v>
                </c:pt>
                <c:pt idx="1">
                  <c:v>-9.8000000000000007</c:v>
                </c:pt>
                <c:pt idx="2">
                  <c:v>-9.6</c:v>
                </c:pt>
                <c:pt idx="3">
                  <c:v>-9.4</c:v>
                </c:pt>
                <c:pt idx="4">
                  <c:v>-9.1999999999999993</c:v>
                </c:pt>
                <c:pt idx="5">
                  <c:v>-9</c:v>
                </c:pt>
                <c:pt idx="6">
                  <c:v>-8.8000000000000007</c:v>
                </c:pt>
                <c:pt idx="7">
                  <c:v>-8.6</c:v>
                </c:pt>
                <c:pt idx="8">
                  <c:v>-8.4</c:v>
                </c:pt>
                <c:pt idx="9">
                  <c:v>-8.1999999999999993</c:v>
                </c:pt>
                <c:pt idx="10">
                  <c:v>-8</c:v>
                </c:pt>
                <c:pt idx="11">
                  <c:v>-7.8</c:v>
                </c:pt>
                <c:pt idx="12">
                  <c:v>-7.6</c:v>
                </c:pt>
                <c:pt idx="13">
                  <c:v>-7.4</c:v>
                </c:pt>
                <c:pt idx="14">
                  <c:v>-7.2</c:v>
                </c:pt>
                <c:pt idx="15">
                  <c:v>-7</c:v>
                </c:pt>
                <c:pt idx="16">
                  <c:v>-6.8</c:v>
                </c:pt>
                <c:pt idx="17">
                  <c:v>-6.6</c:v>
                </c:pt>
                <c:pt idx="18">
                  <c:v>-6.4</c:v>
                </c:pt>
                <c:pt idx="19">
                  <c:v>-6.2</c:v>
                </c:pt>
                <c:pt idx="20">
                  <c:v>-6</c:v>
                </c:pt>
                <c:pt idx="21">
                  <c:v>-5.8</c:v>
                </c:pt>
                <c:pt idx="22">
                  <c:v>-5.6</c:v>
                </c:pt>
                <c:pt idx="23">
                  <c:v>-5.4</c:v>
                </c:pt>
                <c:pt idx="24">
                  <c:v>-5.2</c:v>
                </c:pt>
                <c:pt idx="25">
                  <c:v>-5</c:v>
                </c:pt>
                <c:pt idx="26">
                  <c:v>-4.8</c:v>
                </c:pt>
                <c:pt idx="27">
                  <c:v>-4.5999999999999996</c:v>
                </c:pt>
                <c:pt idx="28">
                  <c:v>-4.4000000000000004</c:v>
                </c:pt>
                <c:pt idx="29">
                  <c:v>-4.2</c:v>
                </c:pt>
                <c:pt idx="30">
                  <c:v>-4</c:v>
                </c:pt>
                <c:pt idx="31">
                  <c:v>-3.8</c:v>
                </c:pt>
                <c:pt idx="32">
                  <c:v>-3.6</c:v>
                </c:pt>
                <c:pt idx="33">
                  <c:v>-3.4</c:v>
                </c:pt>
                <c:pt idx="34">
                  <c:v>-3.2</c:v>
                </c:pt>
                <c:pt idx="35">
                  <c:v>-3</c:v>
                </c:pt>
                <c:pt idx="36">
                  <c:v>-2.8</c:v>
                </c:pt>
                <c:pt idx="37">
                  <c:v>-2.6</c:v>
                </c:pt>
                <c:pt idx="38">
                  <c:v>-2.4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-1.8</c:v>
                </c:pt>
                <c:pt idx="42">
                  <c:v>-1.6</c:v>
                </c:pt>
                <c:pt idx="43">
                  <c:v>-1.4</c:v>
                </c:pt>
                <c:pt idx="44">
                  <c:v>-1.2</c:v>
                </c:pt>
                <c:pt idx="45">
                  <c:v>-1</c:v>
                </c:pt>
                <c:pt idx="46">
                  <c:v>-0.8</c:v>
                </c:pt>
                <c:pt idx="47">
                  <c:v>-0.6</c:v>
                </c:pt>
                <c:pt idx="48">
                  <c:v>-0.4</c:v>
                </c:pt>
                <c:pt idx="49">
                  <c:v>-0.2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5.6</c:v>
                </c:pt>
                <c:pt idx="79">
                  <c:v>5.8</c:v>
                </c:pt>
                <c:pt idx="80">
                  <c:v>6</c:v>
                </c:pt>
                <c:pt idx="81">
                  <c:v>6.2</c:v>
                </c:pt>
                <c:pt idx="82">
                  <c:v>6.4</c:v>
                </c:pt>
                <c:pt idx="83">
                  <c:v>6.6</c:v>
                </c:pt>
                <c:pt idx="84">
                  <c:v>6.8</c:v>
                </c:pt>
                <c:pt idx="85">
                  <c:v>7</c:v>
                </c:pt>
                <c:pt idx="86">
                  <c:v>7.2</c:v>
                </c:pt>
                <c:pt idx="87">
                  <c:v>7.4</c:v>
                </c:pt>
                <c:pt idx="88">
                  <c:v>7.6</c:v>
                </c:pt>
                <c:pt idx="89">
                  <c:v>7.8</c:v>
                </c:pt>
                <c:pt idx="90">
                  <c:v>8</c:v>
                </c:pt>
                <c:pt idx="91">
                  <c:v>8.1999999999999993</c:v>
                </c:pt>
                <c:pt idx="92">
                  <c:v>8.4</c:v>
                </c:pt>
                <c:pt idx="93">
                  <c:v>8.6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9.4</c:v>
                </c:pt>
                <c:pt idx="98">
                  <c:v>9.6</c:v>
                </c:pt>
                <c:pt idx="99">
                  <c:v>9.8000000000000007</c:v>
                </c:pt>
                <c:pt idx="100">
                  <c:v>10</c:v>
                </c:pt>
              </c:numCache>
            </c:numRef>
          </c:cat>
          <c:val>
            <c:numRef>
              <c:f>'z4'!$B$2:$B$102</c:f>
              <c:numCache>
                <c:formatCode>General</c:formatCode>
                <c:ptCount val="101"/>
                <c:pt idx="0">
                  <c:v>-8</c:v>
                </c:pt>
                <c:pt idx="1">
                  <c:v>-7.8</c:v>
                </c:pt>
                <c:pt idx="2">
                  <c:v>-7.6</c:v>
                </c:pt>
                <c:pt idx="3">
                  <c:v>-7.4</c:v>
                </c:pt>
                <c:pt idx="4">
                  <c:v>-7.2</c:v>
                </c:pt>
                <c:pt idx="5">
                  <c:v>-7</c:v>
                </c:pt>
                <c:pt idx="6">
                  <c:v>-6.8</c:v>
                </c:pt>
                <c:pt idx="7">
                  <c:v>-6.6</c:v>
                </c:pt>
                <c:pt idx="8">
                  <c:v>-6.4</c:v>
                </c:pt>
                <c:pt idx="9">
                  <c:v>-6.2</c:v>
                </c:pt>
                <c:pt idx="10">
                  <c:v>-6</c:v>
                </c:pt>
                <c:pt idx="11">
                  <c:v>-5.8</c:v>
                </c:pt>
                <c:pt idx="12">
                  <c:v>-5.6</c:v>
                </c:pt>
                <c:pt idx="13">
                  <c:v>-5.4</c:v>
                </c:pt>
                <c:pt idx="14">
                  <c:v>-5.2</c:v>
                </c:pt>
                <c:pt idx="15">
                  <c:v>-5</c:v>
                </c:pt>
                <c:pt idx="16">
                  <c:v>-4.8</c:v>
                </c:pt>
                <c:pt idx="17">
                  <c:v>-4.5999999999999996</c:v>
                </c:pt>
                <c:pt idx="18">
                  <c:v>-4.4000000000000004</c:v>
                </c:pt>
                <c:pt idx="19">
                  <c:v>-4.2</c:v>
                </c:pt>
                <c:pt idx="20">
                  <c:v>-4</c:v>
                </c:pt>
                <c:pt idx="21">
                  <c:v>-3.8</c:v>
                </c:pt>
                <c:pt idx="22">
                  <c:v>-3.6</c:v>
                </c:pt>
                <c:pt idx="23">
                  <c:v>-3.4</c:v>
                </c:pt>
                <c:pt idx="24">
                  <c:v>-3.2</c:v>
                </c:pt>
                <c:pt idx="25">
                  <c:v>-3</c:v>
                </c:pt>
                <c:pt idx="26">
                  <c:v>-2.8</c:v>
                </c:pt>
                <c:pt idx="27">
                  <c:v>-2.6</c:v>
                </c:pt>
                <c:pt idx="28">
                  <c:v>-2.4</c:v>
                </c:pt>
                <c:pt idx="29">
                  <c:v>-2.2000000000000002</c:v>
                </c:pt>
                <c:pt idx="30">
                  <c:v>-2</c:v>
                </c:pt>
                <c:pt idx="31">
                  <c:v>-1.8</c:v>
                </c:pt>
                <c:pt idx="32">
                  <c:v>-1.6</c:v>
                </c:pt>
                <c:pt idx="33">
                  <c:v>-1.4</c:v>
                </c:pt>
                <c:pt idx="34">
                  <c:v>-1.2</c:v>
                </c:pt>
                <c:pt idx="35">
                  <c:v>-1</c:v>
                </c:pt>
                <c:pt idx="36">
                  <c:v>-0.8</c:v>
                </c:pt>
                <c:pt idx="37">
                  <c:v>-0.6</c:v>
                </c:pt>
                <c:pt idx="38">
                  <c:v>-0.4</c:v>
                </c:pt>
                <c:pt idx="39">
                  <c:v>-0.2</c:v>
                </c:pt>
                <c:pt idx="40">
                  <c:v>0</c:v>
                </c:pt>
                <c:pt idx="41">
                  <c:v>0.2</c:v>
                </c:pt>
                <c:pt idx="42">
                  <c:v>0.4</c:v>
                </c:pt>
                <c:pt idx="43">
                  <c:v>0.6</c:v>
                </c:pt>
                <c:pt idx="44">
                  <c:v>0.8</c:v>
                </c:pt>
                <c:pt idx="45">
                  <c:v>1</c:v>
                </c:pt>
                <c:pt idx="46">
                  <c:v>1.2</c:v>
                </c:pt>
                <c:pt idx="47">
                  <c:v>1.4</c:v>
                </c:pt>
                <c:pt idx="48">
                  <c:v>1.6</c:v>
                </c:pt>
                <c:pt idx="49">
                  <c:v>1.8</c:v>
                </c:pt>
                <c:pt idx="50">
                  <c:v>2</c:v>
                </c:pt>
                <c:pt idx="51">
                  <c:v>2.2000000000000002</c:v>
                </c:pt>
                <c:pt idx="52">
                  <c:v>2.4</c:v>
                </c:pt>
                <c:pt idx="53">
                  <c:v>2.6</c:v>
                </c:pt>
                <c:pt idx="54">
                  <c:v>2.8</c:v>
                </c:pt>
                <c:pt idx="55">
                  <c:v>3</c:v>
                </c:pt>
                <c:pt idx="56">
                  <c:v>3.2</c:v>
                </c:pt>
                <c:pt idx="57">
                  <c:v>3.4</c:v>
                </c:pt>
                <c:pt idx="58">
                  <c:v>3.6</c:v>
                </c:pt>
                <c:pt idx="59">
                  <c:v>3.8</c:v>
                </c:pt>
                <c:pt idx="60">
                  <c:v>4</c:v>
                </c:pt>
                <c:pt idx="61">
                  <c:v>4.2</c:v>
                </c:pt>
                <c:pt idx="62">
                  <c:v>4.4000000000000004</c:v>
                </c:pt>
                <c:pt idx="63">
                  <c:v>4.5999999999999996</c:v>
                </c:pt>
                <c:pt idx="64">
                  <c:v>4.8</c:v>
                </c:pt>
                <c:pt idx="65">
                  <c:v>5</c:v>
                </c:pt>
                <c:pt idx="66">
                  <c:v>5.2</c:v>
                </c:pt>
                <c:pt idx="67">
                  <c:v>5.4</c:v>
                </c:pt>
                <c:pt idx="68">
                  <c:v>5.6</c:v>
                </c:pt>
                <c:pt idx="69">
                  <c:v>5.8</c:v>
                </c:pt>
                <c:pt idx="70">
                  <c:v>6</c:v>
                </c:pt>
                <c:pt idx="71">
                  <c:v>6.2</c:v>
                </c:pt>
                <c:pt idx="72">
                  <c:v>6.4</c:v>
                </c:pt>
                <c:pt idx="73">
                  <c:v>6.6</c:v>
                </c:pt>
                <c:pt idx="74">
                  <c:v>6.8</c:v>
                </c:pt>
                <c:pt idx="75">
                  <c:v>7</c:v>
                </c:pt>
                <c:pt idx="76">
                  <c:v>7.2</c:v>
                </c:pt>
                <c:pt idx="77">
                  <c:v>7.4</c:v>
                </c:pt>
                <c:pt idx="78">
                  <c:v>7.6</c:v>
                </c:pt>
                <c:pt idx="79">
                  <c:v>7.8</c:v>
                </c:pt>
                <c:pt idx="80">
                  <c:v>8</c:v>
                </c:pt>
                <c:pt idx="81">
                  <c:v>8.1999999999999993</c:v>
                </c:pt>
                <c:pt idx="82">
                  <c:v>8.4</c:v>
                </c:pt>
                <c:pt idx="83">
                  <c:v>8.6</c:v>
                </c:pt>
                <c:pt idx="84">
                  <c:v>8.8000000000000007</c:v>
                </c:pt>
                <c:pt idx="85">
                  <c:v>9</c:v>
                </c:pt>
                <c:pt idx="86">
                  <c:v>9.1999999999999993</c:v>
                </c:pt>
                <c:pt idx="87">
                  <c:v>9.4</c:v>
                </c:pt>
                <c:pt idx="88">
                  <c:v>9.6</c:v>
                </c:pt>
                <c:pt idx="89">
                  <c:v>9.8000000000000007</c:v>
                </c:pt>
                <c:pt idx="90">
                  <c:v>10</c:v>
                </c:pt>
                <c:pt idx="91">
                  <c:v>10.199999999999999</c:v>
                </c:pt>
                <c:pt idx="92">
                  <c:v>10.4</c:v>
                </c:pt>
                <c:pt idx="93">
                  <c:v>10.6</c:v>
                </c:pt>
                <c:pt idx="94">
                  <c:v>10.8</c:v>
                </c:pt>
                <c:pt idx="95">
                  <c:v>11</c:v>
                </c:pt>
                <c:pt idx="96">
                  <c:v>11.2</c:v>
                </c:pt>
                <c:pt idx="97">
                  <c:v>11.4</c:v>
                </c:pt>
                <c:pt idx="98">
                  <c:v>11.6</c:v>
                </c:pt>
                <c:pt idx="99">
                  <c:v>11.8</c:v>
                </c:pt>
                <c:pt idx="10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E-4FBF-A672-03D1AB303A46}"/>
            </c:ext>
          </c:extLst>
        </c:ser>
        <c:ser>
          <c:idx val="1"/>
          <c:order val="1"/>
          <c:tx>
            <c:strRef>
              <c:f>'z4'!$C$1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'z4'!$A$2:$A$102</c:f>
              <c:numCache>
                <c:formatCode>General</c:formatCode>
                <c:ptCount val="101"/>
                <c:pt idx="0">
                  <c:v>-10</c:v>
                </c:pt>
                <c:pt idx="1">
                  <c:v>-9.8000000000000007</c:v>
                </c:pt>
                <c:pt idx="2">
                  <c:v>-9.6</c:v>
                </c:pt>
                <c:pt idx="3">
                  <c:v>-9.4</c:v>
                </c:pt>
                <c:pt idx="4">
                  <c:v>-9.1999999999999993</c:v>
                </c:pt>
                <c:pt idx="5">
                  <c:v>-9</c:v>
                </c:pt>
                <c:pt idx="6">
                  <c:v>-8.8000000000000007</c:v>
                </c:pt>
                <c:pt idx="7">
                  <c:v>-8.6</c:v>
                </c:pt>
                <c:pt idx="8">
                  <c:v>-8.4</c:v>
                </c:pt>
                <c:pt idx="9">
                  <c:v>-8.1999999999999993</c:v>
                </c:pt>
                <c:pt idx="10">
                  <c:v>-8</c:v>
                </c:pt>
                <c:pt idx="11">
                  <c:v>-7.8</c:v>
                </c:pt>
                <c:pt idx="12">
                  <c:v>-7.6</c:v>
                </c:pt>
                <c:pt idx="13">
                  <c:v>-7.4</c:v>
                </c:pt>
                <c:pt idx="14">
                  <c:v>-7.2</c:v>
                </c:pt>
                <c:pt idx="15">
                  <c:v>-7</c:v>
                </c:pt>
                <c:pt idx="16">
                  <c:v>-6.8</c:v>
                </c:pt>
                <c:pt idx="17">
                  <c:v>-6.6</c:v>
                </c:pt>
                <c:pt idx="18">
                  <c:v>-6.4</c:v>
                </c:pt>
                <c:pt idx="19">
                  <c:v>-6.2</c:v>
                </c:pt>
                <c:pt idx="20">
                  <c:v>-6</c:v>
                </c:pt>
                <c:pt idx="21">
                  <c:v>-5.8</c:v>
                </c:pt>
                <c:pt idx="22">
                  <c:v>-5.6</c:v>
                </c:pt>
                <c:pt idx="23">
                  <c:v>-5.4</c:v>
                </c:pt>
                <c:pt idx="24">
                  <c:v>-5.2</c:v>
                </c:pt>
                <c:pt idx="25">
                  <c:v>-5</c:v>
                </c:pt>
                <c:pt idx="26">
                  <c:v>-4.8</c:v>
                </c:pt>
                <c:pt idx="27">
                  <c:v>-4.5999999999999996</c:v>
                </c:pt>
                <c:pt idx="28">
                  <c:v>-4.4000000000000004</c:v>
                </c:pt>
                <c:pt idx="29">
                  <c:v>-4.2</c:v>
                </c:pt>
                <c:pt idx="30">
                  <c:v>-4</c:v>
                </c:pt>
                <c:pt idx="31">
                  <c:v>-3.8</c:v>
                </c:pt>
                <c:pt idx="32">
                  <c:v>-3.6</c:v>
                </c:pt>
                <c:pt idx="33">
                  <c:v>-3.4</c:v>
                </c:pt>
                <c:pt idx="34">
                  <c:v>-3.2</c:v>
                </c:pt>
                <c:pt idx="35">
                  <c:v>-3</c:v>
                </c:pt>
                <c:pt idx="36">
                  <c:v>-2.8</c:v>
                </c:pt>
                <c:pt idx="37">
                  <c:v>-2.6</c:v>
                </c:pt>
                <c:pt idx="38">
                  <c:v>-2.4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-1.8</c:v>
                </c:pt>
                <c:pt idx="42">
                  <c:v>-1.6</c:v>
                </c:pt>
                <c:pt idx="43">
                  <c:v>-1.4</c:v>
                </c:pt>
                <c:pt idx="44">
                  <c:v>-1.2</c:v>
                </c:pt>
                <c:pt idx="45">
                  <c:v>-1</c:v>
                </c:pt>
                <c:pt idx="46">
                  <c:v>-0.8</c:v>
                </c:pt>
                <c:pt idx="47">
                  <c:v>-0.6</c:v>
                </c:pt>
                <c:pt idx="48">
                  <c:v>-0.4</c:v>
                </c:pt>
                <c:pt idx="49">
                  <c:v>-0.2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5.6</c:v>
                </c:pt>
                <c:pt idx="79">
                  <c:v>5.8</c:v>
                </c:pt>
                <c:pt idx="80">
                  <c:v>6</c:v>
                </c:pt>
                <c:pt idx="81">
                  <c:v>6.2</c:v>
                </c:pt>
                <c:pt idx="82">
                  <c:v>6.4</c:v>
                </c:pt>
                <c:pt idx="83">
                  <c:v>6.6</c:v>
                </c:pt>
                <c:pt idx="84">
                  <c:v>6.8</c:v>
                </c:pt>
                <c:pt idx="85">
                  <c:v>7</c:v>
                </c:pt>
                <c:pt idx="86">
                  <c:v>7.2</c:v>
                </c:pt>
                <c:pt idx="87">
                  <c:v>7.4</c:v>
                </c:pt>
                <c:pt idx="88">
                  <c:v>7.6</c:v>
                </c:pt>
                <c:pt idx="89">
                  <c:v>7.8</c:v>
                </c:pt>
                <c:pt idx="90">
                  <c:v>8</c:v>
                </c:pt>
                <c:pt idx="91">
                  <c:v>8.1999999999999993</c:v>
                </c:pt>
                <c:pt idx="92">
                  <c:v>8.4</c:v>
                </c:pt>
                <c:pt idx="93">
                  <c:v>8.6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9.4</c:v>
                </c:pt>
                <c:pt idx="98">
                  <c:v>9.6</c:v>
                </c:pt>
                <c:pt idx="99">
                  <c:v>9.8000000000000007</c:v>
                </c:pt>
                <c:pt idx="100">
                  <c:v>10</c:v>
                </c:pt>
              </c:numCache>
            </c:numRef>
          </c:cat>
          <c:val>
            <c:numRef>
              <c:f>'z4'!$C$2:$C$102</c:f>
              <c:numCache>
                <c:formatCode>General</c:formatCode>
                <c:ptCount val="101"/>
                <c:pt idx="0">
                  <c:v>-6</c:v>
                </c:pt>
                <c:pt idx="1">
                  <c:v>-5.8</c:v>
                </c:pt>
                <c:pt idx="2">
                  <c:v>-5.6</c:v>
                </c:pt>
                <c:pt idx="3">
                  <c:v>-5.4</c:v>
                </c:pt>
                <c:pt idx="4">
                  <c:v>-5.2</c:v>
                </c:pt>
                <c:pt idx="5">
                  <c:v>-5</c:v>
                </c:pt>
                <c:pt idx="6">
                  <c:v>-4.8</c:v>
                </c:pt>
                <c:pt idx="7">
                  <c:v>-4.5999999999999996</c:v>
                </c:pt>
                <c:pt idx="8">
                  <c:v>-4.4000000000000004</c:v>
                </c:pt>
                <c:pt idx="9">
                  <c:v>-4.2</c:v>
                </c:pt>
                <c:pt idx="10">
                  <c:v>-4</c:v>
                </c:pt>
                <c:pt idx="11">
                  <c:v>-3.8</c:v>
                </c:pt>
                <c:pt idx="12">
                  <c:v>-3.6</c:v>
                </c:pt>
                <c:pt idx="13">
                  <c:v>-3.4</c:v>
                </c:pt>
                <c:pt idx="14">
                  <c:v>-3.2</c:v>
                </c:pt>
                <c:pt idx="15">
                  <c:v>-3</c:v>
                </c:pt>
                <c:pt idx="16">
                  <c:v>-2.8</c:v>
                </c:pt>
                <c:pt idx="17">
                  <c:v>-2.6</c:v>
                </c:pt>
                <c:pt idx="18">
                  <c:v>-2.4</c:v>
                </c:pt>
                <c:pt idx="19">
                  <c:v>-2.2000000000000002</c:v>
                </c:pt>
                <c:pt idx="20">
                  <c:v>-2</c:v>
                </c:pt>
                <c:pt idx="21">
                  <c:v>-1.8</c:v>
                </c:pt>
                <c:pt idx="22">
                  <c:v>-1.6</c:v>
                </c:pt>
                <c:pt idx="23">
                  <c:v>-1.4</c:v>
                </c:pt>
                <c:pt idx="24">
                  <c:v>-1.2</c:v>
                </c:pt>
                <c:pt idx="25">
                  <c:v>-1</c:v>
                </c:pt>
                <c:pt idx="26">
                  <c:v>-0.8</c:v>
                </c:pt>
                <c:pt idx="27">
                  <c:v>-0.6</c:v>
                </c:pt>
                <c:pt idx="28">
                  <c:v>-0.4</c:v>
                </c:pt>
                <c:pt idx="29">
                  <c:v>-0.2</c:v>
                </c:pt>
                <c:pt idx="30">
                  <c:v>0</c:v>
                </c:pt>
                <c:pt idx="31">
                  <c:v>0.2</c:v>
                </c:pt>
                <c:pt idx="32">
                  <c:v>0.4</c:v>
                </c:pt>
                <c:pt idx="33">
                  <c:v>0.6</c:v>
                </c:pt>
                <c:pt idx="34">
                  <c:v>0.8</c:v>
                </c:pt>
                <c:pt idx="35">
                  <c:v>1</c:v>
                </c:pt>
                <c:pt idx="36">
                  <c:v>1.2</c:v>
                </c:pt>
                <c:pt idx="37">
                  <c:v>1.4</c:v>
                </c:pt>
                <c:pt idx="38">
                  <c:v>1.6</c:v>
                </c:pt>
                <c:pt idx="39">
                  <c:v>1.8</c:v>
                </c:pt>
                <c:pt idx="40">
                  <c:v>2</c:v>
                </c:pt>
                <c:pt idx="41">
                  <c:v>2.2000000000000002</c:v>
                </c:pt>
                <c:pt idx="42">
                  <c:v>2.4</c:v>
                </c:pt>
                <c:pt idx="43">
                  <c:v>2.6</c:v>
                </c:pt>
                <c:pt idx="44">
                  <c:v>2.8</c:v>
                </c:pt>
                <c:pt idx="45">
                  <c:v>3</c:v>
                </c:pt>
                <c:pt idx="46">
                  <c:v>3.2</c:v>
                </c:pt>
                <c:pt idx="47">
                  <c:v>3.4</c:v>
                </c:pt>
                <c:pt idx="48">
                  <c:v>3.6</c:v>
                </c:pt>
                <c:pt idx="49">
                  <c:v>3.8</c:v>
                </c:pt>
                <c:pt idx="50">
                  <c:v>4</c:v>
                </c:pt>
                <c:pt idx="51">
                  <c:v>4.2</c:v>
                </c:pt>
                <c:pt idx="52">
                  <c:v>4.4000000000000004</c:v>
                </c:pt>
                <c:pt idx="53">
                  <c:v>4.5999999999999996</c:v>
                </c:pt>
                <c:pt idx="54">
                  <c:v>4.8</c:v>
                </c:pt>
                <c:pt idx="55">
                  <c:v>5</c:v>
                </c:pt>
                <c:pt idx="56">
                  <c:v>5.2</c:v>
                </c:pt>
                <c:pt idx="57">
                  <c:v>5.4</c:v>
                </c:pt>
                <c:pt idx="58">
                  <c:v>5.6</c:v>
                </c:pt>
                <c:pt idx="59">
                  <c:v>5.8</c:v>
                </c:pt>
                <c:pt idx="60">
                  <c:v>6</c:v>
                </c:pt>
                <c:pt idx="61">
                  <c:v>6.2</c:v>
                </c:pt>
                <c:pt idx="62">
                  <c:v>6.4</c:v>
                </c:pt>
                <c:pt idx="63">
                  <c:v>6.6</c:v>
                </c:pt>
                <c:pt idx="64">
                  <c:v>6.8</c:v>
                </c:pt>
                <c:pt idx="65">
                  <c:v>7</c:v>
                </c:pt>
                <c:pt idx="66">
                  <c:v>7.2</c:v>
                </c:pt>
                <c:pt idx="67">
                  <c:v>7.4</c:v>
                </c:pt>
                <c:pt idx="68">
                  <c:v>7.6</c:v>
                </c:pt>
                <c:pt idx="69">
                  <c:v>7.8</c:v>
                </c:pt>
                <c:pt idx="70">
                  <c:v>8</c:v>
                </c:pt>
                <c:pt idx="71">
                  <c:v>8.1999999999999993</c:v>
                </c:pt>
                <c:pt idx="72">
                  <c:v>8.4</c:v>
                </c:pt>
                <c:pt idx="73">
                  <c:v>8.6</c:v>
                </c:pt>
                <c:pt idx="74">
                  <c:v>8.8000000000000007</c:v>
                </c:pt>
                <c:pt idx="75">
                  <c:v>9</c:v>
                </c:pt>
                <c:pt idx="76">
                  <c:v>9.1999999999999993</c:v>
                </c:pt>
                <c:pt idx="77">
                  <c:v>9.4</c:v>
                </c:pt>
                <c:pt idx="78">
                  <c:v>9.6</c:v>
                </c:pt>
                <c:pt idx="79">
                  <c:v>9.8000000000000007</c:v>
                </c:pt>
                <c:pt idx="80">
                  <c:v>10</c:v>
                </c:pt>
                <c:pt idx="81">
                  <c:v>10.199999999999999</c:v>
                </c:pt>
                <c:pt idx="82">
                  <c:v>10.4</c:v>
                </c:pt>
                <c:pt idx="83">
                  <c:v>10.6</c:v>
                </c:pt>
                <c:pt idx="84">
                  <c:v>10.8</c:v>
                </c:pt>
                <c:pt idx="85">
                  <c:v>11</c:v>
                </c:pt>
                <c:pt idx="86">
                  <c:v>11.2</c:v>
                </c:pt>
                <c:pt idx="87">
                  <c:v>11.4</c:v>
                </c:pt>
                <c:pt idx="88">
                  <c:v>11.6</c:v>
                </c:pt>
                <c:pt idx="89">
                  <c:v>11.8</c:v>
                </c:pt>
                <c:pt idx="90">
                  <c:v>12</c:v>
                </c:pt>
                <c:pt idx="91">
                  <c:v>12.2</c:v>
                </c:pt>
                <c:pt idx="92">
                  <c:v>12.4</c:v>
                </c:pt>
                <c:pt idx="93">
                  <c:v>12.6</c:v>
                </c:pt>
                <c:pt idx="94">
                  <c:v>12.8</c:v>
                </c:pt>
                <c:pt idx="95">
                  <c:v>13</c:v>
                </c:pt>
                <c:pt idx="96">
                  <c:v>13.2</c:v>
                </c:pt>
                <c:pt idx="97">
                  <c:v>13.4</c:v>
                </c:pt>
                <c:pt idx="98">
                  <c:v>13.6</c:v>
                </c:pt>
                <c:pt idx="99">
                  <c:v>13.8</c:v>
                </c:pt>
                <c:pt idx="10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4E-4FBF-A672-03D1AB303A46}"/>
            </c:ext>
          </c:extLst>
        </c:ser>
        <c:ser>
          <c:idx val="2"/>
          <c:order val="2"/>
          <c:tx>
            <c:strRef>
              <c:f>'z4'!$D$1</c:f>
              <c:strCache>
                <c:ptCount val="1"/>
                <c:pt idx="0">
                  <c:v>z4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'z4'!$A$2:$A$102</c:f>
              <c:numCache>
                <c:formatCode>General</c:formatCode>
                <c:ptCount val="101"/>
                <c:pt idx="0">
                  <c:v>-10</c:v>
                </c:pt>
                <c:pt idx="1">
                  <c:v>-9.8000000000000007</c:v>
                </c:pt>
                <c:pt idx="2">
                  <c:v>-9.6</c:v>
                </c:pt>
                <c:pt idx="3">
                  <c:v>-9.4</c:v>
                </c:pt>
                <c:pt idx="4">
                  <c:v>-9.1999999999999993</c:v>
                </c:pt>
                <c:pt idx="5">
                  <c:v>-9</c:v>
                </c:pt>
                <c:pt idx="6">
                  <c:v>-8.8000000000000007</c:v>
                </c:pt>
                <c:pt idx="7">
                  <c:v>-8.6</c:v>
                </c:pt>
                <c:pt idx="8">
                  <c:v>-8.4</c:v>
                </c:pt>
                <c:pt idx="9">
                  <c:v>-8.1999999999999993</c:v>
                </c:pt>
                <c:pt idx="10">
                  <c:v>-8</c:v>
                </c:pt>
                <c:pt idx="11">
                  <c:v>-7.8</c:v>
                </c:pt>
                <c:pt idx="12">
                  <c:v>-7.6</c:v>
                </c:pt>
                <c:pt idx="13">
                  <c:v>-7.4</c:v>
                </c:pt>
                <c:pt idx="14">
                  <c:v>-7.2</c:v>
                </c:pt>
                <c:pt idx="15">
                  <c:v>-7</c:v>
                </c:pt>
                <c:pt idx="16">
                  <c:v>-6.8</c:v>
                </c:pt>
                <c:pt idx="17">
                  <c:v>-6.6</c:v>
                </c:pt>
                <c:pt idx="18">
                  <c:v>-6.4</c:v>
                </c:pt>
                <c:pt idx="19">
                  <c:v>-6.2</c:v>
                </c:pt>
                <c:pt idx="20">
                  <c:v>-6</c:v>
                </c:pt>
                <c:pt idx="21">
                  <c:v>-5.8</c:v>
                </c:pt>
                <c:pt idx="22">
                  <c:v>-5.6</c:v>
                </c:pt>
                <c:pt idx="23">
                  <c:v>-5.4</c:v>
                </c:pt>
                <c:pt idx="24">
                  <c:v>-5.2</c:v>
                </c:pt>
                <c:pt idx="25">
                  <c:v>-5</c:v>
                </c:pt>
                <c:pt idx="26">
                  <c:v>-4.8</c:v>
                </c:pt>
                <c:pt idx="27">
                  <c:v>-4.5999999999999996</c:v>
                </c:pt>
                <c:pt idx="28">
                  <c:v>-4.4000000000000004</c:v>
                </c:pt>
                <c:pt idx="29">
                  <c:v>-4.2</c:v>
                </c:pt>
                <c:pt idx="30">
                  <c:v>-4</c:v>
                </c:pt>
                <c:pt idx="31">
                  <c:v>-3.8</c:v>
                </c:pt>
                <c:pt idx="32">
                  <c:v>-3.6</c:v>
                </c:pt>
                <c:pt idx="33">
                  <c:v>-3.4</c:v>
                </c:pt>
                <c:pt idx="34">
                  <c:v>-3.2</c:v>
                </c:pt>
                <c:pt idx="35">
                  <c:v>-3</c:v>
                </c:pt>
                <c:pt idx="36">
                  <c:v>-2.8</c:v>
                </c:pt>
                <c:pt idx="37">
                  <c:v>-2.6</c:v>
                </c:pt>
                <c:pt idx="38">
                  <c:v>-2.4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-1.8</c:v>
                </c:pt>
                <c:pt idx="42">
                  <c:v>-1.6</c:v>
                </c:pt>
                <c:pt idx="43">
                  <c:v>-1.4</c:v>
                </c:pt>
                <c:pt idx="44">
                  <c:v>-1.2</c:v>
                </c:pt>
                <c:pt idx="45">
                  <c:v>-1</c:v>
                </c:pt>
                <c:pt idx="46">
                  <c:v>-0.8</c:v>
                </c:pt>
                <c:pt idx="47">
                  <c:v>-0.6</c:v>
                </c:pt>
                <c:pt idx="48">
                  <c:v>-0.4</c:v>
                </c:pt>
                <c:pt idx="49">
                  <c:v>-0.2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0.6</c:v>
                </c:pt>
                <c:pt idx="54">
                  <c:v>0.8</c:v>
                </c:pt>
                <c:pt idx="55">
                  <c:v>1</c:v>
                </c:pt>
                <c:pt idx="56">
                  <c:v>1.2</c:v>
                </c:pt>
                <c:pt idx="57">
                  <c:v>1.4</c:v>
                </c:pt>
                <c:pt idx="58">
                  <c:v>1.6</c:v>
                </c:pt>
                <c:pt idx="59">
                  <c:v>1.8</c:v>
                </c:pt>
                <c:pt idx="60">
                  <c:v>2</c:v>
                </c:pt>
                <c:pt idx="61">
                  <c:v>2.2000000000000002</c:v>
                </c:pt>
                <c:pt idx="62">
                  <c:v>2.4</c:v>
                </c:pt>
                <c:pt idx="63">
                  <c:v>2.6</c:v>
                </c:pt>
                <c:pt idx="64">
                  <c:v>2.8</c:v>
                </c:pt>
                <c:pt idx="65">
                  <c:v>3</c:v>
                </c:pt>
                <c:pt idx="66">
                  <c:v>3.2</c:v>
                </c:pt>
                <c:pt idx="67">
                  <c:v>3.4</c:v>
                </c:pt>
                <c:pt idx="68">
                  <c:v>3.6</c:v>
                </c:pt>
                <c:pt idx="69">
                  <c:v>3.8</c:v>
                </c:pt>
                <c:pt idx="70">
                  <c:v>4</c:v>
                </c:pt>
                <c:pt idx="71">
                  <c:v>4.2</c:v>
                </c:pt>
                <c:pt idx="72">
                  <c:v>4.4000000000000004</c:v>
                </c:pt>
                <c:pt idx="73">
                  <c:v>4.5999999999999996</c:v>
                </c:pt>
                <c:pt idx="74">
                  <c:v>4.8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5.6</c:v>
                </c:pt>
                <c:pt idx="79">
                  <c:v>5.8</c:v>
                </c:pt>
                <c:pt idx="80">
                  <c:v>6</c:v>
                </c:pt>
                <c:pt idx="81">
                  <c:v>6.2</c:v>
                </c:pt>
                <c:pt idx="82">
                  <c:v>6.4</c:v>
                </c:pt>
                <c:pt idx="83">
                  <c:v>6.6</c:v>
                </c:pt>
                <c:pt idx="84">
                  <c:v>6.8</c:v>
                </c:pt>
                <c:pt idx="85">
                  <c:v>7</c:v>
                </c:pt>
                <c:pt idx="86">
                  <c:v>7.2</c:v>
                </c:pt>
                <c:pt idx="87">
                  <c:v>7.4</c:v>
                </c:pt>
                <c:pt idx="88">
                  <c:v>7.6</c:v>
                </c:pt>
                <c:pt idx="89">
                  <c:v>7.8</c:v>
                </c:pt>
                <c:pt idx="90">
                  <c:v>8</c:v>
                </c:pt>
                <c:pt idx="91">
                  <c:v>8.1999999999999993</c:v>
                </c:pt>
                <c:pt idx="92">
                  <c:v>8.4</c:v>
                </c:pt>
                <c:pt idx="93">
                  <c:v>8.6</c:v>
                </c:pt>
                <c:pt idx="94">
                  <c:v>8.8000000000000007</c:v>
                </c:pt>
                <c:pt idx="95">
                  <c:v>9</c:v>
                </c:pt>
                <c:pt idx="96">
                  <c:v>9.1999999999999993</c:v>
                </c:pt>
                <c:pt idx="97">
                  <c:v>9.4</c:v>
                </c:pt>
                <c:pt idx="98">
                  <c:v>9.6</c:v>
                </c:pt>
                <c:pt idx="99">
                  <c:v>9.8000000000000007</c:v>
                </c:pt>
                <c:pt idx="100">
                  <c:v>10</c:v>
                </c:pt>
              </c:numCache>
            </c:numRef>
          </c:cat>
          <c:val>
            <c:numRef>
              <c:f>'z4'!$D$2:$D$102</c:f>
              <c:numCache>
                <c:formatCode>General</c:formatCode>
                <c:ptCount val="101"/>
                <c:pt idx="0">
                  <c:v>-2016.6011904761901</c:v>
                </c:pt>
                <c:pt idx="1">
                  <c:v>-1814.8032994594842</c:v>
                </c:pt>
                <c:pt idx="2">
                  <c:v>-1628.1772427443482</c:v>
                </c:pt>
                <c:pt idx="3">
                  <c:v>-1455.9592551519468</c:v>
                </c:pt>
                <c:pt idx="4">
                  <c:v>-1297.4047119426655</c:v>
                </c:pt>
                <c:pt idx="5">
                  <c:v>-1151.7881206213829</c:v>
                </c:pt>
                <c:pt idx="6">
                  <c:v>-1018.4031113059464</c:v>
                </c:pt>
                <c:pt idx="7">
                  <c:v>-896.5624253412509</c:v>
                </c:pt>
                <c:pt idx="8">
                  <c:v>-785.59790175333694</c:v>
                </c:pt>
                <c:pt idx="9">
                  <c:v>-684.86046101963234</c:v>
                </c:pt>
                <c:pt idx="10">
                  <c:v>-593.72008547008556</c:v>
                </c:pt>
                <c:pt idx="11">
                  <c:v>-511.56579541004993</c:v>
                </c:pt>
                <c:pt idx="12">
                  <c:v>-437.80561973957964</c:v>
                </c:pt>
                <c:pt idx="13">
                  <c:v>-371.8665593879312</c:v>
                </c:pt>
                <c:pt idx="14">
                  <c:v>-313.19454120993356</c:v>
                </c:pt>
                <c:pt idx="15">
                  <c:v>-261.25435897435898</c:v>
                </c:pt>
                <c:pt idx="16">
                  <c:v>-215.52959649268732</c:v>
                </c:pt>
                <c:pt idx="17">
                  <c:v>-175.52252539498718</c:v>
                </c:pt>
                <c:pt idx="18">
                  <c:v>-140.75396582377374</c:v>
                </c:pt>
                <c:pt idx="19">
                  <c:v>-110.76309095707201</c:v>
                </c:pt>
                <c:pt idx="20">
                  <c:v>-85.107142857142861</c:v>
                </c:pt>
                <c:pt idx="21">
                  <c:v>-63.361001289868696</c:v>
                </c:pt>
                <c:pt idx="22">
                  <c:v>-45.116493974327533</c:v>
                </c:pt>
                <c:pt idx="23">
                  <c:v>-29.981218422488418</c:v>
                </c:pt>
                <c:pt idx="24">
                  <c:v>-17.576356201550393</c:v>
                </c:pt>
                <c:pt idx="25">
                  <c:v>-7.5321637426900594</c:v>
                </c:pt>
                <c:pt idx="26">
                  <c:v>0.52273529301629118</c:v>
                </c:pt>
                <c:pt idx="27">
                  <c:v>6.9922922572703881</c:v>
                </c:pt>
                <c:pt idx="28">
                  <c:v>12.433913064713069</c:v>
                </c:pt>
                <c:pt idx="29">
                  <c:v>18.394746777858231</c:v>
                </c:pt>
                <c:pt idx="30">
                  <c:v>0</c:v>
                </c:pt>
                <c:pt idx="31">
                  <c:v>13.045098410095207</c:v>
                </c:pt>
                <c:pt idx="32">
                  <c:v>17.34560983606557</c:v>
                </c:pt>
                <c:pt idx="33">
                  <c:v>20.104005516727238</c:v>
                </c:pt>
                <c:pt idx="34">
                  <c:v>23.06638820861679</c:v>
                </c:pt>
                <c:pt idx="35">
                  <c:v>27.285714285714285</c:v>
                </c:pt>
                <c:pt idx="36">
                  <c:v>34.466635897435879</c:v>
                </c:pt>
                <c:pt idx="37">
                  <c:v>48.888230033116379</c:v>
                </c:pt>
                <c:pt idx="38">
                  <c:v>86.443748387096747</c:v>
                </c:pt>
                <c:pt idx="39">
                  <c:v>266.31423903903908</c:v>
                </c:pt>
                <c:pt idx="40">
                  <c:v>0</c:v>
                </c:pt>
                <c:pt idx="41">
                  <c:v>146.18909410589407</c:v>
                </c:pt>
                <c:pt idx="42">
                  <c:v>26.051104761904764</c:v>
                </c:pt>
                <c:pt idx="43">
                  <c:v>7.9856169641891146</c:v>
                </c:pt>
                <c:pt idx="44">
                  <c:v>2.7924781954887208</c:v>
                </c:pt>
                <c:pt idx="45">
                  <c:v>0</c:v>
                </c:pt>
                <c:pt idx="46">
                  <c:v>-0.47079707602339155</c:v>
                </c:pt>
                <c:pt idx="47">
                  <c:v>-1.1620806540337654</c:v>
                </c:pt>
                <c:pt idx="48">
                  <c:v>-1.5544349206349208</c:v>
                </c:pt>
                <c:pt idx="49">
                  <c:v>-1.7178843633299772</c:v>
                </c:pt>
                <c:pt idx="50">
                  <c:v>-1.75</c:v>
                </c:pt>
                <c:pt idx="51">
                  <c:v>-1.8026021847112754</c:v>
                </c:pt>
                <c:pt idx="52">
                  <c:v>-2.0774419028999676</c:v>
                </c:pt>
                <c:pt idx="53">
                  <c:v>-2.8131655498035322</c:v>
                </c:pt>
                <c:pt idx="54">
                  <c:v>-4.2735163788592363</c:v>
                </c:pt>
                <c:pt idx="55">
                  <c:v>-6.7396825396825397</c:v>
                </c:pt>
                <c:pt idx="56">
                  <c:v>-10.506469937205651</c:v>
                </c:pt>
                <c:pt idx="57">
                  <c:v>-15.881054057536703</c:v>
                </c:pt>
                <c:pt idx="58">
                  <c:v>-23.183158516205513</c:v>
                </c:pt>
                <c:pt idx="59">
                  <c:v>-32.745874197269821</c:v>
                </c:pt>
                <c:pt idx="60">
                  <c:v>-44.916666666666664</c:v>
                </c:pt>
                <c:pt idx="61">
                  <c:v>-60.058346839286038</c:v>
                </c:pt>
                <c:pt idx="62">
                  <c:v>-78.549912773590052</c:v>
                </c:pt>
                <c:pt idx="63">
                  <c:v>-100.78723972192039</c:v>
                </c:pt>
                <c:pt idx="64">
                  <c:v>-127.18362742699526</c:v>
                </c:pt>
                <c:pt idx="65">
                  <c:v>-158.17022556390978</c:v>
                </c:pt>
                <c:pt idx="66">
                  <c:v>-194.19636041771787</c:v>
                </c:pt>
                <c:pt idx="67">
                  <c:v>-235.72978389013804</c:v>
                </c:pt>
                <c:pt idx="68">
                  <c:v>-283.25686252623041</c:v>
                </c:pt>
                <c:pt idx="69">
                  <c:v>-337.2827207290095</c:v>
                </c:pt>
                <c:pt idx="70">
                  <c:v>-398.33134920634922</c:v>
                </c:pt>
                <c:pt idx="71">
                  <c:v>-466.94568712044753</c:v>
                </c:pt>
                <c:pt idx="72">
                  <c:v>-543.68768437277913</c:v>
                </c:pt>
                <c:pt idx="73">
                  <c:v>-629.13834888293752</c:v>
                </c:pt>
                <c:pt idx="74">
                  <c:v>-723.89778252038843</c:v>
                </c:pt>
                <c:pt idx="75">
                  <c:v>-828.58520844235125</c:v>
                </c:pt>
                <c:pt idx="76">
                  <c:v>-943.83899191033686</c:v>
                </c:pt>
                <c:pt idx="77">
                  <c:v>-1070.3166561474386</c:v>
                </c:pt>
                <c:pt idx="78">
                  <c:v>-1208.6948944160454</c:v>
                </c:pt>
                <c:pt idx="79">
                  <c:v>-1359.6695792088608</c:v>
                </c:pt>
                <c:pt idx="80">
                  <c:v>-1523.9557692307692</c:v>
                </c:pt>
                <c:pt idx="81">
                  <c:v>-1702.2877146870699</c:v>
                </c:pt>
                <c:pt idx="82">
                  <c:v>-1895.4188612713588</c:v>
                </c:pt>
                <c:pt idx="83">
                  <c:v>-2104.1218531538957</c:v>
                </c:pt>
                <c:pt idx="84">
                  <c:v>-2329.1885352011805</c:v>
                </c:pt>
                <c:pt idx="85">
                  <c:v>-2571.4299546040843</c:v>
                </c:pt>
                <c:pt idx="86">
                  <c:v>-2831.6763620512093</c:v>
                </c:pt>
                <c:pt idx="87">
                  <c:v>-3110.777212552965</c:v>
                </c:pt>
                <c:pt idx="88">
                  <c:v>-3409.6011659979599</c:v>
                </c:pt>
                <c:pt idx="89">
                  <c:v>-3729.0360875049128</c:v>
                </c:pt>
                <c:pt idx="90">
                  <c:v>-4069.9890476190471</c:v>
                </c:pt>
                <c:pt idx="91">
                  <c:v>-4433.3863223910457</c:v>
                </c:pt>
                <c:pt idx="92">
                  <c:v>-4820.1733933680098</c:v>
                </c:pt>
                <c:pt idx="93">
                  <c:v>-5231.3149475193413</c:v>
                </c:pt>
                <c:pt idx="94">
                  <c:v>-5667.7948771153433</c:v>
                </c:pt>
                <c:pt idx="95">
                  <c:v>-6130.6162795721484</c:v>
                </c:pt>
                <c:pt idx="96">
                  <c:v>-6620.8014572737502</c:v>
                </c:pt>
                <c:pt idx="97">
                  <c:v>-7139.3919173791546</c:v>
                </c:pt>
                <c:pt idx="98">
                  <c:v>-7687.4483716209434</c:v>
                </c:pt>
                <c:pt idx="99">
                  <c:v>-8266.0507361000818</c:v>
                </c:pt>
                <c:pt idx="100">
                  <c:v>-8876.2981310803898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4E-4FBF-A672-03D1AB303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215504"/>
        <c:axId val="716215864"/>
      </c:lineChart>
      <c:catAx>
        <c:axId val="71621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6215864"/>
        <c:crosses val="autoZero"/>
        <c:auto val="1"/>
        <c:lblAlgn val="ctr"/>
        <c:lblOffset val="100"/>
        <c:noMultiLvlLbl val="0"/>
      </c:catAx>
      <c:valAx>
        <c:axId val="716215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621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'Задание 6'!$A$2</c:f>
              <c:strCache>
                <c:ptCount val="1"/>
                <c:pt idx="0">
                  <c:v>Кыргызская Республика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'Задание 6'!$B$1:$O$1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МИН</c:v>
                </c:pt>
                <c:pt idx="12">
                  <c:v>СРЗНАЧ</c:v>
                </c:pt>
                <c:pt idx="13">
                  <c:v>МАКС</c:v>
                </c:pt>
              </c:strCache>
            </c:strRef>
          </c:cat>
          <c:val>
            <c:numRef>
              <c:f>'Задание 6'!$B$2:$O$2</c:f>
              <c:numCache>
                <c:formatCode>#,##0</c:formatCode>
                <c:ptCount val="14"/>
                <c:pt idx="0">
                  <c:v>58246</c:v>
                </c:pt>
                <c:pt idx="1">
                  <c:v>56010</c:v>
                </c:pt>
                <c:pt idx="2">
                  <c:v>55579</c:v>
                </c:pt>
                <c:pt idx="3">
                  <c:v>57578</c:v>
                </c:pt>
                <c:pt idx="4">
                  <c:v>70869</c:v>
                </c:pt>
                <c:pt idx="5">
                  <c:v>76101</c:v>
                </c:pt>
                <c:pt idx="6">
                  <c:v>76652</c:v>
                </c:pt>
                <c:pt idx="7">
                  <c:v>75970</c:v>
                </c:pt>
                <c:pt idx="8">
                  <c:v>74683</c:v>
                </c:pt>
                <c:pt idx="9">
                  <c:v>67603</c:v>
                </c:pt>
                <c:pt idx="10">
                  <c:v>50854</c:v>
                </c:pt>
                <c:pt idx="11">
                  <c:v>50854</c:v>
                </c:pt>
                <c:pt idx="12">
                  <c:v>65467.727272727272</c:v>
                </c:pt>
                <c:pt idx="13">
                  <c:v>76652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E-4BFC-A131-6636F8C99A9C}"/>
            </c:ext>
          </c:extLst>
        </c:ser>
        <c:ser>
          <c:idx val="1"/>
          <c:order val="1"/>
          <c:tx>
            <c:strRef>
              <c:f>'Задание 6'!$A$3</c:f>
              <c:strCache>
                <c:ptCount val="1"/>
                <c:pt idx="0">
                  <c:v>Баткенская область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'Задание 6'!$B$1:$O$1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МИН</c:v>
                </c:pt>
                <c:pt idx="12">
                  <c:v>СРЗНАЧ</c:v>
                </c:pt>
                <c:pt idx="13">
                  <c:v>МАКС</c:v>
                </c:pt>
              </c:strCache>
            </c:strRef>
          </c:cat>
          <c:val>
            <c:numRef>
              <c:f>'Задание 6'!$B$3:$O$3</c:f>
              <c:numCache>
                <c:formatCode>#,##0</c:formatCode>
                <c:ptCount val="14"/>
                <c:pt idx="0">
                  <c:v>6045</c:v>
                </c:pt>
                <c:pt idx="1">
                  <c:v>5910</c:v>
                </c:pt>
                <c:pt idx="2">
                  <c:v>4988</c:v>
                </c:pt>
                <c:pt idx="3">
                  <c:v>6267</c:v>
                </c:pt>
                <c:pt idx="4">
                  <c:v>8954</c:v>
                </c:pt>
                <c:pt idx="5">
                  <c:v>10926</c:v>
                </c:pt>
                <c:pt idx="6" formatCode="General">
                  <c:v>9950</c:v>
                </c:pt>
                <c:pt idx="7">
                  <c:v>9902</c:v>
                </c:pt>
                <c:pt idx="8">
                  <c:v>13490</c:v>
                </c:pt>
                <c:pt idx="9">
                  <c:v>14080</c:v>
                </c:pt>
                <c:pt idx="10">
                  <c:v>8557</c:v>
                </c:pt>
                <c:pt idx="11">
                  <c:v>4988</c:v>
                </c:pt>
                <c:pt idx="12">
                  <c:v>9006.2727272727279</c:v>
                </c:pt>
                <c:pt idx="13">
                  <c:v>14080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5E-4BFC-A131-6636F8C99A9C}"/>
            </c:ext>
          </c:extLst>
        </c:ser>
        <c:ser>
          <c:idx val="2"/>
          <c:order val="2"/>
          <c:tx>
            <c:strRef>
              <c:f>'Задание 6'!$A$4</c:f>
              <c:strCache>
                <c:ptCount val="1"/>
                <c:pt idx="0">
                  <c:v>Джалал-Абадская область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'Задание 6'!$B$1:$O$1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МИН</c:v>
                </c:pt>
                <c:pt idx="12">
                  <c:v>СРЗНАЧ</c:v>
                </c:pt>
                <c:pt idx="13">
                  <c:v>МАКС</c:v>
                </c:pt>
              </c:strCache>
            </c:strRef>
          </c:cat>
          <c:val>
            <c:numRef>
              <c:f>'Задание 6'!$B$4:$O$4</c:f>
              <c:numCache>
                <c:formatCode>#,##0</c:formatCode>
                <c:ptCount val="14"/>
                <c:pt idx="0">
                  <c:v>12801</c:v>
                </c:pt>
                <c:pt idx="1">
                  <c:v>12318</c:v>
                </c:pt>
                <c:pt idx="2">
                  <c:v>13775</c:v>
                </c:pt>
                <c:pt idx="3">
                  <c:v>16811</c:v>
                </c:pt>
                <c:pt idx="4">
                  <c:v>23471</c:v>
                </c:pt>
                <c:pt idx="5">
                  <c:v>22723</c:v>
                </c:pt>
                <c:pt idx="6" formatCode="General">
                  <c:v>22479</c:v>
                </c:pt>
                <c:pt idx="7">
                  <c:v>21711</c:v>
                </c:pt>
                <c:pt idx="8">
                  <c:v>19744</c:v>
                </c:pt>
                <c:pt idx="9">
                  <c:v>17218</c:v>
                </c:pt>
                <c:pt idx="10">
                  <c:v>12384</c:v>
                </c:pt>
                <c:pt idx="11">
                  <c:v>12318</c:v>
                </c:pt>
                <c:pt idx="12">
                  <c:v>17766.81818181818</c:v>
                </c:pt>
                <c:pt idx="13">
                  <c:v>23471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5E-4BFC-A131-6636F8C99A9C}"/>
            </c:ext>
          </c:extLst>
        </c:ser>
        <c:ser>
          <c:idx val="3"/>
          <c:order val="3"/>
          <c:tx>
            <c:strRef>
              <c:f>'Задание 6'!$A$5</c:f>
              <c:strCache>
                <c:ptCount val="1"/>
                <c:pt idx="0">
                  <c:v>Иссык-Кульская область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'Задание 6'!$B$1:$O$1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МИН</c:v>
                </c:pt>
                <c:pt idx="12">
                  <c:v>СРЗНАЧ</c:v>
                </c:pt>
                <c:pt idx="13">
                  <c:v>МАКС</c:v>
                </c:pt>
              </c:strCache>
            </c:strRef>
          </c:cat>
          <c:val>
            <c:numRef>
              <c:f>'Задание 6'!$B$5:$O$5</c:f>
              <c:numCache>
                <c:formatCode>#,##0</c:formatCode>
                <c:ptCount val="14"/>
                <c:pt idx="0">
                  <c:v>4281</c:v>
                </c:pt>
                <c:pt idx="1">
                  <c:v>4510</c:v>
                </c:pt>
                <c:pt idx="2">
                  <c:v>4660</c:v>
                </c:pt>
                <c:pt idx="3">
                  <c:v>4197</c:v>
                </c:pt>
                <c:pt idx="4">
                  <c:v>4202</c:v>
                </c:pt>
                <c:pt idx="5">
                  <c:v>4320</c:v>
                </c:pt>
                <c:pt idx="6" formatCode="General">
                  <c:v>4491</c:v>
                </c:pt>
                <c:pt idx="7">
                  <c:v>4241</c:v>
                </c:pt>
                <c:pt idx="8">
                  <c:v>3733</c:v>
                </c:pt>
                <c:pt idx="9">
                  <c:v>2761</c:v>
                </c:pt>
                <c:pt idx="10">
                  <c:v>2245</c:v>
                </c:pt>
                <c:pt idx="11">
                  <c:v>2245</c:v>
                </c:pt>
                <c:pt idx="12">
                  <c:v>3967.3636363636365</c:v>
                </c:pt>
                <c:pt idx="13">
                  <c:v>4660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5E-4BFC-A131-6636F8C99A9C}"/>
            </c:ext>
          </c:extLst>
        </c:ser>
        <c:ser>
          <c:idx val="4"/>
          <c:order val="4"/>
          <c:tx>
            <c:strRef>
              <c:f>'Задание 6'!$A$6</c:f>
              <c:strCache>
                <c:ptCount val="1"/>
                <c:pt idx="0">
                  <c:v>Нарынская Область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'Задание 6'!$B$1:$O$1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МИН</c:v>
                </c:pt>
                <c:pt idx="12">
                  <c:v>СРЗНАЧ</c:v>
                </c:pt>
                <c:pt idx="13">
                  <c:v>МАКС</c:v>
                </c:pt>
              </c:strCache>
            </c:strRef>
          </c:cat>
          <c:val>
            <c:numRef>
              <c:f>'Задание 6'!$B$6:$O$6</c:f>
              <c:numCache>
                <c:formatCode>#,##0</c:formatCode>
                <c:ptCount val="14"/>
                <c:pt idx="0">
                  <c:v>6148</c:v>
                </c:pt>
                <c:pt idx="1">
                  <c:v>5426</c:v>
                </c:pt>
                <c:pt idx="2">
                  <c:v>5442</c:v>
                </c:pt>
                <c:pt idx="3">
                  <c:v>4087</c:v>
                </c:pt>
                <c:pt idx="4">
                  <c:v>4068</c:v>
                </c:pt>
                <c:pt idx="5">
                  <c:v>2878</c:v>
                </c:pt>
                <c:pt idx="6" formatCode="General">
                  <c:v>2853</c:v>
                </c:pt>
                <c:pt idx="7">
                  <c:v>2781</c:v>
                </c:pt>
                <c:pt idx="8">
                  <c:v>2482</c:v>
                </c:pt>
                <c:pt idx="9">
                  <c:v>1977</c:v>
                </c:pt>
                <c:pt idx="10">
                  <c:v>1560</c:v>
                </c:pt>
                <c:pt idx="11">
                  <c:v>1560</c:v>
                </c:pt>
                <c:pt idx="12">
                  <c:v>3609.2727272727275</c:v>
                </c:pt>
                <c:pt idx="13">
                  <c:v>6148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5E-4BFC-A131-6636F8C99A9C}"/>
            </c:ext>
          </c:extLst>
        </c:ser>
        <c:ser>
          <c:idx val="5"/>
          <c:order val="5"/>
          <c:tx>
            <c:strRef>
              <c:f>'Задание 6'!$A$7</c:f>
              <c:strCache>
                <c:ptCount val="1"/>
                <c:pt idx="0">
                  <c:v>Ошская область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'Задание 6'!$B$1:$O$1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МИН</c:v>
                </c:pt>
                <c:pt idx="12">
                  <c:v>СРЗНАЧ</c:v>
                </c:pt>
                <c:pt idx="13">
                  <c:v>МАКС</c:v>
                </c:pt>
              </c:strCache>
            </c:strRef>
          </c:cat>
          <c:val>
            <c:numRef>
              <c:f>'Задание 6'!$B$7:$O$7</c:f>
              <c:numCache>
                <c:formatCode>#,##0</c:formatCode>
                <c:ptCount val="14"/>
                <c:pt idx="0">
                  <c:v>11894</c:v>
                </c:pt>
                <c:pt idx="1">
                  <c:v>11165</c:v>
                </c:pt>
                <c:pt idx="2">
                  <c:v>10971</c:v>
                </c:pt>
                <c:pt idx="3">
                  <c:v>11724</c:v>
                </c:pt>
                <c:pt idx="4">
                  <c:v>15564</c:v>
                </c:pt>
                <c:pt idx="5">
                  <c:v>19479</c:v>
                </c:pt>
                <c:pt idx="6" formatCode="General">
                  <c:v>19977</c:v>
                </c:pt>
                <c:pt idx="7">
                  <c:v>19444</c:v>
                </c:pt>
                <c:pt idx="8">
                  <c:v>17556</c:v>
                </c:pt>
                <c:pt idx="9">
                  <c:v>16376</c:v>
                </c:pt>
                <c:pt idx="10">
                  <c:v>14010</c:v>
                </c:pt>
                <c:pt idx="11">
                  <c:v>10971</c:v>
                </c:pt>
                <c:pt idx="12">
                  <c:v>15287.272727272728</c:v>
                </c:pt>
                <c:pt idx="13">
                  <c:v>19977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5E-4BFC-A131-6636F8C99A9C}"/>
            </c:ext>
          </c:extLst>
        </c:ser>
        <c:ser>
          <c:idx val="6"/>
          <c:order val="6"/>
          <c:tx>
            <c:strRef>
              <c:f>'Задание 6'!$A$8</c:f>
              <c:strCache>
                <c:ptCount val="1"/>
                <c:pt idx="0">
                  <c:v>Таласская область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'Задание 6'!$B$1:$O$1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МИН</c:v>
                </c:pt>
                <c:pt idx="12">
                  <c:v>СРЗНАЧ</c:v>
                </c:pt>
                <c:pt idx="13">
                  <c:v>МАКС</c:v>
                </c:pt>
              </c:strCache>
            </c:strRef>
          </c:cat>
          <c:val>
            <c:numRef>
              <c:f>'Задание 6'!$B$8:$O$8</c:f>
              <c:numCache>
                <c:formatCode>#,##0</c:formatCode>
                <c:ptCount val="14"/>
                <c:pt idx="0">
                  <c:v>2033</c:v>
                </c:pt>
                <c:pt idx="1">
                  <c:v>2043</c:v>
                </c:pt>
                <c:pt idx="2">
                  <c:v>2288</c:v>
                </c:pt>
                <c:pt idx="3">
                  <c:v>2280</c:v>
                </c:pt>
                <c:pt idx="4">
                  <c:v>2823</c:v>
                </c:pt>
                <c:pt idx="5">
                  <c:v>3019</c:v>
                </c:pt>
                <c:pt idx="6" formatCode="General">
                  <c:v>3050</c:v>
                </c:pt>
                <c:pt idx="7">
                  <c:v>3115</c:v>
                </c:pt>
                <c:pt idx="8">
                  <c:v>3185</c:v>
                </c:pt>
                <c:pt idx="9">
                  <c:v>3274</c:v>
                </c:pt>
                <c:pt idx="10">
                  <c:v>2637</c:v>
                </c:pt>
                <c:pt idx="11">
                  <c:v>2033</c:v>
                </c:pt>
                <c:pt idx="12">
                  <c:v>2704.2727272727275</c:v>
                </c:pt>
                <c:pt idx="13">
                  <c:v>3274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5E-4BFC-A131-6636F8C99A9C}"/>
            </c:ext>
          </c:extLst>
        </c:ser>
        <c:ser>
          <c:idx val="7"/>
          <c:order val="7"/>
          <c:tx>
            <c:strRef>
              <c:f>'Задание 6'!$A$9</c:f>
              <c:strCache>
                <c:ptCount val="1"/>
                <c:pt idx="0">
                  <c:v>Чуйская область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'Задание 6'!$B$1:$O$1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МИН</c:v>
                </c:pt>
                <c:pt idx="12">
                  <c:v>СРЗНАЧ</c:v>
                </c:pt>
                <c:pt idx="13">
                  <c:v>МАКС</c:v>
                </c:pt>
              </c:strCache>
            </c:strRef>
          </c:cat>
          <c:val>
            <c:numRef>
              <c:f>'Задание 6'!$B$9:$O$9</c:f>
              <c:numCache>
                <c:formatCode>#,##0</c:formatCode>
                <c:ptCount val="14"/>
                <c:pt idx="0">
                  <c:v>5529</c:v>
                </c:pt>
                <c:pt idx="1">
                  <c:v>5297</c:v>
                </c:pt>
                <c:pt idx="2">
                  <c:v>5114</c:v>
                </c:pt>
                <c:pt idx="3">
                  <c:v>4864</c:v>
                </c:pt>
                <c:pt idx="4">
                  <c:v>4400</c:v>
                </c:pt>
                <c:pt idx="5">
                  <c:v>4155</c:v>
                </c:pt>
                <c:pt idx="6" formatCode="General">
                  <c:v>4829</c:v>
                </c:pt>
                <c:pt idx="7">
                  <c:v>5416</c:v>
                </c:pt>
                <c:pt idx="8">
                  <c:v>5155</c:v>
                </c:pt>
                <c:pt idx="9">
                  <c:v>3659</c:v>
                </c:pt>
                <c:pt idx="10">
                  <c:v>2197</c:v>
                </c:pt>
                <c:pt idx="11">
                  <c:v>2197</c:v>
                </c:pt>
                <c:pt idx="12">
                  <c:v>4601.363636363636</c:v>
                </c:pt>
                <c:pt idx="13">
                  <c:v>5529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55E-4BFC-A131-6636F8C99A9C}"/>
            </c:ext>
          </c:extLst>
        </c:ser>
        <c:ser>
          <c:idx val="8"/>
          <c:order val="8"/>
          <c:tx>
            <c:strRef>
              <c:f>'Задание 6'!$A$10</c:f>
              <c:strCache>
                <c:ptCount val="1"/>
                <c:pt idx="0">
                  <c:v>г.Бишкек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'Задание 6'!$B$1:$O$1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МИН</c:v>
                </c:pt>
                <c:pt idx="12">
                  <c:v>СРЗНАЧ</c:v>
                </c:pt>
                <c:pt idx="13">
                  <c:v>МАКС</c:v>
                </c:pt>
              </c:strCache>
            </c:strRef>
          </c:cat>
          <c:val>
            <c:numRef>
              <c:f>'Задание 6'!$B$10:$O$10</c:f>
              <c:numCache>
                <c:formatCode>#,##0</c:formatCode>
                <c:ptCount val="14"/>
                <c:pt idx="0">
                  <c:v>7316</c:v>
                </c:pt>
                <c:pt idx="1">
                  <c:v>6894</c:v>
                </c:pt>
                <c:pt idx="2">
                  <c:v>5927</c:v>
                </c:pt>
                <c:pt idx="3">
                  <c:v>5078</c:v>
                </c:pt>
                <c:pt idx="4">
                  <c:v>5059</c:v>
                </c:pt>
                <c:pt idx="5">
                  <c:v>5938</c:v>
                </c:pt>
                <c:pt idx="6" formatCode="General">
                  <c:v>5932</c:v>
                </c:pt>
                <c:pt idx="7">
                  <c:v>6004</c:v>
                </c:pt>
                <c:pt idx="8">
                  <c:v>6273</c:v>
                </c:pt>
                <c:pt idx="9">
                  <c:v>5330</c:v>
                </c:pt>
                <c:pt idx="10">
                  <c:v>4310</c:v>
                </c:pt>
                <c:pt idx="11">
                  <c:v>4310</c:v>
                </c:pt>
                <c:pt idx="12">
                  <c:v>5823.727272727273</c:v>
                </c:pt>
                <c:pt idx="13">
                  <c:v>7316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5E-4BFC-A131-6636F8C99A9C}"/>
            </c:ext>
          </c:extLst>
        </c:ser>
        <c:ser>
          <c:idx val="9"/>
          <c:order val="9"/>
          <c:tx>
            <c:strRef>
              <c:f>'Задание 6'!$A$11</c:f>
              <c:strCache>
                <c:ptCount val="1"/>
                <c:pt idx="0">
                  <c:v>г.Ош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'Задание 6'!$B$1:$O$1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МИН</c:v>
                </c:pt>
                <c:pt idx="12">
                  <c:v>СРЗНАЧ</c:v>
                </c:pt>
                <c:pt idx="13">
                  <c:v>МАКС</c:v>
                </c:pt>
              </c:strCache>
            </c:strRef>
          </c:cat>
          <c:val>
            <c:numRef>
              <c:f>'Задание 6'!$B$11:$O$11</c:f>
              <c:numCache>
                <c:formatCode>#,##0</c:formatCode>
                <c:ptCount val="14"/>
                <c:pt idx="0">
                  <c:v>2199</c:v>
                </c:pt>
                <c:pt idx="1">
                  <c:v>2447</c:v>
                </c:pt>
                <c:pt idx="2">
                  <c:v>2414</c:v>
                </c:pt>
                <c:pt idx="3">
                  <c:v>2270</c:v>
                </c:pt>
                <c:pt idx="4">
                  <c:v>2328</c:v>
                </c:pt>
                <c:pt idx="5">
                  <c:v>2663</c:v>
                </c:pt>
                <c:pt idx="6" formatCode="General">
                  <c:v>3091</c:v>
                </c:pt>
                <c:pt idx="7">
                  <c:v>3356</c:v>
                </c:pt>
                <c:pt idx="8">
                  <c:v>3065</c:v>
                </c:pt>
                <c:pt idx="9">
                  <c:v>2928</c:v>
                </c:pt>
                <c:pt idx="10">
                  <c:v>2954</c:v>
                </c:pt>
                <c:pt idx="11">
                  <c:v>2199</c:v>
                </c:pt>
                <c:pt idx="12">
                  <c:v>2701.3636363636365</c:v>
                </c:pt>
                <c:pt idx="13">
                  <c:v>3356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55E-4BFC-A131-6636F8C99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787311"/>
        <c:axId val="1234794031"/>
      </c:areaChart>
      <c:catAx>
        <c:axId val="1234787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4794031"/>
        <c:crosses val="autoZero"/>
        <c:auto val="1"/>
        <c:lblAlgn val="ctr"/>
        <c:lblOffset val="100"/>
        <c:noMultiLvlLbl val="0"/>
      </c:catAx>
      <c:valAx>
        <c:axId val="123479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4787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7'!$A$3</c:f>
              <c:strCache>
                <c:ptCount val="1"/>
                <c:pt idx="0">
                  <c:v>Кыргызская Республика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'Задание 7'!$B$2:$O$2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МИН</c:v>
                </c:pt>
                <c:pt idx="12">
                  <c:v>СРЗНАЧ</c:v>
                </c:pt>
                <c:pt idx="13">
                  <c:v>МАКС</c:v>
                </c:pt>
              </c:strCache>
            </c:strRef>
          </c:cat>
          <c:val>
            <c:numRef>
              <c:f>'Задание 7'!$B$3:$O$3</c:f>
              <c:numCache>
                <c:formatCode>#\ ##0.00\ _₽</c:formatCode>
                <c:ptCount val="14"/>
                <c:pt idx="1">
                  <c:v>0.96161109775778597</c:v>
                </c:pt>
                <c:pt idx="2">
                  <c:v>0.95421144799642899</c:v>
                </c:pt>
                <c:pt idx="3">
                  <c:v>0.98853140129794326</c:v>
                </c:pt>
                <c:pt idx="4">
                  <c:v>1.2167187446348247</c:v>
                </c:pt>
                <c:pt idx="5">
                  <c:v>1.3065446554269822</c:v>
                </c:pt>
                <c:pt idx="6">
                  <c:v>1.3160045325000858</c:v>
                </c:pt>
                <c:pt idx="7">
                  <c:v>1.304295573944992</c:v>
                </c:pt>
                <c:pt idx="8">
                  <c:v>1.2821996360265082</c:v>
                </c:pt>
                <c:pt idx="9">
                  <c:v>1.1606462246334512</c:v>
                </c:pt>
                <c:pt idx="10">
                  <c:v>0.87308999759640149</c:v>
                </c:pt>
                <c:pt idx="11">
                  <c:v>0.87308999759640149</c:v>
                </c:pt>
                <c:pt idx="12">
                  <c:v>1.1363853311815406</c:v>
                </c:pt>
                <c:pt idx="13">
                  <c:v>1.3160045325000858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CB-4159-A52E-8495C838D430}"/>
            </c:ext>
          </c:extLst>
        </c:ser>
        <c:ser>
          <c:idx val="1"/>
          <c:order val="1"/>
          <c:tx>
            <c:strRef>
              <c:f>'Задание 7'!$A$4</c:f>
              <c:strCache>
                <c:ptCount val="1"/>
                <c:pt idx="0">
                  <c:v>Баткенская область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'Задание 7'!$B$2:$O$2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МИН</c:v>
                </c:pt>
                <c:pt idx="12">
                  <c:v>СРЗНАЧ</c:v>
                </c:pt>
                <c:pt idx="13">
                  <c:v>МАКС</c:v>
                </c:pt>
              </c:strCache>
            </c:strRef>
          </c:cat>
          <c:val>
            <c:numRef>
              <c:f>'Задание 7'!$B$4:$O$4</c:f>
              <c:numCache>
                <c:formatCode>#\ ##0.00\ _₽</c:formatCode>
                <c:ptCount val="14"/>
                <c:pt idx="1">
                  <c:v>0.97766749379652607</c:v>
                </c:pt>
                <c:pt idx="2">
                  <c:v>0.82514474772539292</c:v>
                </c:pt>
                <c:pt idx="3">
                  <c:v>1.0367245657568238</c:v>
                </c:pt>
                <c:pt idx="4">
                  <c:v>1.4812241521918941</c:v>
                </c:pt>
                <c:pt idx="5">
                  <c:v>1.8074441687344913</c:v>
                </c:pt>
                <c:pt idx="6">
                  <c:v>1.6459884201819686</c:v>
                </c:pt>
                <c:pt idx="7">
                  <c:v>1.6380479735318445</c:v>
                </c:pt>
                <c:pt idx="8">
                  <c:v>2.2315963606286187</c:v>
                </c:pt>
                <c:pt idx="9">
                  <c:v>2.3291976840363939</c:v>
                </c:pt>
                <c:pt idx="10">
                  <c:v>1.415550041356493</c:v>
                </c:pt>
                <c:pt idx="11">
                  <c:v>0.82514474772539292</c:v>
                </c:pt>
                <c:pt idx="12">
                  <c:v>1.5388585607940448</c:v>
                </c:pt>
                <c:pt idx="13">
                  <c:v>2.3291976840363939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CB-4159-A52E-8495C838D430}"/>
            </c:ext>
          </c:extLst>
        </c:ser>
        <c:ser>
          <c:idx val="2"/>
          <c:order val="2"/>
          <c:tx>
            <c:strRef>
              <c:f>'Задание 7'!$A$5</c:f>
              <c:strCache>
                <c:ptCount val="1"/>
                <c:pt idx="0">
                  <c:v>Джалал-Абадская область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'Задание 7'!$B$2:$O$2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МИН</c:v>
                </c:pt>
                <c:pt idx="12">
                  <c:v>СРЗНАЧ</c:v>
                </c:pt>
                <c:pt idx="13">
                  <c:v>МАКС</c:v>
                </c:pt>
              </c:strCache>
            </c:strRef>
          </c:cat>
          <c:val>
            <c:numRef>
              <c:f>'Задание 7'!$B$5:$O$5</c:f>
              <c:numCache>
                <c:formatCode>#\ ##0.00\ _₽</c:formatCode>
                <c:ptCount val="14"/>
                <c:pt idx="1">
                  <c:v>0.96226857276775257</c:v>
                </c:pt>
                <c:pt idx="2">
                  <c:v>1.0760878056401844</c:v>
                </c:pt>
                <c:pt idx="3">
                  <c:v>1.3132567768143113</c:v>
                </c:pt>
                <c:pt idx="4">
                  <c:v>1.8335286305757363</c:v>
                </c:pt>
                <c:pt idx="5">
                  <c:v>1.7750956956487773</c:v>
                </c:pt>
                <c:pt idx="6">
                  <c:v>1.7560346847902508</c:v>
                </c:pt>
                <c:pt idx="7">
                  <c:v>1.6960393719240685</c:v>
                </c:pt>
                <c:pt idx="8">
                  <c:v>1.5423795016014374</c:v>
                </c:pt>
                <c:pt idx="9">
                  <c:v>1.3450511678775097</c:v>
                </c:pt>
                <c:pt idx="10">
                  <c:v>0.96742441996719009</c:v>
                </c:pt>
                <c:pt idx="11">
                  <c:v>0.96226857276775257</c:v>
                </c:pt>
                <c:pt idx="12">
                  <c:v>1.4267166627607217</c:v>
                </c:pt>
                <c:pt idx="13">
                  <c:v>1.8335286305757363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CB-4159-A52E-8495C838D430}"/>
            </c:ext>
          </c:extLst>
        </c:ser>
        <c:ser>
          <c:idx val="3"/>
          <c:order val="3"/>
          <c:tx>
            <c:strRef>
              <c:f>'Задание 7'!$A$6</c:f>
              <c:strCache>
                <c:ptCount val="1"/>
                <c:pt idx="0">
                  <c:v>Иссык-Кульская область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'Задание 7'!$B$2:$O$2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МИН</c:v>
                </c:pt>
                <c:pt idx="12">
                  <c:v>СРЗНАЧ</c:v>
                </c:pt>
                <c:pt idx="13">
                  <c:v>МАКС</c:v>
                </c:pt>
              </c:strCache>
            </c:strRef>
          </c:cat>
          <c:val>
            <c:numRef>
              <c:f>'Задание 7'!$B$6:$O$6</c:f>
              <c:numCache>
                <c:formatCode>#\ ##0.00\ _₽</c:formatCode>
                <c:ptCount val="14"/>
                <c:pt idx="1">
                  <c:v>1.0534921747255315</c:v>
                </c:pt>
                <c:pt idx="2">
                  <c:v>1.0885307171221676</c:v>
                </c:pt>
                <c:pt idx="3">
                  <c:v>0.98037841625788369</c:v>
                </c:pt>
                <c:pt idx="4">
                  <c:v>0.98154636767110492</c:v>
                </c:pt>
                <c:pt idx="5">
                  <c:v>1.0091100210231254</c:v>
                </c:pt>
                <c:pt idx="6">
                  <c:v>1.0490539593552908</c:v>
                </c:pt>
                <c:pt idx="7">
                  <c:v>0.99065638869423034</c:v>
                </c:pt>
                <c:pt idx="8">
                  <c:v>0.87199252511095537</c:v>
                </c:pt>
                <c:pt idx="9">
                  <c:v>0.64494277038075221</c:v>
                </c:pt>
                <c:pt idx="10">
                  <c:v>0.52441018453632327</c:v>
                </c:pt>
                <c:pt idx="11">
                  <c:v>0.52441018453632327</c:v>
                </c:pt>
                <c:pt idx="12">
                  <c:v>0.91941135248773642</c:v>
                </c:pt>
                <c:pt idx="13">
                  <c:v>1.0885307171221676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CB-4159-A52E-8495C838D430}"/>
            </c:ext>
          </c:extLst>
        </c:ser>
        <c:ser>
          <c:idx val="4"/>
          <c:order val="4"/>
          <c:tx>
            <c:strRef>
              <c:f>'Задание 7'!$A$7</c:f>
              <c:strCache>
                <c:ptCount val="1"/>
                <c:pt idx="0">
                  <c:v>Нарынская Область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'Задание 7'!$B$2:$O$2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МИН</c:v>
                </c:pt>
                <c:pt idx="12">
                  <c:v>СРЗНАЧ</c:v>
                </c:pt>
                <c:pt idx="13">
                  <c:v>МАКС</c:v>
                </c:pt>
              </c:strCache>
            </c:strRef>
          </c:cat>
          <c:val>
            <c:numRef>
              <c:f>'Задание 7'!$B$7:$O$7</c:f>
              <c:numCache>
                <c:formatCode>#\ ##0.00\ _₽</c:formatCode>
                <c:ptCount val="14"/>
                <c:pt idx="1">
                  <c:v>0.88256343526350034</c:v>
                </c:pt>
                <c:pt idx="2">
                  <c:v>0.88516590761223157</c:v>
                </c:pt>
                <c:pt idx="3">
                  <c:v>0.66476903057905012</c:v>
                </c:pt>
                <c:pt idx="4">
                  <c:v>0.66167859466493173</c:v>
                </c:pt>
                <c:pt idx="5">
                  <c:v>0.46811971372804162</c:v>
                </c:pt>
                <c:pt idx="6">
                  <c:v>0.46405335068314901</c:v>
                </c:pt>
                <c:pt idx="7">
                  <c:v>0.45234222511385819</c:v>
                </c:pt>
                <c:pt idx="8">
                  <c:v>0.40370852309694211</c:v>
                </c:pt>
                <c:pt idx="9">
                  <c:v>0.32156798959011063</c:v>
                </c:pt>
                <c:pt idx="10">
                  <c:v>0.25374105400130126</c:v>
                </c:pt>
                <c:pt idx="11">
                  <c:v>0.25374105400130126</c:v>
                </c:pt>
                <c:pt idx="12">
                  <c:v>0.54577098243331157</c:v>
                </c:pt>
                <c:pt idx="13">
                  <c:v>0.88516590761223157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CB-4159-A52E-8495C838D430}"/>
            </c:ext>
          </c:extLst>
        </c:ser>
        <c:ser>
          <c:idx val="5"/>
          <c:order val="5"/>
          <c:tx>
            <c:strRef>
              <c:f>'Задание 7'!$A$8</c:f>
              <c:strCache>
                <c:ptCount val="1"/>
                <c:pt idx="0">
                  <c:v>Ошская область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'Задание 7'!$B$2:$O$2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МИН</c:v>
                </c:pt>
                <c:pt idx="12">
                  <c:v>СРЗНАЧ</c:v>
                </c:pt>
                <c:pt idx="13">
                  <c:v>МАКС</c:v>
                </c:pt>
              </c:strCache>
            </c:strRef>
          </c:cat>
          <c:val>
            <c:numRef>
              <c:f>'Задание 7'!$B$8:$O$8</c:f>
              <c:numCache>
                <c:formatCode>#\ ##0.00\ _₽</c:formatCode>
                <c:ptCount val="14"/>
                <c:pt idx="1">
                  <c:v>0.93870859256768113</c:v>
                </c:pt>
                <c:pt idx="2">
                  <c:v>0.92239784765427946</c:v>
                </c:pt>
                <c:pt idx="3">
                  <c:v>0.98570707919959644</c:v>
                </c:pt>
                <c:pt idx="4">
                  <c:v>1.3085589372793005</c:v>
                </c:pt>
                <c:pt idx="5">
                  <c:v>1.6377164957121237</c:v>
                </c:pt>
                <c:pt idx="6">
                  <c:v>1.6795863460568354</c:v>
                </c:pt>
                <c:pt idx="7">
                  <c:v>1.6347738355473347</c:v>
                </c:pt>
                <c:pt idx="8">
                  <c:v>1.476038338658147</c:v>
                </c:pt>
                <c:pt idx="9">
                  <c:v>1.3768286531024045</c:v>
                </c:pt>
                <c:pt idx="10">
                  <c:v>1.1779048259626703</c:v>
                </c:pt>
                <c:pt idx="11">
                  <c:v>0.92239784765427946</c:v>
                </c:pt>
                <c:pt idx="12">
                  <c:v>1.3138220951740374</c:v>
                </c:pt>
                <c:pt idx="13">
                  <c:v>1.6795863460568354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CB-4159-A52E-8495C838D430}"/>
            </c:ext>
          </c:extLst>
        </c:ser>
        <c:ser>
          <c:idx val="6"/>
          <c:order val="6"/>
          <c:tx>
            <c:strRef>
              <c:f>'Задание 7'!$A$9</c:f>
              <c:strCache>
                <c:ptCount val="1"/>
                <c:pt idx="0">
                  <c:v>Таласская область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'Задание 7'!$B$2:$O$2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МИН</c:v>
                </c:pt>
                <c:pt idx="12">
                  <c:v>СРЗНАЧ</c:v>
                </c:pt>
                <c:pt idx="13">
                  <c:v>МАКС</c:v>
                </c:pt>
              </c:strCache>
            </c:strRef>
          </c:cat>
          <c:val>
            <c:numRef>
              <c:f>'Задание 7'!$B$9:$O$9</c:f>
              <c:numCache>
                <c:formatCode>#\ ##0.00\ _₽</c:formatCode>
                <c:ptCount val="14"/>
                <c:pt idx="1">
                  <c:v>1.0049188391539596</c:v>
                </c:pt>
                <c:pt idx="2">
                  <c:v>1.1254303984259715</c:v>
                </c:pt>
                <c:pt idx="3">
                  <c:v>1.1214953271028036</c:v>
                </c:pt>
                <c:pt idx="4">
                  <c:v>1.3885882931628135</c:v>
                </c:pt>
                <c:pt idx="5">
                  <c:v>1.484997540580423</c:v>
                </c:pt>
                <c:pt idx="6">
                  <c:v>1.5002459419576979</c:v>
                </c:pt>
                <c:pt idx="7">
                  <c:v>1.5322183964584357</c:v>
                </c:pt>
                <c:pt idx="8">
                  <c:v>1.5666502705361536</c:v>
                </c:pt>
                <c:pt idx="9">
                  <c:v>1.6104279390063945</c:v>
                </c:pt>
                <c:pt idx="10">
                  <c:v>1.2970978848991639</c:v>
                </c:pt>
                <c:pt idx="11">
                  <c:v>1.0049188391539596</c:v>
                </c:pt>
                <c:pt idx="12">
                  <c:v>1.3632070831283816</c:v>
                </c:pt>
                <c:pt idx="13">
                  <c:v>1.6104279390063945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CB-4159-A52E-8495C838D430}"/>
            </c:ext>
          </c:extLst>
        </c:ser>
        <c:ser>
          <c:idx val="7"/>
          <c:order val="7"/>
          <c:tx>
            <c:strRef>
              <c:f>'Задание 7'!$A$10</c:f>
              <c:strCache>
                <c:ptCount val="1"/>
                <c:pt idx="0">
                  <c:v>Чуйская область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'Задание 7'!$B$2:$O$2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МИН</c:v>
                </c:pt>
                <c:pt idx="12">
                  <c:v>СРЗНАЧ</c:v>
                </c:pt>
                <c:pt idx="13">
                  <c:v>МАКС</c:v>
                </c:pt>
              </c:strCache>
            </c:strRef>
          </c:cat>
          <c:val>
            <c:numRef>
              <c:f>'Задание 7'!$B$10:$O$10</c:f>
              <c:numCache>
                <c:formatCode>#\ ##0.00\ _₽</c:formatCode>
                <c:ptCount val="14"/>
                <c:pt idx="1">
                  <c:v>0.95803942846807744</c:v>
                </c:pt>
                <c:pt idx="2">
                  <c:v>0.92494121902694881</c:v>
                </c:pt>
                <c:pt idx="3">
                  <c:v>0.8797250859106529</c:v>
                </c:pt>
                <c:pt idx="4">
                  <c:v>0.79580394284680778</c:v>
                </c:pt>
                <c:pt idx="5">
                  <c:v>0.75149213239283774</c:v>
                </c:pt>
                <c:pt idx="6">
                  <c:v>0.87339482727437145</c:v>
                </c:pt>
                <c:pt idx="7">
                  <c:v>0.97956230783143428</c:v>
                </c:pt>
                <c:pt idx="8">
                  <c:v>0.93235666485802138</c:v>
                </c:pt>
                <c:pt idx="9">
                  <c:v>0.66178332429010667</c:v>
                </c:pt>
                <c:pt idx="10">
                  <c:v>0.39735937782600833</c:v>
                </c:pt>
                <c:pt idx="11">
                  <c:v>0.39735937782600833</c:v>
                </c:pt>
                <c:pt idx="12">
                  <c:v>0.81544583107252655</c:v>
                </c:pt>
                <c:pt idx="13">
                  <c:v>0.97956230783143428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CB-4159-A52E-8495C838D430}"/>
            </c:ext>
          </c:extLst>
        </c:ser>
        <c:ser>
          <c:idx val="8"/>
          <c:order val="8"/>
          <c:tx>
            <c:strRef>
              <c:f>'Задание 7'!$A$11</c:f>
              <c:strCache>
                <c:ptCount val="1"/>
                <c:pt idx="0">
                  <c:v>г.Бишкек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'Задание 7'!$B$2:$O$2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МИН</c:v>
                </c:pt>
                <c:pt idx="12">
                  <c:v>СРЗНАЧ</c:v>
                </c:pt>
                <c:pt idx="13">
                  <c:v>МАКС</c:v>
                </c:pt>
              </c:strCache>
            </c:strRef>
          </c:cat>
          <c:val>
            <c:numRef>
              <c:f>'Задание 7'!$B$11:$O$11</c:f>
              <c:numCache>
                <c:formatCode>#\ ##0.00\ _₽</c:formatCode>
                <c:ptCount val="14"/>
                <c:pt idx="1">
                  <c:v>0.94231820667031163</c:v>
                </c:pt>
                <c:pt idx="2">
                  <c:v>0.81014215418261348</c:v>
                </c:pt>
                <c:pt idx="3">
                  <c:v>0.69409513395297973</c:v>
                </c:pt>
                <c:pt idx="4">
                  <c:v>0.6914980863860033</c:v>
                </c:pt>
                <c:pt idx="5">
                  <c:v>0.81164570803717884</c:v>
                </c:pt>
                <c:pt idx="6">
                  <c:v>0.81082558775287039</c:v>
                </c:pt>
                <c:pt idx="7">
                  <c:v>0.82066703116457085</c:v>
                </c:pt>
                <c:pt idx="8">
                  <c:v>0.8574357572443958</c:v>
                </c:pt>
                <c:pt idx="9">
                  <c:v>0.7285401858939311</c:v>
                </c:pt>
                <c:pt idx="10">
                  <c:v>0.58911973756150904</c:v>
                </c:pt>
                <c:pt idx="11">
                  <c:v>0.58911973756150904</c:v>
                </c:pt>
                <c:pt idx="12">
                  <c:v>0.77562875888463645</c:v>
                </c:pt>
                <c:pt idx="13">
                  <c:v>0.94231820667031163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CB-4159-A52E-8495C838D430}"/>
            </c:ext>
          </c:extLst>
        </c:ser>
        <c:ser>
          <c:idx val="9"/>
          <c:order val="9"/>
          <c:tx>
            <c:strRef>
              <c:f>'Задание 7'!$A$12</c:f>
              <c:strCache>
                <c:ptCount val="1"/>
                <c:pt idx="0">
                  <c:v>г.Ош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'Задание 7'!$B$2:$O$2</c:f>
              <c:strCache>
                <c:ptCount val="1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МИН</c:v>
                </c:pt>
                <c:pt idx="12">
                  <c:v>СРЗНАЧ</c:v>
                </c:pt>
                <c:pt idx="13">
                  <c:v>МАКС</c:v>
                </c:pt>
              </c:strCache>
            </c:strRef>
          </c:cat>
          <c:val>
            <c:numRef>
              <c:f>'Задание 7'!$B$12:$O$12</c:f>
              <c:numCache>
                <c:formatCode>#\ ##0.00\ _₽</c:formatCode>
                <c:ptCount val="14"/>
                <c:pt idx="1">
                  <c:v>1.1127785356980446</c:v>
                </c:pt>
                <c:pt idx="2">
                  <c:v>1.0977717144156436</c:v>
                </c:pt>
                <c:pt idx="3">
                  <c:v>1.0322874033651659</c:v>
                </c:pt>
                <c:pt idx="4">
                  <c:v>1.0586630286493861</c:v>
                </c:pt>
                <c:pt idx="5">
                  <c:v>1.2110050022737608</c:v>
                </c:pt>
                <c:pt idx="6">
                  <c:v>1.4056389267849023</c:v>
                </c:pt>
                <c:pt idx="7">
                  <c:v>1.5261482492041838</c:v>
                </c:pt>
                <c:pt idx="8">
                  <c:v>1.3938153706230105</c:v>
                </c:pt>
                <c:pt idx="9">
                  <c:v>1.3315143246930423</c:v>
                </c:pt>
                <c:pt idx="10">
                  <c:v>1.3433378808549341</c:v>
                </c:pt>
                <c:pt idx="11">
                  <c:v>1.0322874033651659</c:v>
                </c:pt>
                <c:pt idx="12">
                  <c:v>1.2512960436562073</c:v>
                </c:pt>
                <c:pt idx="13">
                  <c:v>1.5261482492041838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7CB-4159-A52E-8495C838D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2527391"/>
        <c:axId val="2042532191"/>
      </c:lineChart>
      <c:catAx>
        <c:axId val="204252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2532191"/>
        <c:crosses val="autoZero"/>
        <c:auto val="1"/>
        <c:lblAlgn val="ctr"/>
        <c:lblOffset val="100"/>
        <c:noMultiLvlLbl val="0"/>
      </c:catAx>
      <c:valAx>
        <c:axId val="204253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252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A73C1CE-260C-41AE-999B-12F292272961}">
  <sheetPr codeName="Диаграмма2"/>
  <sheetViews>
    <sheetView zoomScale="7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199315-B19E-48A3-BA93-A77EA46BBD55}">
  <sheetPr codeName="Диаграмма4"/>
  <sheetViews>
    <sheetView zoomScale="7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53A182-012E-48AB-ADCF-5E8130D7A670}">
  <sheetPr codeName="Диаграмма6"/>
  <sheetViews>
    <sheetView zoomScale="7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D7BF06-7CEA-49E5-97B0-2ECDD35C31A0}">
  <sheetPr codeName="Диаграмма9"/>
  <sheetViews>
    <sheetView zoomScale="7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8B0DBB3-7F43-457C-B6A7-30642D5211E2}">
  <sheetPr codeName="Диаграмма11"/>
  <sheetViews>
    <sheetView zoomScale="7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8562498-306D-4FBB-812C-477C2511A62C}">
  <sheetPr codeName="Диаграмма13"/>
  <sheetViews>
    <sheetView zoomScale="7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0BF58E0-FDDF-4069-9E19-E076F6FA0374}">
  <sheetPr codeName="Диаграмма15"/>
  <sheetViews>
    <sheetView zoomScale="73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D5C5B5A-9A4A-4A5B-853B-87A6A8FE7221}">
  <sheetPr codeName="Диаграмма18"/>
  <sheetViews>
    <sheetView zoomScale="73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D06D206-E94F-4D58-9F35-44126239AF1F}">
  <sheetPr codeName="Диаграмма20"/>
  <sheetViews>
    <sheetView zoomScale="73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DB81CC2-70F6-4EF0-91EA-2A47D436024D}">
  <sheetPr codeName="Диаграмма22"/>
  <sheetViews>
    <sheetView zoomScale="73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D17D02F-EA71-4844-8DA0-C48A9C884DE2}">
  <sheetPr codeName="Диаграмма24"/>
  <sheetViews>
    <sheetView zoomScale="73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7C96DCF-6C13-4EB7-8390-053B664A343E}">
  <sheetPr codeName="Диаграмма26"/>
  <sheetViews>
    <sheetView zoomScale="73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32ACF51-5620-49D6-9DDA-BD7AE3C342BB}">
  <sheetPr codeName="Диаграмма44"/>
  <sheetViews>
    <sheetView zoomScale="73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00940CF-B893-4A44-BB29-6394DB7640A5}">
  <sheetPr codeName="Диаграмма45"/>
  <sheetViews>
    <sheetView zoomScale="73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319880-7307-4A7F-934C-8F3FC803ECAC}">
  <sheetPr codeName="Диаграмма46"/>
  <sheetViews>
    <sheetView zoomScale="73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5AAEDB-E90E-4124-8E68-D2AAD5193712}">
  <sheetPr codeName="Диаграмма47"/>
  <sheetViews>
    <sheetView zoomScale="73" workbookViewId="0" zoomToFit="1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D2FA7F6-E2EB-4BDC-BACB-6D814614FED8}">
  <sheetPr codeName="Диаграмма37"/>
  <sheetViews>
    <sheetView zoomScale="73" workbookViewId="0" zoomToFit="1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49AC282-D324-49B2-B8C4-8263B85078F2}">
  <sheetPr codeName="Диаграмма39"/>
  <sheetViews>
    <sheetView tabSelected="1" zoomScale="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96D877C-DC99-0C4C-D882-8DDA3332B6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0D90B20-3229-2FDB-B45C-041A565B6FA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258FF47-4584-72BA-B0C9-D965A7297C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14A9D95-6941-5215-E28E-F0517C88366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9CE5F98-CA67-F1D8-7EE0-B7BD3CC1D0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F6F3DB0-4DB6-BB82-7DC8-101A227F342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80D6D98-2D7C-07F0-D03C-BA90B385A5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290F2C5-9414-225F-62BC-FA4400D1EE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8895238-08D6-6CFB-5245-414FF76BB5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4508E1B-86E1-CF4C-6BA0-5A61120B35A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8D78A9E-C46E-E213-6200-8E8DDAB2EF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40E9E0B-0291-DA7B-7EFC-54A22A2380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BD256E4-15E5-A57E-5E4A-413DD44EC8D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DC355E5-CDBA-34AB-F8A2-C2DC9A3059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8603C42-0656-FA2D-AE1A-9DE190F0A7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69C6977-83B6-55C0-BEBA-76D93F2FE92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F04B547-1268-E38F-446D-401CD80E3E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00EBD3A-6061-ABB4-0FDA-5358D0F30A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52"/>
  <sheetViews>
    <sheetView zoomScaleNormal="100" workbookViewId="0">
      <selection activeCell="K23" sqref="K23"/>
    </sheetView>
  </sheetViews>
  <sheetFormatPr defaultColWidth="8.7109375" defaultRowHeight="15"/>
  <sheetData>
    <row r="1" spans="1:2" ht="15" customHeight="1">
      <c r="A1" s="1" t="s">
        <v>0</v>
      </c>
      <c r="B1" s="1" t="s">
        <v>1</v>
      </c>
    </row>
    <row r="2" spans="1:2" ht="15" customHeight="1">
      <c r="A2">
        <v>-10</v>
      </c>
      <c r="B2">
        <f t="shared" ref="B2:B33" si="0">(A2^3-9)/(A2^2+1)</f>
        <v>-9.990099009900991</v>
      </c>
    </row>
    <row r="3" spans="1:2" ht="15" customHeight="1">
      <c r="A3">
        <v>-9.6</v>
      </c>
      <c r="B3">
        <f t="shared" si="0"/>
        <v>-9.5935594675826543</v>
      </c>
    </row>
    <row r="4" spans="1:2" ht="15" customHeight="1">
      <c r="A4">
        <v>-9.1999999999999993</v>
      </c>
      <c r="B4">
        <f t="shared" si="0"/>
        <v>-9.1976646426903308</v>
      </c>
    </row>
    <row r="5" spans="1:2" ht="15" customHeight="1">
      <c r="A5">
        <v>-8.8000000000000007</v>
      </c>
      <c r="B5">
        <f t="shared" si="0"/>
        <v>-8.8025497195308535</v>
      </c>
    </row>
    <row r="6" spans="1:2" ht="15" customHeight="1">
      <c r="A6">
        <v>-8.4</v>
      </c>
      <c r="B6">
        <f t="shared" si="0"/>
        <v>-8.408384572386808</v>
      </c>
    </row>
    <row r="7" spans="1:2" ht="15" customHeight="1">
      <c r="A7">
        <v>-8</v>
      </c>
      <c r="B7">
        <f t="shared" si="0"/>
        <v>-8.0153846153846153</v>
      </c>
    </row>
    <row r="8" spans="1:2" ht="15" customHeight="1">
      <c r="A8">
        <v>-7.6</v>
      </c>
      <c r="B8">
        <f t="shared" si="0"/>
        <v>-7.6238257317903324</v>
      </c>
    </row>
    <row r="9" spans="1:2" ht="15" customHeight="1">
      <c r="A9">
        <v>-7.2</v>
      </c>
      <c r="B9">
        <f t="shared" si="0"/>
        <v>-7.2340651021953066</v>
      </c>
    </row>
    <row r="10" spans="1:2" ht="15" customHeight="1">
      <c r="A10">
        <v>-6.8</v>
      </c>
      <c r="B10">
        <f t="shared" si="0"/>
        <v>-6.8465707027942422</v>
      </c>
    </row>
    <row r="11" spans="1:2" ht="15" customHeight="1">
      <c r="A11">
        <v>-6.4</v>
      </c>
      <c r="B11">
        <f t="shared" si="0"/>
        <v>-6.4619637750238326</v>
      </c>
    </row>
    <row r="12" spans="1:2" ht="15" customHeight="1">
      <c r="A12">
        <v>-6</v>
      </c>
      <c r="B12">
        <f t="shared" si="0"/>
        <v>-6.0810810810810807</v>
      </c>
    </row>
    <row r="13" spans="1:2" ht="15" customHeight="1">
      <c r="A13">
        <v>-5.6</v>
      </c>
      <c r="B13">
        <f t="shared" si="0"/>
        <v>-5.7050679851668713</v>
      </c>
    </row>
    <row r="14" spans="1:2" ht="15" customHeight="1">
      <c r="A14">
        <v>-5.2</v>
      </c>
      <c r="B14">
        <f t="shared" si="0"/>
        <v>-5.3355206847360916</v>
      </c>
    </row>
    <row r="15" spans="1:2" ht="15" customHeight="1">
      <c r="A15">
        <v>-4.8</v>
      </c>
      <c r="B15">
        <f t="shared" si="0"/>
        <v>-4.9747088186356079</v>
      </c>
    </row>
    <row r="16" spans="1:2" ht="15" customHeight="1">
      <c r="A16">
        <v>-4.4000000000000004</v>
      </c>
      <c r="B16">
        <f t="shared" si="0"/>
        <v>-4.6259332023575643</v>
      </c>
    </row>
    <row r="17" spans="1:2" ht="15" customHeight="1">
      <c r="A17">
        <v>-3.9999999999999898</v>
      </c>
      <c r="B17">
        <f t="shared" si="0"/>
        <v>-4.2941176470588154</v>
      </c>
    </row>
    <row r="18" spans="1:2" ht="15" customHeight="1">
      <c r="A18">
        <v>-3.5999999999999899</v>
      </c>
      <c r="B18">
        <f t="shared" si="0"/>
        <v>-3.9868194842406801</v>
      </c>
    </row>
    <row r="19" spans="1:2" ht="15" customHeight="1">
      <c r="A19">
        <v>-3.19999999999999</v>
      </c>
      <c r="B19">
        <f t="shared" si="0"/>
        <v>-3.7160142348754386</v>
      </c>
    </row>
    <row r="20" spans="1:2" ht="15" customHeight="1">
      <c r="A20">
        <v>-2.7999999999999901</v>
      </c>
      <c r="B20">
        <f t="shared" si="0"/>
        <v>-3.5013574660633444</v>
      </c>
    </row>
    <row r="21" spans="1:2" ht="15" customHeight="1">
      <c r="A21">
        <v>-2.3999999999999901</v>
      </c>
      <c r="B21">
        <f t="shared" si="0"/>
        <v>-3.3763313609467436</v>
      </c>
    </row>
    <row r="22" spans="1:2" ht="15" customHeight="1">
      <c r="A22">
        <v>-1.99999999999999</v>
      </c>
      <c r="B22">
        <f t="shared" si="0"/>
        <v>-3.400000000000003</v>
      </c>
    </row>
    <row r="23" spans="1:2" ht="15" customHeight="1">
      <c r="A23">
        <v>-1.5999999999999901</v>
      </c>
      <c r="B23">
        <f t="shared" si="0"/>
        <v>-3.67865168539327</v>
      </c>
    </row>
    <row r="24" spans="1:2" ht="15" customHeight="1">
      <c r="A24">
        <v>-1.19999999999999</v>
      </c>
      <c r="B24">
        <f t="shared" si="0"/>
        <v>-4.396721311475436</v>
      </c>
    </row>
    <row r="25" spans="1:2" ht="15" customHeight="1">
      <c r="A25">
        <v>-0.79999999999999005</v>
      </c>
      <c r="B25">
        <f t="shared" si="0"/>
        <v>-5.8000000000000442</v>
      </c>
    </row>
    <row r="26" spans="1:2" ht="15" customHeight="1">
      <c r="A26">
        <v>-0.39999999999998997</v>
      </c>
      <c r="B26">
        <f t="shared" si="0"/>
        <v>-7.8137931034483259</v>
      </c>
    </row>
    <row r="27" spans="1:2" ht="15" customHeight="1">
      <c r="A27">
        <v>0</v>
      </c>
      <c r="B27">
        <f t="shared" si="0"/>
        <v>-9</v>
      </c>
    </row>
    <row r="28" spans="1:2" ht="15" customHeight="1">
      <c r="A28">
        <v>0.4</v>
      </c>
      <c r="B28">
        <f t="shared" si="0"/>
        <v>-7.7034482758620682</v>
      </c>
    </row>
    <row r="29" spans="1:2" ht="15" customHeight="1">
      <c r="A29">
        <v>0.80000000000000104</v>
      </c>
      <c r="B29">
        <f t="shared" si="0"/>
        <v>-5.175609756097554</v>
      </c>
    </row>
    <row r="30" spans="1:2" ht="15" customHeight="1">
      <c r="A30">
        <v>1.2</v>
      </c>
      <c r="B30">
        <f t="shared" si="0"/>
        <v>-2.9803278688524593</v>
      </c>
    </row>
    <row r="31" spans="1:2" ht="15" customHeight="1">
      <c r="A31">
        <v>1.6</v>
      </c>
      <c r="B31">
        <f t="shared" si="0"/>
        <v>-1.3775280898876401</v>
      </c>
    </row>
    <row r="32" spans="1:2" ht="15" customHeight="1">
      <c r="A32">
        <v>2</v>
      </c>
      <c r="B32">
        <f t="shared" si="0"/>
        <v>-0.2</v>
      </c>
    </row>
    <row r="33" spans="1:2" ht="15" customHeight="1">
      <c r="A33">
        <v>2.4</v>
      </c>
      <c r="B33">
        <f t="shared" si="0"/>
        <v>0.71360946745562126</v>
      </c>
    </row>
    <row r="34" spans="1:2" ht="15" customHeight="1">
      <c r="A34">
        <v>2.8</v>
      </c>
      <c r="B34">
        <f t="shared" ref="B34:B52" si="1">(A34^3-9)/(A34^2+1)</f>
        <v>1.4651583710407234</v>
      </c>
    </row>
    <row r="35" spans="1:2" ht="15" customHeight="1">
      <c r="A35">
        <v>3.2</v>
      </c>
      <c r="B35">
        <f t="shared" si="1"/>
        <v>2.1145907473309613</v>
      </c>
    </row>
    <row r="36" spans="1:2" ht="15" customHeight="1">
      <c r="A36">
        <v>3.6</v>
      </c>
      <c r="B36">
        <f t="shared" si="1"/>
        <v>2.6974212034383958</v>
      </c>
    </row>
    <row r="37" spans="1:2" ht="15" customHeight="1">
      <c r="A37">
        <v>4</v>
      </c>
      <c r="B37">
        <f t="shared" si="1"/>
        <v>3.2352941176470589</v>
      </c>
    </row>
    <row r="38" spans="1:2" ht="15" customHeight="1">
      <c r="A38">
        <v>4.4000000000000004</v>
      </c>
      <c r="B38">
        <f t="shared" si="1"/>
        <v>3.7418467583497059</v>
      </c>
    </row>
    <row r="39" spans="1:2" ht="15" customHeight="1">
      <c r="A39">
        <v>4.8</v>
      </c>
      <c r="B39">
        <f t="shared" si="1"/>
        <v>4.2259567387687191</v>
      </c>
    </row>
    <row r="40" spans="1:2" ht="15" customHeight="1">
      <c r="A40">
        <v>5.2</v>
      </c>
      <c r="B40">
        <f t="shared" si="1"/>
        <v>4.6935805991440809</v>
      </c>
    </row>
    <row r="41" spans="1:2" ht="15" customHeight="1">
      <c r="A41">
        <v>5.6</v>
      </c>
      <c r="B41">
        <f t="shared" si="1"/>
        <v>5.1488257107540161</v>
      </c>
    </row>
    <row r="42" spans="1:2" ht="15" customHeight="1">
      <c r="A42">
        <v>6</v>
      </c>
      <c r="B42">
        <f t="shared" si="1"/>
        <v>5.5945945945945947</v>
      </c>
    </row>
    <row r="43" spans="1:2" ht="15" customHeight="1">
      <c r="A43">
        <v>6.4</v>
      </c>
      <c r="B43">
        <f t="shared" si="1"/>
        <v>6.0329837940896098</v>
      </c>
    </row>
    <row r="44" spans="1:2" ht="15" customHeight="1">
      <c r="A44">
        <v>6.8</v>
      </c>
      <c r="B44">
        <f t="shared" si="1"/>
        <v>6.465537679932261</v>
      </c>
    </row>
    <row r="45" spans="1:2" ht="15" customHeight="1">
      <c r="A45">
        <v>7.2</v>
      </c>
      <c r="B45">
        <f t="shared" si="1"/>
        <v>6.8934140802422412</v>
      </c>
    </row>
    <row r="46" spans="1:2" ht="15" customHeight="1">
      <c r="A46">
        <v>7.6</v>
      </c>
      <c r="B46">
        <f t="shared" si="1"/>
        <v>7.3174948944860443</v>
      </c>
    </row>
    <row r="47" spans="1:2" ht="15" customHeight="1">
      <c r="A47">
        <v>8</v>
      </c>
      <c r="B47">
        <f t="shared" si="1"/>
        <v>7.7384615384615385</v>
      </c>
    </row>
    <row r="48" spans="1:2" ht="15" customHeight="1">
      <c r="A48">
        <v>8.4</v>
      </c>
      <c r="B48">
        <f t="shared" si="1"/>
        <v>8.15684740078256</v>
      </c>
    </row>
    <row r="49" spans="1:2" ht="15" customHeight="1">
      <c r="A49">
        <v>8.8000000000000007</v>
      </c>
      <c r="B49">
        <f t="shared" si="1"/>
        <v>8.5730749617542088</v>
      </c>
    </row>
    <row r="50" spans="1:2" ht="15" customHeight="1">
      <c r="A50">
        <v>9.1999999999999993</v>
      </c>
      <c r="B50">
        <f t="shared" si="1"/>
        <v>8.9874824848201769</v>
      </c>
    </row>
    <row r="51" spans="1:2" ht="15" customHeight="1">
      <c r="A51">
        <v>9.6</v>
      </c>
      <c r="B51">
        <f t="shared" si="1"/>
        <v>9.4003434950622591</v>
      </c>
    </row>
    <row r="52" spans="1:2" ht="15" customHeight="1">
      <c r="A52">
        <v>10</v>
      </c>
      <c r="B52">
        <f t="shared" si="1"/>
        <v>9.8118811881188126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/>
  <dimension ref="A1:B51"/>
  <sheetViews>
    <sheetView topLeftCell="B1" zoomScaleNormal="100" workbookViewId="0">
      <selection activeCell="O11" sqref="O11"/>
    </sheetView>
  </sheetViews>
  <sheetFormatPr defaultColWidth="8.7109375" defaultRowHeight="15"/>
  <sheetData>
    <row r="1" spans="1:2" ht="15" customHeight="1">
      <c r="A1" s="2" t="s">
        <v>0</v>
      </c>
      <c r="B1" s="2" t="s">
        <v>1</v>
      </c>
    </row>
    <row r="2" spans="1:2" ht="15" customHeight="1">
      <c r="A2">
        <v>0.1</v>
      </c>
      <c r="B2">
        <f t="shared" ref="B2:B33" si="0">LOG(2*A2, 2)</f>
        <v>-2.3219280948873622</v>
      </c>
    </row>
    <row r="3" spans="1:2" ht="15" customHeight="1">
      <c r="A3">
        <v>0.2</v>
      </c>
      <c r="B3">
        <f t="shared" si="0"/>
        <v>-1.3219280948873622</v>
      </c>
    </row>
    <row r="4" spans="1:2" ht="15" customHeight="1">
      <c r="A4">
        <v>0.3</v>
      </c>
      <c r="B4">
        <f t="shared" si="0"/>
        <v>-0.73696559416620622</v>
      </c>
    </row>
    <row r="5" spans="1:2" ht="15" customHeight="1">
      <c r="A5">
        <v>0.4</v>
      </c>
      <c r="B5">
        <f t="shared" si="0"/>
        <v>-0.32192809488736229</v>
      </c>
    </row>
    <row r="6" spans="1:2" ht="15" customHeight="1">
      <c r="A6">
        <v>0.5</v>
      </c>
      <c r="B6">
        <f t="shared" si="0"/>
        <v>0</v>
      </c>
    </row>
    <row r="7" spans="1:2" ht="15" customHeight="1">
      <c r="A7">
        <v>0.6</v>
      </c>
      <c r="B7">
        <f t="shared" si="0"/>
        <v>0.26303440583379378</v>
      </c>
    </row>
    <row r="8" spans="1:2" ht="15" customHeight="1">
      <c r="A8">
        <v>0.7</v>
      </c>
      <c r="B8">
        <f t="shared" si="0"/>
        <v>0.48542682717024171</v>
      </c>
    </row>
    <row r="9" spans="1:2" ht="15" customHeight="1">
      <c r="A9">
        <v>0.8</v>
      </c>
      <c r="B9">
        <f t="shared" si="0"/>
        <v>0.67807190511263782</v>
      </c>
    </row>
    <row r="10" spans="1:2" ht="15" customHeight="1">
      <c r="A10">
        <v>0.9</v>
      </c>
      <c r="B10">
        <f t="shared" si="0"/>
        <v>0.84799690655495008</v>
      </c>
    </row>
    <row r="11" spans="1:2" ht="15" customHeight="1">
      <c r="A11">
        <v>1</v>
      </c>
      <c r="B11">
        <f t="shared" si="0"/>
        <v>1</v>
      </c>
    </row>
    <row r="12" spans="1:2" ht="15" customHeight="1">
      <c r="A12">
        <v>1.1000000000000001</v>
      </c>
      <c r="B12">
        <f t="shared" si="0"/>
        <v>1.1375035237499351</v>
      </c>
    </row>
    <row r="13" spans="1:2" ht="15" customHeight="1">
      <c r="A13">
        <v>1.2</v>
      </c>
      <c r="B13">
        <f t="shared" si="0"/>
        <v>1.2630344058337937</v>
      </c>
    </row>
    <row r="14" spans="1:2" ht="15" customHeight="1">
      <c r="A14">
        <v>1.3</v>
      </c>
      <c r="B14">
        <f t="shared" si="0"/>
        <v>1.3785116232537298</v>
      </c>
    </row>
    <row r="15" spans="1:2" ht="15" customHeight="1">
      <c r="A15">
        <v>1.4</v>
      </c>
      <c r="B15">
        <f t="shared" si="0"/>
        <v>1.4854268271702415</v>
      </c>
    </row>
    <row r="16" spans="1:2" ht="15" customHeight="1">
      <c r="A16">
        <v>1.5</v>
      </c>
      <c r="B16">
        <f t="shared" si="0"/>
        <v>1.5849625007211563</v>
      </c>
    </row>
    <row r="17" spans="1:2" ht="15" customHeight="1">
      <c r="A17">
        <v>1.6</v>
      </c>
      <c r="B17">
        <f t="shared" si="0"/>
        <v>1.6780719051126378</v>
      </c>
    </row>
    <row r="18" spans="1:2" ht="15" customHeight="1">
      <c r="A18">
        <v>1.7</v>
      </c>
      <c r="B18">
        <f t="shared" si="0"/>
        <v>1.7655347463629771</v>
      </c>
    </row>
    <row r="19" spans="1:2" ht="15" customHeight="1">
      <c r="A19">
        <v>1.8</v>
      </c>
      <c r="B19">
        <f t="shared" si="0"/>
        <v>1.84799690655495</v>
      </c>
    </row>
    <row r="20" spans="1:2" ht="15" customHeight="1">
      <c r="A20">
        <v>1.9</v>
      </c>
      <c r="B20">
        <f t="shared" si="0"/>
        <v>1.925999418556223</v>
      </c>
    </row>
    <row r="21" spans="1:2" ht="15" customHeight="1">
      <c r="A21">
        <v>2</v>
      </c>
      <c r="B21">
        <f t="shared" si="0"/>
        <v>2</v>
      </c>
    </row>
    <row r="22" spans="1:2" ht="15" customHeight="1">
      <c r="A22">
        <v>2.1</v>
      </c>
      <c r="B22">
        <f t="shared" si="0"/>
        <v>2.0703893278913981</v>
      </c>
    </row>
    <row r="23" spans="1:2" ht="15" customHeight="1">
      <c r="A23">
        <v>2.2000000000000002</v>
      </c>
      <c r="B23">
        <f t="shared" si="0"/>
        <v>2.1375035237499351</v>
      </c>
    </row>
    <row r="24" spans="1:2" ht="15" customHeight="1">
      <c r="A24">
        <v>2.2999999999999998</v>
      </c>
      <c r="B24">
        <f t="shared" si="0"/>
        <v>2.2016338611696504</v>
      </c>
    </row>
    <row r="25" spans="1:2" ht="15" customHeight="1">
      <c r="A25">
        <v>2.4</v>
      </c>
      <c r="B25">
        <f t="shared" si="0"/>
        <v>2.2630344058337939</v>
      </c>
    </row>
    <row r="26" spans="1:2" ht="15" customHeight="1">
      <c r="A26">
        <v>2.5</v>
      </c>
      <c r="B26">
        <f t="shared" si="0"/>
        <v>2.3219280948873622</v>
      </c>
    </row>
    <row r="27" spans="1:2" ht="15" customHeight="1">
      <c r="A27">
        <v>2.6</v>
      </c>
      <c r="B27">
        <f t="shared" si="0"/>
        <v>2.37851162325373</v>
      </c>
    </row>
    <row r="28" spans="1:2" ht="15" customHeight="1">
      <c r="A28">
        <v>2.7</v>
      </c>
      <c r="B28">
        <f t="shared" si="0"/>
        <v>2.4329594072761065</v>
      </c>
    </row>
    <row r="29" spans="1:2" ht="15" customHeight="1">
      <c r="A29">
        <v>2.8</v>
      </c>
      <c r="B29">
        <f t="shared" si="0"/>
        <v>2.485426827170242</v>
      </c>
    </row>
    <row r="30" spans="1:2" ht="15" customHeight="1">
      <c r="A30">
        <v>2.9</v>
      </c>
      <c r="B30">
        <f t="shared" si="0"/>
        <v>2.5360529002402097</v>
      </c>
    </row>
    <row r="31" spans="1:2" ht="15" customHeight="1">
      <c r="A31">
        <v>3</v>
      </c>
      <c r="B31">
        <f t="shared" si="0"/>
        <v>2.5849625007211561</v>
      </c>
    </row>
    <row r="32" spans="1:2" ht="15" customHeight="1">
      <c r="A32">
        <v>3.1</v>
      </c>
      <c r="B32">
        <f t="shared" si="0"/>
        <v>2.6322682154995132</v>
      </c>
    </row>
    <row r="33" spans="1:2" ht="15" customHeight="1">
      <c r="A33">
        <v>3.2</v>
      </c>
      <c r="B33">
        <f t="shared" si="0"/>
        <v>2.6780719051126378</v>
      </c>
    </row>
    <row r="34" spans="1:2" ht="15" customHeight="1">
      <c r="A34">
        <v>3.3</v>
      </c>
      <c r="B34">
        <f t="shared" ref="B34:B51" si="1">LOG(2*A34, 2)</f>
        <v>2.7224660244710912</v>
      </c>
    </row>
    <row r="35" spans="1:2" ht="15" customHeight="1">
      <c r="A35">
        <v>3.4</v>
      </c>
      <c r="B35">
        <f t="shared" si="1"/>
        <v>2.7655347463629774</v>
      </c>
    </row>
    <row r="36" spans="1:2" ht="15" customHeight="1">
      <c r="A36">
        <v>3.5</v>
      </c>
      <c r="B36">
        <f t="shared" si="1"/>
        <v>2.8073549220576042</v>
      </c>
    </row>
    <row r="37" spans="1:2" ht="15" customHeight="1">
      <c r="A37">
        <v>3.6</v>
      </c>
      <c r="B37">
        <f t="shared" si="1"/>
        <v>2.84799690655495</v>
      </c>
    </row>
    <row r="38" spans="1:2" ht="15" customHeight="1">
      <c r="A38">
        <v>3.7</v>
      </c>
      <c r="B38">
        <f t="shared" si="1"/>
        <v>2.8875252707415879</v>
      </c>
    </row>
    <row r="39" spans="1:2" ht="15" customHeight="1">
      <c r="A39">
        <v>3.8</v>
      </c>
      <c r="B39">
        <f t="shared" si="1"/>
        <v>2.925999418556223</v>
      </c>
    </row>
    <row r="40" spans="1:2" ht="15" customHeight="1">
      <c r="A40">
        <v>3.9</v>
      </c>
      <c r="B40">
        <f t="shared" si="1"/>
        <v>2.9634741239748865</v>
      </c>
    </row>
    <row r="41" spans="1:2" ht="15" customHeight="1">
      <c r="A41">
        <v>4</v>
      </c>
      <c r="B41">
        <f t="shared" si="1"/>
        <v>3</v>
      </c>
    </row>
    <row r="42" spans="1:2" ht="15" customHeight="1">
      <c r="A42">
        <v>4.0999999999999996</v>
      </c>
      <c r="B42">
        <f t="shared" si="1"/>
        <v>3.0356239097307216</v>
      </c>
    </row>
    <row r="43" spans="1:2" ht="15" customHeight="1">
      <c r="A43">
        <v>4.2</v>
      </c>
      <c r="B43">
        <f t="shared" si="1"/>
        <v>3.0703893278913981</v>
      </c>
    </row>
    <row r="44" spans="1:2" ht="15" customHeight="1">
      <c r="A44">
        <v>4.3</v>
      </c>
      <c r="B44">
        <f t="shared" si="1"/>
        <v>3.1043366598147353</v>
      </c>
    </row>
    <row r="45" spans="1:2" ht="15" customHeight="1">
      <c r="A45">
        <v>4.4000000000000004</v>
      </c>
      <c r="B45">
        <f t="shared" si="1"/>
        <v>3.1375035237499351</v>
      </c>
    </row>
    <row r="46" spans="1:2" ht="15" customHeight="1">
      <c r="A46">
        <v>4.5</v>
      </c>
      <c r="B46">
        <f t="shared" si="1"/>
        <v>3.1699250014423126</v>
      </c>
    </row>
    <row r="47" spans="1:2" ht="15" customHeight="1">
      <c r="A47">
        <v>4.5999999999999996</v>
      </c>
      <c r="B47">
        <f t="shared" si="1"/>
        <v>3.2016338611696504</v>
      </c>
    </row>
    <row r="48" spans="1:2" ht="15" customHeight="1">
      <c r="A48">
        <v>4.7</v>
      </c>
      <c r="B48">
        <f t="shared" si="1"/>
        <v>3.2326607567902754</v>
      </c>
    </row>
    <row r="49" spans="1:2" ht="15" customHeight="1">
      <c r="A49">
        <v>4.8</v>
      </c>
      <c r="B49">
        <f t="shared" si="1"/>
        <v>3.2630344058337939</v>
      </c>
    </row>
    <row r="50" spans="1:2" ht="15" customHeight="1">
      <c r="A50">
        <v>4.9000000000000004</v>
      </c>
      <c r="B50">
        <f t="shared" si="1"/>
        <v>3.2927817492278462</v>
      </c>
    </row>
    <row r="51" spans="1:2" ht="15" customHeight="1">
      <c r="A51">
        <v>5</v>
      </c>
      <c r="B51">
        <f t="shared" si="1"/>
        <v>3.3219280948873626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5"/>
  <dimension ref="A1:C102"/>
  <sheetViews>
    <sheetView zoomScaleNormal="100" workbookViewId="0">
      <selection activeCell="J3" sqref="J3"/>
    </sheetView>
  </sheetViews>
  <sheetFormatPr defaultColWidth="8.7109375" defaultRowHeight="15"/>
  <sheetData>
    <row r="1" spans="1:3" ht="15" customHeight="1">
      <c r="A1" s="1" t="s">
        <v>2</v>
      </c>
      <c r="B1" s="1" t="s">
        <v>3</v>
      </c>
      <c r="C1" s="1" t="s">
        <v>4</v>
      </c>
    </row>
    <row r="2" spans="1:3" ht="15" customHeight="1">
      <c r="A2">
        <v>0</v>
      </c>
      <c r="B2">
        <f t="shared" ref="B2:B33" si="0">COS(A2)^3</f>
        <v>1</v>
      </c>
      <c r="C2">
        <f t="shared" ref="C2:C33" si="1">SIN(A2)^3</f>
        <v>0</v>
      </c>
    </row>
    <row r="3" spans="1:3" ht="15" customHeight="1">
      <c r="A3">
        <v>0.02</v>
      </c>
      <c r="B3">
        <f t="shared" si="0"/>
        <v>0.99940013998373434</v>
      </c>
      <c r="C3">
        <f t="shared" si="1"/>
        <v>7.9984001386597267E-6</v>
      </c>
    </row>
    <row r="4" spans="1:3" ht="15" customHeight="1">
      <c r="A4">
        <v>0.04</v>
      </c>
      <c r="B4">
        <f t="shared" si="0"/>
        <v>0.99760223895919997</v>
      </c>
      <c r="C4">
        <f t="shared" si="1"/>
        <v>6.3948817745779598E-5</v>
      </c>
    </row>
    <row r="5" spans="1:3" ht="15" customHeight="1">
      <c r="A5">
        <v>0.06</v>
      </c>
      <c r="B5">
        <f t="shared" si="0"/>
        <v>0.99461132814843356</v>
      </c>
      <c r="C5">
        <f t="shared" si="1"/>
        <v>2.1561150312740478E-4</v>
      </c>
    </row>
    <row r="6" spans="1:3" ht="15" customHeight="1">
      <c r="A6">
        <v>0.08</v>
      </c>
      <c r="B6">
        <f t="shared" si="0"/>
        <v>0.99043577343997213</v>
      </c>
      <c r="C6">
        <f t="shared" si="1"/>
        <v>5.1036387009586852E-4</v>
      </c>
    </row>
    <row r="7" spans="1:3" ht="15" customHeight="1">
      <c r="A7">
        <v>0.1</v>
      </c>
      <c r="B7">
        <f t="shared" si="0"/>
        <v>0.98508724623992094</v>
      </c>
      <c r="C7">
        <f t="shared" si="1"/>
        <v>9.9501081978622063E-4</v>
      </c>
    </row>
    <row r="8" spans="1:3" ht="15" customHeight="1">
      <c r="A8">
        <v>0.12</v>
      </c>
      <c r="B8">
        <f t="shared" si="0"/>
        <v>0.97858068280988342</v>
      </c>
      <c r="C8">
        <f t="shared" si="1"/>
        <v>1.715597147917026E-3</v>
      </c>
    </row>
    <row r="9" spans="1:3" ht="15" customHeight="1">
      <c r="A9">
        <v>0.14000000000000001</v>
      </c>
      <c r="B9">
        <f t="shared" si="0"/>
        <v>0.97093423223755482</v>
      </c>
      <c r="C9">
        <f t="shared" si="1"/>
        <v>2.7172227182848153E-3</v>
      </c>
    </row>
    <row r="10" spans="1:3" ht="15" customHeight="1">
      <c r="A10">
        <v>0.16</v>
      </c>
      <c r="B10">
        <f t="shared" si="0"/>
        <v>0.96216919322654115</v>
      </c>
      <c r="C10">
        <f t="shared" si="1"/>
        <v>4.0438610753137511E-3</v>
      </c>
    </row>
    <row r="11" spans="1:3" ht="15" customHeight="1">
      <c r="A11">
        <v>0.18</v>
      </c>
      <c r="B11">
        <f t="shared" si="0"/>
        <v>0.95230993993204727</v>
      </c>
      <c r="C11">
        <f t="shared" si="1"/>
        <v>5.7381821560898568E-3</v>
      </c>
    </row>
    <row r="12" spans="1:3" ht="15" customHeight="1">
      <c r="A12">
        <v>0.2</v>
      </c>
      <c r="B12">
        <f t="shared" si="0"/>
        <v>0.94138383710835083</v>
      </c>
      <c r="C12">
        <f t="shared" si="1"/>
        <v>7.8413797475370712E-3</v>
      </c>
    </row>
    <row r="13" spans="1:3" ht="15" customHeight="1">
      <c r="A13">
        <v>0.22</v>
      </c>
      <c r="B13">
        <f t="shared" si="0"/>
        <v>0.92942114487229543</v>
      </c>
      <c r="C13">
        <f t="shared" si="1"/>
        <v>1.0393004317293543E-2</v>
      </c>
    </row>
    <row r="14" spans="1:3" ht="15" customHeight="1">
      <c r="A14">
        <v>0.24</v>
      </c>
      <c r="B14">
        <f t="shared" si="0"/>
        <v>0.91645491342424612</v>
      </c>
      <c r="C14">
        <f t="shared" si="1"/>
        <v>1.3430801827482653E-2</v>
      </c>
    </row>
    <row r="15" spans="1:3" ht="15" customHeight="1">
      <c r="A15">
        <v>0.26</v>
      </c>
      <c r="B15">
        <f t="shared" si="0"/>
        <v>0.90252086810395415</v>
      </c>
      <c r="C15">
        <f t="shared" si="1"/>
        <v>1.699055911901378E-2</v>
      </c>
    </row>
    <row r="16" spans="1:3" ht="15" customHeight="1">
      <c r="A16">
        <v>0.28000000000000003</v>
      </c>
      <c r="B16">
        <f t="shared" si="0"/>
        <v>0.88765728519340503</v>
      </c>
      <c r="C16">
        <f t="shared" si="1"/>
        <v>2.1105956430370477E-2</v>
      </c>
    </row>
    <row r="17" spans="1:3" ht="15" customHeight="1">
      <c r="A17">
        <v>0.3</v>
      </c>
      <c r="B17">
        <f t="shared" si="0"/>
        <v>0.87190485891187053</v>
      </c>
      <c r="C17">
        <f t="shared" si="1"/>
        <v>2.5808427589133827E-2</v>
      </c>
    </row>
    <row r="18" spans="1:3" ht="15" customHeight="1">
      <c r="A18">
        <v>0.32</v>
      </c>
      <c r="B18">
        <f t="shared" si="0"/>
        <v>0.85530656007994466</v>
      </c>
      <c r="C18">
        <f t="shared" si="1"/>
        <v>3.1127028386838753E-2</v>
      </c>
    </row>
    <row r="19" spans="1:3" ht="15" customHeight="1">
      <c r="A19">
        <v>0.34</v>
      </c>
      <c r="B19">
        <f t="shared" si="0"/>
        <v>0.83790748695917194</v>
      </c>
      <c r="C19">
        <f t="shared" si="1"/>
        <v>3.7088313618270072E-2</v>
      </c>
    </row>
    <row r="20" spans="1:3" ht="15" customHeight="1">
      <c r="A20">
        <v>0.36</v>
      </c>
      <c r="B20">
        <f t="shared" si="0"/>
        <v>0.81975470880188606</v>
      </c>
      <c r="C20">
        <f t="shared" si="1"/>
        <v>4.3716223235080599E-2</v>
      </c>
    </row>
    <row r="21" spans="1:3" ht="15" customHeight="1">
      <c r="A21">
        <v>0.38</v>
      </c>
      <c r="B21">
        <f t="shared" si="0"/>
        <v>0.80089710267197212</v>
      </c>
      <c r="C21">
        <f t="shared" si="1"/>
        <v>5.1031978030766194E-2</v>
      </c>
    </row>
    <row r="22" spans="1:3" ht="15" customHeight="1">
      <c r="A22">
        <v>0.4</v>
      </c>
      <c r="B22">
        <f t="shared" si="0"/>
        <v>0.78138518412133229</v>
      </c>
      <c r="C22">
        <f t="shared" si="1"/>
        <v>5.9053985239681292E-2</v>
      </c>
    </row>
    <row r="23" spans="1:3" ht="15" customHeight="1">
      <c r="A23">
        <v>0.42</v>
      </c>
      <c r="B23">
        <f t="shared" si="0"/>
        <v>0.7612709323288035</v>
      </c>
      <c r="C23">
        <f t="shared" si="1"/>
        <v>6.7797754397048687E-2</v>
      </c>
    </row>
    <row r="24" spans="1:3" ht="15" customHeight="1">
      <c r="A24">
        <v>0.44</v>
      </c>
      <c r="B24">
        <f t="shared" si="0"/>
        <v>0.74060761032806566</v>
      </c>
      <c r="C24">
        <f t="shared" si="1"/>
        <v>7.7275823769933388E-2</v>
      </c>
    </row>
    <row r="25" spans="1:3" ht="15" customHeight="1">
      <c r="A25">
        <v>0.46</v>
      </c>
      <c r="B25">
        <f t="shared" si="0"/>
        <v>0.71944958096860234</v>
      </c>
      <c r="C25">
        <f t="shared" si="1"/>
        <v>8.7497697631049906E-2</v>
      </c>
    </row>
    <row r="26" spans="1:3" ht="15" customHeight="1">
      <c r="A26">
        <v>0.48</v>
      </c>
      <c r="B26">
        <f t="shared" si="0"/>
        <v>0.69785211926899937</v>
      </c>
      <c r="C26">
        <f t="shared" si="1"/>
        <v>9.8469794608190567E-2</v>
      </c>
    </row>
    <row r="27" spans="1:3" ht="15" customHeight="1">
      <c r="A27">
        <v>0.5</v>
      </c>
      <c r="B27">
        <f t="shared" si="0"/>
        <v>0.67587122183470527</v>
      </c>
      <c r="C27">
        <f t="shared" si="1"/>
        <v>0.11019540730213864</v>
      </c>
    </row>
    <row r="28" spans="1:3" ht="15" customHeight="1">
      <c r="A28">
        <v>0.52</v>
      </c>
      <c r="B28">
        <f t="shared" si="0"/>
        <v>0.65356341402280427</v>
      </c>
      <c r="C28">
        <f t="shared" si="1"/>
        <v>0.12267467332531098</v>
      </c>
    </row>
    <row r="29" spans="1:3" ht="15" customHeight="1">
      <c r="A29">
        <v>0.54</v>
      </c>
      <c r="B29">
        <f t="shared" si="0"/>
        <v>0.63098555554432556</v>
      </c>
      <c r="C29">
        <f t="shared" si="1"/>
        <v>0.1359045578722039</v>
      </c>
    </row>
    <row r="30" spans="1:3" ht="15" customHeight="1">
      <c r="A30">
        <v>0.56000000000000005</v>
      </c>
      <c r="B30">
        <f t="shared" si="0"/>
        <v>0.60819464520009425</v>
      </c>
      <c r="C30">
        <f t="shared" si="1"/>
        <v>0.14987884789114356</v>
      </c>
    </row>
    <row r="31" spans="1:3" ht="15" customHeight="1">
      <c r="A31">
        <v>0.57999999999999996</v>
      </c>
      <c r="B31">
        <f t="shared" si="0"/>
        <v>0.5852476254491209</v>
      </c>
      <c r="C31">
        <f t="shared" si="1"/>
        <v>0.16458815788501679</v>
      </c>
    </row>
    <row r="32" spans="1:3" ht="15" customHeight="1">
      <c r="A32">
        <v>0.6</v>
      </c>
      <c r="B32">
        <f t="shared" si="0"/>
        <v>0.56220118750898695</v>
      </c>
      <c r="C32">
        <f t="shared" si="1"/>
        <v>0.18001994732672774</v>
      </c>
    </row>
    <row r="33" spans="1:3" ht="15" customHeight="1">
      <c r="A33">
        <v>0.62</v>
      </c>
      <c r="B33">
        <f t="shared" si="0"/>
        <v>0.53911157768564522</v>
      </c>
      <c r="C33">
        <f t="shared" si="1"/>
        <v>0.19615854963325027</v>
      </c>
    </row>
    <row r="34" spans="1:3" ht="15" customHeight="1">
      <c r="A34">
        <v>0.64</v>
      </c>
      <c r="B34">
        <f t="shared" ref="B34:B65" si="2">COS(A34)^3</f>
        <v>0.51603440562549496</v>
      </c>
      <c r="C34">
        <f t="shared" ref="C34:C65" si="3">SIN(A34)^3</f>
        <v>0.21298521260046285</v>
      </c>
    </row>
    <row r="35" spans="1:3" ht="15" customHeight="1">
      <c r="A35">
        <v>0.66</v>
      </c>
      <c r="B35">
        <f t="shared" si="2"/>
        <v>0.49302445517554477</v>
      </c>
      <c r="C35">
        <f t="shared" si="3"/>
        <v>0.23047815015962289</v>
      </c>
    </row>
    <row r="36" spans="1:3" ht="15" customHeight="1">
      <c r="A36">
        <v>0.68</v>
      </c>
      <c r="B36">
        <f t="shared" si="2"/>
        <v>0.47013549852796799</v>
      </c>
      <c r="C36">
        <f t="shared" si="3"/>
        <v>0.24861260527550658</v>
      </c>
    </row>
    <row r="37" spans="1:3" ht="15" customHeight="1">
      <c r="A37">
        <v>0.7</v>
      </c>
      <c r="B37">
        <f t="shared" si="2"/>
        <v>0.44742011431340206</v>
      </c>
      <c r="C37">
        <f t="shared" si="3"/>
        <v>0.26736092376604981</v>
      </c>
    </row>
    <row r="38" spans="1:3" ht="15" customHeight="1">
      <c r="A38">
        <v>0.72</v>
      </c>
      <c r="B38">
        <f t="shared" si="2"/>
        <v>0.42492951029301818</v>
      </c>
      <c r="C38">
        <f t="shared" si="3"/>
        <v>0.28669263878393397</v>
      </c>
    </row>
    <row r="39" spans="1:3" ht="15" customHeight="1">
      <c r="A39">
        <v>0.74</v>
      </c>
      <c r="B39">
        <f t="shared" si="2"/>
        <v>0.40271335128270863</v>
      </c>
      <c r="C39">
        <f t="shared" si="3"/>
        <v>0.30657456566208713</v>
      </c>
    </row>
    <row r="40" spans="1:3" ht="15" customHeight="1">
      <c r="A40">
        <v>0.76</v>
      </c>
      <c r="B40">
        <f t="shared" si="2"/>
        <v>0.38081959292379253</v>
      </c>
      <c r="C40">
        <f t="shared" si="3"/>
        <v>0.32697090678768298</v>
      </c>
    </row>
    <row r="41" spans="1:3" ht="15" customHeight="1">
      <c r="A41">
        <v>0.78</v>
      </c>
      <c r="B41">
        <f t="shared" si="2"/>
        <v>0.35929432189348243</v>
      </c>
      <c r="C41">
        <f t="shared" si="3"/>
        <v>0.34784336613302608</v>
      </c>
    </row>
    <row r="42" spans="1:3" ht="15" customHeight="1">
      <c r="A42">
        <v>0.8</v>
      </c>
      <c r="B42">
        <f t="shared" si="2"/>
        <v>0.33818160312506262</v>
      </c>
      <c r="C42">
        <f t="shared" si="3"/>
        <v>0.36915127303685441</v>
      </c>
    </row>
    <row r="43" spans="1:3" ht="15" customHeight="1">
      <c r="A43">
        <v>0.82</v>
      </c>
      <c r="B43">
        <f t="shared" si="2"/>
        <v>0.31752333458238696</v>
      </c>
      <c r="C43">
        <f t="shared" si="3"/>
        <v>0.39085171479619873</v>
      </c>
    </row>
    <row r="44" spans="1:3" ht="15" customHeight="1">
      <c r="A44">
        <v>0.84</v>
      </c>
      <c r="B44">
        <f t="shared" si="2"/>
        <v>0.29735911010600857</v>
      </c>
      <c r="C44">
        <f t="shared" si="3"/>
        <v>0.41289967759712398</v>
      </c>
    </row>
    <row r="45" spans="1:3" ht="15" customHeight="1">
      <c r="A45">
        <v>0.86</v>
      </c>
      <c r="B45">
        <f t="shared" si="2"/>
        <v>0.27772609081909505</v>
      </c>
      <c r="C45">
        <f t="shared" si="3"/>
        <v>0.43524819528255243</v>
      </c>
    </row>
    <row r="46" spans="1:3" ht="15" customHeight="1">
      <c r="A46">
        <v>0.88</v>
      </c>
      <c r="B46">
        <f t="shared" si="2"/>
        <v>0.25865888555036481</v>
      </c>
      <c r="C46">
        <f t="shared" si="3"/>
        <v>0.4578485054270649</v>
      </c>
    </row>
    <row r="47" spans="1:3" ht="15" customHeight="1">
      <c r="A47">
        <v>0.9</v>
      </c>
      <c r="B47">
        <f t="shared" si="2"/>
        <v>0.24018944069873299</v>
      </c>
      <c r="C47">
        <f t="shared" si="3"/>
        <v>0.48065021216215509</v>
      </c>
    </row>
    <row r="48" spans="1:3" ht="15" customHeight="1">
      <c r="A48">
        <v>0.92</v>
      </c>
      <c r="B48">
        <f t="shared" si="2"/>
        <v>0.22234693993026391</v>
      </c>
      <c r="C48">
        <f t="shared" si="3"/>
        <v>0.50360145517101063</v>
      </c>
    </row>
    <row r="49" spans="1:3" ht="15" customHeight="1">
      <c r="A49">
        <v>0.94</v>
      </c>
      <c r="B49">
        <f t="shared" si="2"/>
        <v>0.20515771406254696</v>
      </c>
      <c r="C49">
        <f t="shared" si="3"/>
        <v>0.52664908424957213</v>
      </c>
    </row>
    <row r="50" spans="1:3" ht="15" customHeight="1">
      <c r="A50">
        <v>0.96</v>
      </c>
      <c r="B50">
        <f t="shared" si="2"/>
        <v>0.18864516145484883</v>
      </c>
      <c r="C50">
        <f t="shared" si="3"/>
        <v>0.54973883881047103</v>
      </c>
    </row>
    <row r="51" spans="1:3" ht="15" customHeight="1">
      <c r="A51">
        <v>0.98</v>
      </c>
      <c r="B51">
        <f t="shared" si="2"/>
        <v>0.17282967918449194</v>
      </c>
      <c r="C51">
        <f t="shared" si="3"/>
        <v>0.57281553168853527</v>
      </c>
    </row>
    <row r="52" spans="1:3" ht="15" customHeight="1">
      <c r="A52">
        <v>1</v>
      </c>
      <c r="B52">
        <f t="shared" si="2"/>
        <v>0.15772860525099347</v>
      </c>
      <c r="C52">
        <f t="shared" si="3"/>
        <v>0.5958232365909556</v>
      </c>
    </row>
    <row r="53" spans="1:3" ht="15" customHeight="1">
      <c r="A53">
        <v>1.02</v>
      </c>
      <c r="B53">
        <f t="shared" si="2"/>
        <v>0.1433561720097255</v>
      </c>
      <c r="C53">
        <f t="shared" si="3"/>
        <v>0.61870547852195501</v>
      </c>
    </row>
    <row r="54" spans="1:3" ht="15" customHeight="1">
      <c r="A54">
        <v>1.04</v>
      </c>
      <c r="B54">
        <f t="shared" si="2"/>
        <v>0.12972347099635173</v>
      </c>
      <c r="C54">
        <f t="shared" si="3"/>
        <v>0.64140542650097987</v>
      </c>
    </row>
    <row r="55" spans="1:3" ht="15" customHeight="1">
      <c r="A55">
        <v>1.06</v>
      </c>
      <c r="B55">
        <f t="shared" si="2"/>
        <v>0.1168384292622154</v>
      </c>
      <c r="C55">
        <f t="shared" si="3"/>
        <v>0.66386608788504853</v>
      </c>
    </row>
    <row r="56" spans="1:3" ht="15" customHeight="1">
      <c r="A56">
        <v>1.08</v>
      </c>
      <c r="B56">
        <f t="shared" si="2"/>
        <v>0.1047057972993474</v>
      </c>
      <c r="C56">
        <f t="shared" si="3"/>
        <v>0.68603050359998774</v>
      </c>
    </row>
    <row r="57" spans="1:3" ht="15" customHeight="1">
      <c r="A57">
        <v>1.1000000000000001</v>
      </c>
      <c r="B57">
        <f t="shared" si="2"/>
        <v>9.332714859196678E-2</v>
      </c>
      <c r="C57">
        <f t="shared" si="3"/>
        <v>0.70784194358188879</v>
      </c>
    </row>
    <row r="58" spans="1:3" ht="15" customHeight="1">
      <c r="A58">
        <v>1.1200000000000001</v>
      </c>
      <c r="B58">
        <f t="shared" si="2"/>
        <v>8.2700890789431616E-2</v>
      </c>
      <c r="C58">
        <f t="shared" si="3"/>
        <v>0.72924410172922394</v>
      </c>
    </row>
    <row r="59" spans="1:3" ht="15" customHeight="1">
      <c r="A59">
        <v>1.1399999999999999</v>
      </c>
      <c r="B59">
        <f t="shared" si="2"/>
        <v>7.2822288453693901E-2</v>
      </c>
      <c r="C59">
        <f t="shared" si="3"/>
        <v>0.75018128966769326</v>
      </c>
    </row>
    <row r="60" spans="1:3" ht="15" customHeight="1">
      <c r="A60">
        <v>1.1599999999999999</v>
      </c>
      <c r="B60">
        <f t="shared" si="2"/>
        <v>6.3683497292585947E-2</v>
      </c>
      <c r="C60">
        <f t="shared" si="3"/>
        <v>0.77059862863400852</v>
      </c>
    </row>
    <row r="61" spans="1:3" ht="15" customHeight="1">
      <c r="A61">
        <v>1.18</v>
      </c>
      <c r="B61">
        <f t="shared" si="2"/>
        <v>5.5273609748860524E-2</v>
      </c>
      <c r="C61">
        <f t="shared" si="3"/>
        <v>0.7904422387914477</v>
      </c>
    </row>
    <row r="62" spans="1:3" ht="15" customHeight="1">
      <c r="A62">
        <v>1.2</v>
      </c>
      <c r="B62">
        <f t="shared" si="2"/>
        <v>4.7578711773968448E-2</v>
      </c>
      <c r="C62">
        <f t="shared" si="3"/>
        <v>0.80965942529913271</v>
      </c>
    </row>
    <row r="63" spans="1:3" ht="15" customHeight="1">
      <c r="A63">
        <v>1.22</v>
      </c>
      <c r="B63">
        <f t="shared" si="2"/>
        <v>4.0581950575244045E-2</v>
      </c>
      <c r="C63">
        <f t="shared" si="3"/>
        <v>0.82819886046851199</v>
      </c>
    </row>
    <row r="64" spans="1:3" ht="15" customHeight="1">
      <c r="A64">
        <v>1.24</v>
      </c>
      <c r="B64">
        <f t="shared" si="2"/>
        <v>3.4263613085612155E-2</v>
      </c>
      <c r="C64">
        <f t="shared" si="3"/>
        <v>0.84601076135447595</v>
      </c>
    </row>
    <row r="65" spans="1:3" ht="15" customHeight="1">
      <c r="A65">
        <v>1.26</v>
      </c>
      <c r="B65">
        <f t="shared" si="2"/>
        <v>2.8601214866284305E-2</v>
      </c>
      <c r="C65">
        <f t="shared" si="3"/>
        <v>0.86304706214482785</v>
      </c>
    </row>
    <row r="66" spans="1:3" ht="15" customHeight="1">
      <c r="A66">
        <v>1.28</v>
      </c>
      <c r="B66">
        <f t="shared" ref="B66:B97" si="4">COS(A66)^3</f>
        <v>2.3569599115307312E-2</v>
      </c>
      <c r="C66">
        <f t="shared" ref="C66:C102" si="5">SIN(A66)^3</f>
        <v>0.87926158073039584</v>
      </c>
    </row>
    <row r="67" spans="1:3" ht="15" customHeight="1">
      <c r="A67">
        <v>1.3</v>
      </c>
      <c r="B67">
        <f t="shared" si="4"/>
        <v>1.9141045418405511E-2</v>
      </c>
      <c r="C67">
        <f t="shared" si="5"/>
        <v>0.89461017885888816</v>
      </c>
    </row>
    <row r="68" spans="1:3" ht="15" customHeight="1">
      <c r="A68">
        <v>1.32</v>
      </c>
      <c r="B68">
        <f t="shared" si="4"/>
        <v>1.5285387843445653E-2</v>
      </c>
      <c r="C68">
        <f t="shared" si="5"/>
        <v>0.90905091529852367</v>
      </c>
    </row>
    <row r="69" spans="1:3" ht="15" customHeight="1">
      <c r="A69">
        <v>1.34</v>
      </c>
      <c r="B69">
        <f t="shared" si="4"/>
        <v>1.1970141946179787E-2</v>
      </c>
      <c r="C69">
        <f t="shared" si="5"/>
        <v>0.92254419146249567</v>
      </c>
    </row>
    <row r="70" spans="1:3" ht="15" customHeight="1">
      <c r="A70">
        <v>1.36</v>
      </c>
      <c r="B70">
        <f t="shared" si="4"/>
        <v>9.1606402228066441E-3</v>
      </c>
      <c r="C70">
        <f t="shared" si="5"/>
        <v>0.93505288897229744</v>
      </c>
    </row>
    <row r="71" spans="1:3" ht="15" customHeight="1">
      <c r="A71">
        <v>1.38</v>
      </c>
      <c r="B71">
        <f t="shared" si="4"/>
        <v>6.820175514451206E-3</v>
      </c>
      <c r="C71">
        <f t="shared" si="5"/>
        <v>0.94654249866681828</v>
      </c>
    </row>
    <row r="72" spans="1:3" ht="15" customHeight="1">
      <c r="A72">
        <v>1.4</v>
      </c>
      <c r="B72">
        <f t="shared" si="4"/>
        <v>4.9101518400058181E-3</v>
      </c>
      <c r="C72">
        <f t="shared" si="5"/>
        <v>0.9569812405947421</v>
      </c>
    </row>
    <row r="73" spans="1:3" ht="15" customHeight="1">
      <c r="A73">
        <v>1.42</v>
      </c>
      <c r="B73">
        <f t="shared" si="4"/>
        <v>3.3902421070074202E-3</v>
      </c>
      <c r="C73">
        <f t="shared" si="5"/>
        <v>0.96634017456008414</v>
      </c>
    </row>
    <row r="74" spans="1:3" ht="15" customHeight="1">
      <c r="A74">
        <v>1.44</v>
      </c>
      <c r="B74">
        <f t="shared" si="4"/>
        <v>2.2185521254389899E-3</v>
      </c>
      <c r="C74">
        <f t="shared" si="5"/>
        <v>0.97459330082456175</v>
      </c>
    </row>
    <row r="75" spans="1:3" ht="15" customHeight="1">
      <c r="A75">
        <v>1.46</v>
      </c>
      <c r="B75">
        <f t="shared" si="4"/>
        <v>1.351790326631308E-3</v>
      </c>
      <c r="C75">
        <f t="shared" si="5"/>
        <v>0.98171765060574956</v>
      </c>
    </row>
    <row r="76" spans="1:3" ht="15" customHeight="1">
      <c r="A76">
        <v>1.48</v>
      </c>
      <c r="B76">
        <f t="shared" si="4"/>
        <v>7.4544256888238577E-4</v>
      </c>
      <c r="C76">
        <f t="shared" si="5"/>
        <v>0.98769336604655911</v>
      </c>
    </row>
    <row r="77" spans="1:3" ht="15" customHeight="1">
      <c r="A77">
        <v>1.5</v>
      </c>
      <c r="B77">
        <f t="shared" si="4"/>
        <v>3.5395139308225601E-4</v>
      </c>
      <c r="C77">
        <f t="shared" si="5"/>
        <v>0.99250376936931506</v>
      </c>
    </row>
    <row r="78" spans="1:3" ht="15" customHeight="1">
      <c r="A78">
        <v>1.52</v>
      </c>
      <c r="B78">
        <f t="shared" si="4"/>
        <v>1.3089907559560142E-4</v>
      </c>
      <c r="C78">
        <f t="shared" si="5"/>
        <v>0.99613542096646979</v>
      </c>
    </row>
    <row r="79" spans="1:3" ht="15" customHeight="1">
      <c r="A79">
        <v>1.54</v>
      </c>
      <c r="B79">
        <f t="shared" si="4"/>
        <v>2.919381197167691E-5</v>
      </c>
      <c r="C79">
        <f t="shared" si="5"/>
        <v>0.99857816621967055</v>
      </c>
    </row>
    <row r="80" spans="1:3" ht="15" customHeight="1">
      <c r="A80">
        <v>1.56</v>
      </c>
      <c r="B80">
        <f t="shared" si="4"/>
        <v>1.2583537694728443E-6</v>
      </c>
      <c r="C80">
        <f t="shared" si="5"/>
        <v>0.99982517087929579</v>
      </c>
    </row>
    <row r="81" spans="1:3" ht="15" customHeight="1">
      <c r="A81">
        <v>1.58</v>
      </c>
      <c r="B81">
        <f t="shared" si="4"/>
        <v>-7.7958805337150398E-7</v>
      </c>
      <c r="C81">
        <f t="shared" si="5"/>
        <v>0.99987294487760148</v>
      </c>
    </row>
    <row r="82" spans="1:3" ht="15" customHeight="1">
      <c r="A82">
        <v>1.6</v>
      </c>
      <c r="B82">
        <f t="shared" si="4"/>
        <v>-2.4895866104902554E-5</v>
      </c>
      <c r="C82">
        <f t="shared" si="5"/>
        <v>0.99872135449008892</v>
      </c>
    </row>
    <row r="83" spans="1:3" ht="15" customHeight="1">
      <c r="A83">
        <v>1.62</v>
      </c>
      <c r="B83">
        <f t="shared" si="4"/>
        <v>-1.1897804266213519E-4</v>
      </c>
      <c r="C83">
        <f t="shared" si="5"/>
        <v>0.99637362280148534</v>
      </c>
    </row>
    <row r="84" spans="1:3" ht="15" customHeight="1">
      <c r="A84">
        <v>1.64</v>
      </c>
      <c r="B84">
        <f t="shared" si="4"/>
        <v>-3.30633857056929E-4</v>
      </c>
      <c r="C84">
        <f t="shared" si="5"/>
        <v>0.99283631847466491</v>
      </c>
    </row>
    <row r="85" spans="1:3" ht="15" customHeight="1">
      <c r="A85">
        <v>1.66</v>
      </c>
      <c r="B85">
        <f t="shared" si="4"/>
        <v>-7.07000711330441E-4</v>
      </c>
      <c r="C85">
        <f t="shared" si="5"/>
        <v>0.98811933286278519</v>
      </c>
    </row>
    <row r="86" spans="1:3" ht="15" customHeight="1">
      <c r="A86">
        <v>1.68</v>
      </c>
      <c r="B86">
        <f t="shared" si="4"/>
        <v>-1.2945568674729306E-3</v>
      </c>
      <c r="C86">
        <f t="shared" si="5"/>
        <v>0.98223584554670917</v>
      </c>
    </row>
    <row r="87" spans="1:3" ht="15" customHeight="1">
      <c r="A87">
        <v>1.7</v>
      </c>
      <c r="B87">
        <f t="shared" si="4"/>
        <v>-2.1389350433983698E-3</v>
      </c>
      <c r="C87">
        <f t="shared" si="5"/>
        <v>0.97520227842128437</v>
      </c>
    </row>
    <row r="88" spans="1:3" ht="15" customHeight="1">
      <c r="A88">
        <v>1.72</v>
      </c>
      <c r="B88">
        <f t="shared" si="4"/>
        <v>-3.2847390861597586E-3</v>
      </c>
      <c r="C88">
        <f t="shared" si="5"/>
        <v>0.96703823849511483</v>
      </c>
    </row>
    <row r="89" spans="1:3" ht="15" customHeight="1">
      <c r="A89">
        <v>1.74</v>
      </c>
      <c r="B89">
        <f t="shared" si="4"/>
        <v>-4.7753643898226653E-3</v>
      </c>
      <c r="C89">
        <f t="shared" si="5"/>
        <v>0.95776644960892066</v>
      </c>
    </row>
    <row r="90" spans="1:3" ht="15" customHeight="1">
      <c r="A90">
        <v>1.76</v>
      </c>
      <c r="B90">
        <f t="shared" si="4"/>
        <v>-6.6528227119210552E-3</v>
      </c>
      <c r="C90">
        <f t="shared" si="5"/>
        <v>0.94741267331731804</v>
      </c>
    </row>
    <row r="91" spans="1:3" ht="15" customHeight="1">
      <c r="A91">
        <v>1.78</v>
      </c>
      <c r="B91">
        <f t="shared" si="4"/>
        <v>-8.9575720265695248E-3</v>
      </c>
      <c r="C91">
        <f t="shared" si="5"/>
        <v>0.93600561921768832</v>
      </c>
    </row>
    <row r="92" spans="1:3" ht="15" customHeight="1">
      <c r="A92">
        <v>1.8</v>
      </c>
      <c r="B92">
        <f t="shared" si="4"/>
        <v>-1.1728352034156708E-2</v>
      </c>
      <c r="C92">
        <f t="shared" si="5"/>
        <v>0.92357684504764315</v>
      </c>
    </row>
    <row r="93" spans="1:3" ht="15" customHeight="1">
      <c r="A93">
        <v>1.82</v>
      </c>
      <c r="B93">
        <f t="shared" si="4"/>
        <v>-1.5002025927161213E-2</v>
      </c>
      <c r="C93">
        <f t="shared" si="5"/>
        <v>0.91016064690925613</v>
      </c>
    </row>
    <row r="94" spans="1:3" ht="15" customHeight="1">
      <c r="A94">
        <v>1.84</v>
      </c>
      <c r="B94">
        <f t="shared" si="4"/>
        <v>-1.8813428989087267E-2</v>
      </c>
      <c r="C94">
        <f t="shared" si="5"/>
        <v>0.89579394001361767</v>
      </c>
    </row>
    <row r="95" spans="1:3" ht="15" customHeight="1">
      <c r="A95">
        <v>1.86</v>
      </c>
      <c r="B95">
        <f t="shared" si="4"/>
        <v>-2.3195224578893479E-2</v>
      </c>
      <c r="C95">
        <f t="shared" si="5"/>
        <v>0.8805161303732314</v>
      </c>
    </row>
    <row r="96" spans="1:3" ht="15" customHeight="1">
      <c r="A96">
        <v>1.88</v>
      </c>
      <c r="B96">
        <f t="shared" si="4"/>
        <v>-2.8177768026673478E-2</v>
      </c>
      <c r="C96">
        <f t="shared" si="5"/>
        <v>0.86436897790220735</v>
      </c>
    </row>
    <row r="97" spans="1:3" ht="15" customHeight="1">
      <c r="A97">
        <v>1.9</v>
      </c>
      <c r="B97">
        <f t="shared" si="4"/>
        <v>-3.3788978937837624E-2</v>
      </c>
      <c r="C97">
        <f t="shared" si="5"/>
        <v>0.84739645141497033</v>
      </c>
    </row>
    <row r="98" spans="1:3" ht="15" customHeight="1">
      <c r="A98">
        <v>1.92</v>
      </c>
      <c r="B98">
        <f t="shared" ref="B98:B102" si="6">COS(A98)^3</f>
        <v>-4.0054222372741574E-2</v>
      </c>
      <c r="C98">
        <f t="shared" si="5"/>
        <v>0.82964457604321928</v>
      </c>
    </row>
    <row r="99" spans="1:3" ht="15" customHeight="1">
      <c r="A99">
        <v>1.94</v>
      </c>
      <c r="B99">
        <f t="shared" si="6"/>
        <v>-4.6996199336723547E-2</v>
      </c>
      <c r="C99">
        <f t="shared" si="5"/>
        <v>0.81116127361800794</v>
      </c>
    </row>
    <row r="100" spans="1:3" ht="15" customHeight="1">
      <c r="A100">
        <v>1.96</v>
      </c>
      <c r="B100">
        <f t="shared" si="6"/>
        <v>-5.4634846981956108E-2</v>
      </c>
      <c r="C100">
        <f t="shared" si="5"/>
        <v>0.79199619658898968</v>
      </c>
    </row>
    <row r="101" spans="1:3" ht="15" customHeight="1">
      <c r="A101">
        <v>1.98</v>
      </c>
      <c r="B101">
        <f t="shared" si="6"/>
        <v>-6.2987248887517625E-2</v>
      </c>
      <c r="C101">
        <f t="shared" si="5"/>
        <v>0.77220055607598348</v>
      </c>
    </row>
    <row r="102" spans="1:3" ht="15" customHeight="1">
      <c r="A102">
        <v>2</v>
      </c>
      <c r="B102">
        <f t="shared" si="6"/>
        <v>-7.2067555747765299E-2</v>
      </c>
      <c r="C102">
        <f t="shared" si="5"/>
        <v>0.7518269446689928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7"/>
  <dimension ref="A1:E102"/>
  <sheetViews>
    <sheetView zoomScaleNormal="100" workbookViewId="0">
      <selection activeCell="E1" sqref="E1"/>
    </sheetView>
  </sheetViews>
  <sheetFormatPr defaultColWidth="8.7109375" defaultRowHeight="15"/>
  <cols>
    <col min="2" max="5" width="17.7109375" customWidth="1"/>
  </cols>
  <sheetData>
    <row r="1" spans="1:5" ht="15" customHeight="1">
      <c r="A1" s="3" t="s">
        <v>3</v>
      </c>
      <c r="B1" s="3" t="s">
        <v>5</v>
      </c>
      <c r="C1" s="3" t="s">
        <v>6</v>
      </c>
      <c r="D1" s="3" t="s">
        <v>7</v>
      </c>
      <c r="E1" s="3" t="s">
        <v>8</v>
      </c>
    </row>
    <row r="2" spans="1:5" ht="15" customHeight="1">
      <c r="A2" s="4">
        <v>-10</v>
      </c>
      <c r="B2" s="4">
        <f t="shared" ref="B2:B33" si="0">3*SIN(0.5*PI()*A2)*SIN(0.3*PI()*A2)-0.5*COS(PI()*A2)</f>
        <v>-0.5</v>
      </c>
      <c r="C2" s="4">
        <f t="shared" ref="C2:C33" si="1">IFERROR(COS(PI()*A2)*(SIN(PI()*A2))/(1+COS(PI()*A2))+2*COS(5*PI()*A2), "")</f>
        <v>2.0000000000000004</v>
      </c>
      <c r="D2" s="4">
        <f t="shared" ref="D2:D33" si="2">IFERROR(((4*COS(PI()*A2)*SIN(5*PI()*A2))/A2)-A2, "")</f>
        <v>10</v>
      </c>
      <c r="E2" s="4">
        <f t="shared" ref="E2:E33" si="3">IFERROR((2*COS(3*PI()*A2))/LN(ABS(A2)), "")</f>
        <v>0.86858896380650352</v>
      </c>
    </row>
    <row r="3" spans="1:5" ht="15" customHeight="1">
      <c r="A3" s="4">
        <v>-9.8000000000000007</v>
      </c>
      <c r="B3" s="4">
        <f t="shared" si="0"/>
        <v>-0.23079646528155431</v>
      </c>
      <c r="C3" s="4">
        <f t="shared" si="1"/>
        <v>-1.7371344439404339</v>
      </c>
      <c r="D3" s="4">
        <f t="shared" si="2"/>
        <v>9.7999999999999972</v>
      </c>
      <c r="E3" s="4">
        <f t="shared" si="3"/>
        <v>-0.27078459447832121</v>
      </c>
    </row>
    <row r="4" spans="1:5" ht="15" customHeight="1">
      <c r="A4" s="4">
        <v>-9.6</v>
      </c>
      <c r="B4" s="4">
        <f t="shared" si="0"/>
        <v>0.49462605203697907</v>
      </c>
      <c r="C4" s="4">
        <f t="shared" si="1"/>
        <v>2.2245139882897922</v>
      </c>
      <c r="D4" s="4">
        <f t="shared" si="2"/>
        <v>9.6</v>
      </c>
      <c r="E4" s="4">
        <f t="shared" si="3"/>
        <v>-0.71538614713526794</v>
      </c>
    </row>
    <row r="5" spans="1:5" ht="15" customHeight="1">
      <c r="A5" s="4">
        <v>-9.4</v>
      </c>
      <c r="B5" s="4">
        <f t="shared" si="0"/>
        <v>1.4549874467258832</v>
      </c>
      <c r="C5" s="4">
        <f t="shared" si="1"/>
        <v>-2.4253254041760219</v>
      </c>
      <c r="D5" s="4">
        <f t="shared" si="2"/>
        <v>9.4</v>
      </c>
      <c r="E5" s="4">
        <f t="shared" si="3"/>
        <v>0.72210781989911899</v>
      </c>
    </row>
    <row r="6" spans="1:5" ht="15" customHeight="1">
      <c r="A6" s="4">
        <v>-9.1999999999999993</v>
      </c>
      <c r="B6" s="4">
        <f t="shared" si="0"/>
        <v>2.357637454600884</v>
      </c>
      <c r="C6" s="4">
        <f t="shared" si="1"/>
        <v>-0.48989828488280951</v>
      </c>
      <c r="D6" s="4">
        <f t="shared" si="2"/>
        <v>9.2000000000000046</v>
      </c>
      <c r="E6" s="4">
        <f t="shared" si="3"/>
        <v>0.27849360961735009</v>
      </c>
    </row>
    <row r="7" spans="1:5" ht="15" customHeight="1">
      <c r="A7" s="4">
        <v>-9</v>
      </c>
      <c r="B7" s="4">
        <f t="shared" si="0"/>
        <v>2.9270509831248432</v>
      </c>
      <c r="C7" s="4" t="str">
        <f t="shared" si="1"/>
        <v/>
      </c>
      <c r="D7" s="4">
        <f t="shared" si="2"/>
        <v>9</v>
      </c>
      <c r="E7" s="4">
        <f t="shared" si="3"/>
        <v>-0.91023922662683732</v>
      </c>
    </row>
    <row r="8" spans="1:5" ht="15" customHeight="1">
      <c r="A8" s="4">
        <v>-8.8000000000000007</v>
      </c>
      <c r="B8" s="4">
        <f t="shared" si="0"/>
        <v>2.986133490291309</v>
      </c>
      <c r="C8" s="4">
        <f t="shared" si="1"/>
        <v>4.4898982848827957</v>
      </c>
      <c r="D8" s="4">
        <f t="shared" si="2"/>
        <v>8.7999999999999972</v>
      </c>
      <c r="E8" s="4">
        <f t="shared" si="3"/>
        <v>0.28418599817367807</v>
      </c>
    </row>
    <row r="9" spans="1:5" ht="15" customHeight="1">
      <c r="A9" s="4">
        <v>-8.6</v>
      </c>
      <c r="B9" s="4">
        <f t="shared" si="0"/>
        <v>2.505309210642884</v>
      </c>
      <c r="C9" s="4">
        <f t="shared" si="1"/>
        <v>-1.5746745958239821</v>
      </c>
      <c r="D9" s="4">
        <f t="shared" si="2"/>
        <v>8.5999999999999979</v>
      </c>
      <c r="E9" s="4">
        <f t="shared" si="3"/>
        <v>0.751957621664196</v>
      </c>
    </row>
    <row r="10" spans="1:5" ht="15" customHeight="1">
      <c r="A10" s="4">
        <v>-8.4</v>
      </c>
      <c r="B10" s="4">
        <f t="shared" si="0"/>
        <v>1.6053676799040539</v>
      </c>
      <c r="C10" s="4">
        <f t="shared" si="1"/>
        <v>1.7754860117102069</v>
      </c>
      <c r="D10" s="4">
        <f t="shared" si="2"/>
        <v>8.4</v>
      </c>
      <c r="E10" s="4">
        <f t="shared" si="3"/>
        <v>-0.76027153636648592</v>
      </c>
    </row>
    <row r="11" spans="1:5" ht="15" customHeight="1">
      <c r="A11" s="4">
        <v>-8.1999999999999993</v>
      </c>
      <c r="B11" s="4">
        <f t="shared" si="0"/>
        <v>0.51523241203871417</v>
      </c>
      <c r="C11" s="4">
        <f t="shared" si="1"/>
        <v>-2.2628655560595656</v>
      </c>
      <c r="D11" s="4">
        <f t="shared" si="2"/>
        <v>8.2000000000000046</v>
      </c>
      <c r="E11" s="4">
        <f t="shared" si="3"/>
        <v>-0.29372366181862569</v>
      </c>
    </row>
    <row r="12" spans="1:5" ht="15" customHeight="1">
      <c r="A12" s="4">
        <v>-8</v>
      </c>
      <c r="B12" s="4">
        <f t="shared" si="0"/>
        <v>-0.50000000000000144</v>
      </c>
      <c r="C12" s="4">
        <f t="shared" si="1"/>
        <v>2.0000000000000004</v>
      </c>
      <c r="D12" s="4">
        <f t="shared" si="2"/>
        <v>7.9999999999999973</v>
      </c>
      <c r="E12" s="4">
        <f t="shared" si="3"/>
        <v>0.96179669392597567</v>
      </c>
    </row>
    <row r="13" spans="1:5" ht="15" customHeight="1">
      <c r="A13" s="4">
        <v>-7.8</v>
      </c>
      <c r="B13" s="4">
        <f t="shared" si="0"/>
        <v>-1.216889466441005</v>
      </c>
      <c r="C13" s="4">
        <f t="shared" si="1"/>
        <v>-1.737134443940433</v>
      </c>
      <c r="D13" s="4">
        <f t="shared" si="2"/>
        <v>7.8000000000000034</v>
      </c>
      <c r="E13" s="4">
        <f t="shared" si="3"/>
        <v>-0.30087476163765314</v>
      </c>
    </row>
    <row r="14" spans="1:5" ht="15" customHeight="1">
      <c r="A14" s="4">
        <v>-7.6</v>
      </c>
      <c r="B14" s="4">
        <f t="shared" si="0"/>
        <v>-1.5131974595864499</v>
      </c>
      <c r="C14" s="4">
        <f t="shared" si="1"/>
        <v>2.2245139882897922</v>
      </c>
      <c r="D14" s="4">
        <f t="shared" si="2"/>
        <v>7.5999999999999979</v>
      </c>
      <c r="E14" s="4">
        <f t="shared" si="3"/>
        <v>-0.7977888159359493</v>
      </c>
    </row>
    <row r="15" spans="1:5" ht="15" customHeight="1">
      <c r="A15" s="4">
        <v>-7.4</v>
      </c>
      <c r="B15" s="4">
        <f t="shared" si="0"/>
        <v>-1.3925520237994435</v>
      </c>
      <c r="C15" s="4">
        <f t="shared" si="1"/>
        <v>-2.4253254041760215</v>
      </c>
      <c r="D15" s="4">
        <f t="shared" si="2"/>
        <v>7.4</v>
      </c>
      <c r="E15" s="4">
        <f t="shared" si="3"/>
        <v>0.80841876440435767</v>
      </c>
    </row>
    <row r="16" spans="1:5" ht="15" customHeight="1">
      <c r="A16" s="4">
        <v>-7.2</v>
      </c>
      <c r="B16" s="4">
        <f t="shared" si="0"/>
        <v>-0.97001641582322939</v>
      </c>
      <c r="C16" s="4">
        <f t="shared" si="1"/>
        <v>-0.48989828488278508</v>
      </c>
      <c r="D16" s="4">
        <f t="shared" si="2"/>
        <v>7.200000000000002</v>
      </c>
      <c r="E16" s="4">
        <f t="shared" si="3"/>
        <v>0.31307427638636304</v>
      </c>
    </row>
    <row r="17" spans="1:5" ht="15" customHeight="1">
      <c r="A17" s="4">
        <v>-7</v>
      </c>
      <c r="B17" s="4">
        <f t="shared" si="0"/>
        <v>-0.42705098312484147</v>
      </c>
      <c r="C17" s="4" t="str">
        <f t="shared" si="1"/>
        <v/>
      </c>
      <c r="D17" s="4">
        <f t="shared" si="2"/>
        <v>6.9999999999999956</v>
      </c>
      <c r="E17" s="4">
        <f t="shared" si="3"/>
        <v>-1.0277966847395015</v>
      </c>
    </row>
    <row r="18" spans="1:5" ht="15" customHeight="1">
      <c r="A18" s="4">
        <v>-6.8</v>
      </c>
      <c r="B18" s="4">
        <f t="shared" si="0"/>
        <v>4.6911531718451693E-2</v>
      </c>
      <c r="C18" s="4">
        <f t="shared" si="1"/>
        <v>4.4898982848827753</v>
      </c>
      <c r="D18" s="4">
        <f t="shared" si="2"/>
        <v>6.8000000000000052</v>
      </c>
      <c r="E18" s="4">
        <f t="shared" si="3"/>
        <v>0.32240946234464624</v>
      </c>
    </row>
    <row r="19" spans="1:5" ht="15" customHeight="1">
      <c r="A19" s="4">
        <v>-6.6</v>
      </c>
      <c r="B19" s="4">
        <f t="shared" si="0"/>
        <v>0.3069042893420148</v>
      </c>
      <c r="C19" s="4">
        <f t="shared" si="1"/>
        <v>-1.5746745958239814</v>
      </c>
      <c r="D19" s="4">
        <f t="shared" si="2"/>
        <v>6.599999999999997</v>
      </c>
      <c r="E19" s="4">
        <f t="shared" si="3"/>
        <v>0.85743204527694905</v>
      </c>
    </row>
    <row r="20" spans="1:5" ht="15" customHeight="1">
      <c r="A20" s="4">
        <v>-6.4</v>
      </c>
      <c r="B20" s="4">
        <f t="shared" si="0"/>
        <v>0.28402024702186768</v>
      </c>
      <c r="C20" s="4">
        <f t="shared" si="1"/>
        <v>1.7754860117102069</v>
      </c>
      <c r="D20" s="4">
        <f t="shared" si="2"/>
        <v>6.3999999999999995</v>
      </c>
      <c r="E20" s="4">
        <f t="shared" si="3"/>
        <v>-0.87164560708876326</v>
      </c>
    </row>
    <row r="21" spans="1:5" ht="15" customHeight="1">
      <c r="A21" s="4">
        <v>-6.2</v>
      </c>
      <c r="B21" s="4">
        <f t="shared" si="0"/>
        <v>-9.789386347874629E-3</v>
      </c>
      <c r="C21" s="4">
        <f t="shared" si="1"/>
        <v>-2.2628655560595665</v>
      </c>
      <c r="D21" s="4">
        <f t="shared" si="2"/>
        <v>6.2000000000000037</v>
      </c>
      <c r="E21" s="4">
        <f t="shared" si="3"/>
        <v>-0.33873241542032634</v>
      </c>
    </row>
    <row r="22" spans="1:5" ht="15" customHeight="1">
      <c r="A22" s="4">
        <v>-6</v>
      </c>
      <c r="B22" s="4">
        <f t="shared" si="0"/>
        <v>-0.50000000000000067</v>
      </c>
      <c r="C22" s="4">
        <f t="shared" si="1"/>
        <v>2.0000000000000004</v>
      </c>
      <c r="D22" s="4">
        <f t="shared" si="2"/>
        <v>5.9999999999999929</v>
      </c>
      <c r="E22" s="4">
        <f t="shared" si="3"/>
        <v>1.1162212531024944</v>
      </c>
    </row>
    <row r="23" spans="1:5" ht="15" customHeight="1">
      <c r="A23" s="4">
        <v>-5.8</v>
      </c>
      <c r="B23" s="4">
        <f t="shared" si="0"/>
        <v>-1.0802995799056607</v>
      </c>
      <c r="C23" s="4">
        <f t="shared" si="1"/>
        <v>-1.737134443940433</v>
      </c>
      <c r="D23" s="4">
        <f t="shared" si="2"/>
        <v>5.8</v>
      </c>
      <c r="E23" s="4">
        <f t="shared" si="3"/>
        <v>-0.35158358510024001</v>
      </c>
    </row>
    <row r="24" spans="1:5" ht="15" customHeight="1">
      <c r="A24" s="4">
        <v>-5.6</v>
      </c>
      <c r="B24" s="4">
        <f t="shared" si="0"/>
        <v>-1.6433590053138221</v>
      </c>
      <c r="C24" s="4">
        <f t="shared" si="1"/>
        <v>2.2245139882897922</v>
      </c>
      <c r="D24" s="4">
        <f t="shared" si="2"/>
        <v>5.5999999999999988</v>
      </c>
      <c r="E24" s="4">
        <f t="shared" si="3"/>
        <v>-0.93920673344344108</v>
      </c>
    </row>
    <row r="25" spans="1:5" ht="15" customHeight="1">
      <c r="A25" s="4">
        <v>-5.4</v>
      </c>
      <c r="B25" s="4">
        <f t="shared" si="0"/>
        <v>-2.1021064369739682</v>
      </c>
      <c r="C25" s="4">
        <f t="shared" si="1"/>
        <v>-2.425325404176021</v>
      </c>
      <c r="D25" s="4">
        <f t="shared" si="2"/>
        <v>5.4000000000000021</v>
      </c>
      <c r="E25" s="4">
        <f t="shared" si="3"/>
        <v>0.95946097767933125</v>
      </c>
    </row>
    <row r="26" spans="1:5" ht="15" customHeight="1">
      <c r="A26" s="4">
        <v>-5.2</v>
      </c>
      <c r="B26" s="4">
        <f t="shared" si="0"/>
        <v>-2.3981235748500387</v>
      </c>
      <c r="C26" s="4">
        <f t="shared" si="1"/>
        <v>-0.48989828488278375</v>
      </c>
      <c r="D26" s="4">
        <f t="shared" si="2"/>
        <v>5.1999999999999975</v>
      </c>
      <c r="E26" s="4">
        <f t="shared" si="3"/>
        <v>0.3748708065805309</v>
      </c>
    </row>
    <row r="27" spans="1:5" ht="15" customHeight="1">
      <c r="A27" s="4">
        <v>-5</v>
      </c>
      <c r="B27" s="4">
        <f t="shared" si="0"/>
        <v>-2.5</v>
      </c>
      <c r="C27" s="4" t="str">
        <f t="shared" si="1"/>
        <v/>
      </c>
      <c r="D27" s="4">
        <f t="shared" si="2"/>
        <v>5</v>
      </c>
      <c r="E27" s="4">
        <f t="shared" si="3"/>
        <v>-1.2426698691192237</v>
      </c>
    </row>
    <row r="28" spans="1:5" ht="15" customHeight="1">
      <c r="A28" s="4">
        <v>-4.8</v>
      </c>
      <c r="B28" s="4">
        <f t="shared" si="0"/>
        <v>-2.3981235748500382</v>
      </c>
      <c r="C28" s="4">
        <f t="shared" si="1"/>
        <v>4.4898982848827771</v>
      </c>
      <c r="D28" s="4">
        <f t="shared" si="2"/>
        <v>4.8000000000000016</v>
      </c>
      <c r="E28" s="4">
        <f t="shared" si="3"/>
        <v>0.39399956464284913</v>
      </c>
    </row>
    <row r="29" spans="1:5" ht="15" customHeight="1">
      <c r="A29" s="4">
        <v>-4.5999999999999996</v>
      </c>
      <c r="B29" s="4">
        <f t="shared" si="0"/>
        <v>-2.1021064369739668</v>
      </c>
      <c r="C29" s="4">
        <f t="shared" si="1"/>
        <v>-1.5746745958239843</v>
      </c>
      <c r="D29" s="4">
        <f t="shared" si="2"/>
        <v>4.5999999999999979</v>
      </c>
      <c r="E29" s="4">
        <f t="shared" si="3"/>
        <v>1.0602714887020799</v>
      </c>
    </row>
    <row r="30" spans="1:5" ht="15" customHeight="1">
      <c r="A30" s="4">
        <v>-4.4000000000000004</v>
      </c>
      <c r="B30" s="4">
        <f t="shared" si="0"/>
        <v>-1.6433590053138218</v>
      </c>
      <c r="C30" s="4">
        <f t="shared" si="1"/>
        <v>1.7754860117102078</v>
      </c>
      <c r="D30" s="4">
        <f t="shared" si="2"/>
        <v>4.4000000000000012</v>
      </c>
      <c r="E30" s="4">
        <f t="shared" si="3"/>
        <v>-1.0920822284606237</v>
      </c>
    </row>
    <row r="31" spans="1:5" ht="15" customHeight="1">
      <c r="A31" s="4">
        <v>-4.2</v>
      </c>
      <c r="B31" s="4">
        <f t="shared" si="0"/>
        <v>-1.0802995799056596</v>
      </c>
      <c r="C31" s="4">
        <f t="shared" si="1"/>
        <v>-2.2628655560595665</v>
      </c>
      <c r="D31" s="4">
        <f t="shared" si="2"/>
        <v>4.1999999999999993</v>
      </c>
      <c r="E31" s="4">
        <f t="shared" si="3"/>
        <v>-0.43066033941471066</v>
      </c>
    </row>
    <row r="32" spans="1:5" ht="15" customHeight="1">
      <c r="A32" s="4">
        <v>-4</v>
      </c>
      <c r="B32" s="4">
        <f t="shared" si="0"/>
        <v>-0.49999999999999956</v>
      </c>
      <c r="C32" s="4">
        <f t="shared" si="1"/>
        <v>2.0000000000000004</v>
      </c>
      <c r="D32" s="4">
        <f t="shared" si="2"/>
        <v>3.9999999999999973</v>
      </c>
      <c r="E32" s="4">
        <f t="shared" si="3"/>
        <v>1.4426950408889634</v>
      </c>
    </row>
    <row r="33" spans="1:5" ht="15" customHeight="1">
      <c r="A33" s="4">
        <v>-3.8</v>
      </c>
      <c r="B33" s="4">
        <f t="shared" si="0"/>
        <v>-9.7893863478742404E-3</v>
      </c>
      <c r="C33" s="4">
        <f t="shared" si="1"/>
        <v>-1.737134443940433</v>
      </c>
      <c r="D33" s="4">
        <f t="shared" si="2"/>
        <v>3.8000000000000047</v>
      </c>
      <c r="E33" s="4">
        <f t="shared" si="3"/>
        <v>-0.46294643813480674</v>
      </c>
    </row>
    <row r="34" spans="1:5" ht="15" customHeight="1">
      <c r="A34" s="4">
        <v>-3.6</v>
      </c>
      <c r="B34" s="4">
        <f t="shared" ref="B34:B65" si="4">3*SIN(0.5*PI()*A34)*SIN(0.3*PI()*A34)-0.5*COS(PI()*A34)</f>
        <v>0.28402024702186884</v>
      </c>
      <c r="C34" s="4">
        <f t="shared" ref="C34:C65" si="5">IFERROR(COS(PI()*A34)*(SIN(PI()*A34))/(1+COS(PI()*A34))+2*COS(5*PI()*A34), "")</f>
        <v>2.2245139882897926</v>
      </c>
      <c r="D34" s="4">
        <f t="shared" ref="D34:D65" si="6">IFERROR(((4*COS(PI()*A34)*SIN(5*PI()*A34))/A34)-A34, "")</f>
        <v>3.5999999999999992</v>
      </c>
      <c r="E34" s="4">
        <f t="shared" ref="E34:E65" si="7">IFERROR((2*COS(3*PI()*A34))/LN(ABS(A34)), "")</f>
        <v>-1.2631674886896511</v>
      </c>
    </row>
    <row r="35" spans="1:5" ht="15" customHeight="1">
      <c r="A35" s="4">
        <v>-3.4</v>
      </c>
      <c r="B35" s="4">
        <f t="shared" si="4"/>
        <v>0.30690428934201353</v>
      </c>
      <c r="C35" s="4">
        <f t="shared" si="5"/>
        <v>-2.4253254041760206</v>
      </c>
      <c r="D35" s="4">
        <f t="shared" si="6"/>
        <v>3.3999999999999977</v>
      </c>
      <c r="E35" s="4">
        <f t="shared" si="7"/>
        <v>1.3221657723633122</v>
      </c>
    </row>
    <row r="36" spans="1:5" ht="15" customHeight="1">
      <c r="A36" s="4">
        <v>-3.2</v>
      </c>
      <c r="B36" s="4">
        <f t="shared" si="4"/>
        <v>4.6911531718452248E-2</v>
      </c>
      <c r="C36" s="4">
        <f t="shared" si="5"/>
        <v>-0.48989828488278286</v>
      </c>
      <c r="D36" s="4">
        <f t="shared" si="6"/>
        <v>3.200000000000002</v>
      </c>
      <c r="E36" s="4">
        <f t="shared" si="7"/>
        <v>0.53134467477449721</v>
      </c>
    </row>
    <row r="37" spans="1:5" ht="15" customHeight="1">
      <c r="A37" s="4">
        <v>-3</v>
      </c>
      <c r="B37" s="4">
        <f t="shared" si="4"/>
        <v>-0.42705098312484258</v>
      </c>
      <c r="C37" s="4" t="str">
        <f t="shared" si="5"/>
        <v/>
      </c>
      <c r="D37" s="4">
        <f t="shared" si="6"/>
        <v>2.9999999999999929</v>
      </c>
      <c r="E37" s="4">
        <f t="shared" si="7"/>
        <v>-1.8204784532536746</v>
      </c>
    </row>
    <row r="38" spans="1:5" ht="15" customHeight="1">
      <c r="A38" s="4">
        <v>-2.8</v>
      </c>
      <c r="B38" s="4">
        <f t="shared" si="4"/>
        <v>-0.9700164158232315</v>
      </c>
      <c r="C38" s="4">
        <f t="shared" si="5"/>
        <v>4.4898982848827789</v>
      </c>
      <c r="D38" s="4">
        <f t="shared" si="6"/>
        <v>2.8000000000000016</v>
      </c>
      <c r="E38" s="4">
        <f t="shared" si="7"/>
        <v>0.60025479166070905</v>
      </c>
    </row>
    <row r="39" spans="1:5" ht="15" customHeight="1">
      <c r="A39" s="4">
        <v>-2.6</v>
      </c>
      <c r="B39" s="4">
        <f t="shared" si="4"/>
        <v>-1.3925520237994433</v>
      </c>
      <c r="C39" s="4">
        <f t="shared" si="5"/>
        <v>-1.5746745958239807</v>
      </c>
      <c r="D39" s="4">
        <f t="shared" si="6"/>
        <v>2.600000000000001</v>
      </c>
      <c r="E39" s="4">
        <f t="shared" si="7"/>
        <v>1.6933695532065907</v>
      </c>
    </row>
    <row r="40" spans="1:5" ht="15" customHeight="1">
      <c r="A40" s="4">
        <v>-2.4</v>
      </c>
      <c r="B40" s="4">
        <f t="shared" si="4"/>
        <v>-1.5131974595864504</v>
      </c>
      <c r="C40" s="4">
        <f t="shared" si="5"/>
        <v>1.7754860117102071</v>
      </c>
      <c r="D40" s="4">
        <f t="shared" si="6"/>
        <v>2.399999999999999</v>
      </c>
      <c r="E40" s="4">
        <f t="shared" si="7"/>
        <v>-1.8481916254832764</v>
      </c>
    </row>
    <row r="41" spans="1:5" ht="15" customHeight="1">
      <c r="A41" s="4">
        <v>-2.2000000000000002</v>
      </c>
      <c r="B41" s="4">
        <f t="shared" si="4"/>
        <v>-1.2168894664410046</v>
      </c>
      <c r="C41" s="4">
        <f t="shared" si="5"/>
        <v>-2.262865556059567</v>
      </c>
      <c r="D41" s="4">
        <f t="shared" si="6"/>
        <v>2.1999999999999971</v>
      </c>
      <c r="E41" s="4">
        <f t="shared" si="7"/>
        <v>-0.78385213940340326</v>
      </c>
    </row>
    <row r="42" spans="1:5" ht="15" customHeight="1">
      <c r="A42" s="4">
        <v>-2</v>
      </c>
      <c r="B42" s="4">
        <f t="shared" si="4"/>
        <v>-0.49999999999999967</v>
      </c>
      <c r="C42" s="4">
        <f t="shared" si="5"/>
        <v>2</v>
      </c>
      <c r="D42" s="4">
        <f t="shared" si="6"/>
        <v>1.9999999999999976</v>
      </c>
      <c r="E42" s="4">
        <f t="shared" si="7"/>
        <v>2.8853900817779268</v>
      </c>
    </row>
    <row r="43" spans="1:5" ht="15" customHeight="1">
      <c r="A43" s="4">
        <v>-1.8</v>
      </c>
      <c r="B43" s="4">
        <f t="shared" si="4"/>
        <v>0.51523241203872261</v>
      </c>
      <c r="C43" s="4">
        <f t="shared" si="5"/>
        <v>-1.737134443940433</v>
      </c>
      <c r="D43" s="4">
        <f t="shared" si="6"/>
        <v>1.800000000000002</v>
      </c>
      <c r="E43" s="4">
        <f t="shared" si="7"/>
        <v>-1.0514596972913872</v>
      </c>
    </row>
    <row r="44" spans="1:5" ht="15" customHeight="1">
      <c r="A44" s="4">
        <v>-1.6</v>
      </c>
      <c r="B44" s="4">
        <f t="shared" si="4"/>
        <v>1.6053676799040559</v>
      </c>
      <c r="C44" s="4">
        <f t="shared" si="5"/>
        <v>2.2245139882897926</v>
      </c>
      <c r="D44" s="4">
        <f t="shared" si="6"/>
        <v>1.5999999999999994</v>
      </c>
      <c r="E44" s="4">
        <f t="shared" si="7"/>
        <v>-3.4425989249200564</v>
      </c>
    </row>
    <row r="45" spans="1:5" ht="15" customHeight="1">
      <c r="A45" s="4">
        <v>-1.4</v>
      </c>
      <c r="B45" s="4">
        <f t="shared" si="4"/>
        <v>2.5053092106428854</v>
      </c>
      <c r="C45" s="4">
        <f t="shared" si="5"/>
        <v>-2.4253254041760202</v>
      </c>
      <c r="D45" s="4">
        <f t="shared" si="6"/>
        <v>1.3999999999999992</v>
      </c>
      <c r="E45" s="4">
        <f t="shared" si="7"/>
        <v>4.8088187156178765</v>
      </c>
    </row>
    <row r="46" spans="1:5" ht="15" customHeight="1">
      <c r="A46" s="4">
        <v>-1.2</v>
      </c>
      <c r="B46" s="4">
        <f t="shared" si="4"/>
        <v>2.9861334902913081</v>
      </c>
      <c r="C46" s="4">
        <f t="shared" si="5"/>
        <v>-0.48989828488278198</v>
      </c>
      <c r="D46" s="4">
        <f t="shared" si="6"/>
        <v>1.200000000000002</v>
      </c>
      <c r="E46" s="4">
        <f t="shared" si="7"/>
        <v>3.3898020597111684</v>
      </c>
    </row>
    <row r="47" spans="1:5" ht="15" customHeight="1">
      <c r="A47" s="4">
        <v>-1</v>
      </c>
      <c r="B47" s="4">
        <f t="shared" si="4"/>
        <v>2.9270509831248424</v>
      </c>
      <c r="C47" s="4" t="str">
        <f t="shared" si="5"/>
        <v/>
      </c>
      <c r="D47" s="4">
        <f t="shared" si="6"/>
        <v>0.99999999999999756</v>
      </c>
      <c r="E47" s="4" t="str">
        <f t="shared" si="7"/>
        <v/>
      </c>
    </row>
    <row r="48" spans="1:5" ht="15" customHeight="1">
      <c r="A48" s="4">
        <v>-0.8</v>
      </c>
      <c r="B48" s="4">
        <f t="shared" si="4"/>
        <v>2.3576374546008778</v>
      </c>
      <c r="C48" s="4">
        <f t="shared" si="5"/>
        <v>4.4898982848827789</v>
      </c>
      <c r="D48" s="4">
        <f t="shared" si="6"/>
        <v>0.80000000000000204</v>
      </c>
      <c r="E48" s="4">
        <f t="shared" si="7"/>
        <v>-2.76966995062133</v>
      </c>
    </row>
    <row r="49" spans="1:5" ht="15" customHeight="1">
      <c r="A49" s="4">
        <v>-0.6</v>
      </c>
      <c r="B49" s="4">
        <f t="shared" si="4"/>
        <v>1.454987446725881</v>
      </c>
      <c r="C49" s="4">
        <f t="shared" si="5"/>
        <v>-1.5746745958239803</v>
      </c>
      <c r="D49" s="4">
        <f t="shared" si="6"/>
        <v>0.5999999999999992</v>
      </c>
      <c r="E49" s="4">
        <f t="shared" si="7"/>
        <v>-3.1674879126484781</v>
      </c>
    </row>
    <row r="50" spans="1:5" ht="15" customHeight="1">
      <c r="A50" s="4">
        <v>-0.4</v>
      </c>
      <c r="B50" s="4">
        <f t="shared" si="4"/>
        <v>0.49462605203697807</v>
      </c>
      <c r="C50" s="4">
        <f t="shared" si="5"/>
        <v>1.7754860117102074</v>
      </c>
      <c r="D50" s="4">
        <f t="shared" si="6"/>
        <v>0.39999999999999925</v>
      </c>
      <c r="E50" s="4">
        <f t="shared" si="7"/>
        <v>1.7658521825713707</v>
      </c>
    </row>
    <row r="51" spans="1:5" ht="15" customHeight="1">
      <c r="A51" s="4">
        <v>-0.2</v>
      </c>
      <c r="B51" s="4">
        <f t="shared" si="4"/>
        <v>-0.2307964652815524</v>
      </c>
      <c r="C51" s="4">
        <f t="shared" si="5"/>
        <v>-2.262865556059567</v>
      </c>
      <c r="D51" s="4">
        <f t="shared" si="6"/>
        <v>0.20000000000000198</v>
      </c>
      <c r="E51" s="4">
        <f t="shared" si="7"/>
        <v>0.38400610795553169</v>
      </c>
    </row>
    <row r="52" spans="1:5" ht="15" customHeight="1">
      <c r="A52" s="4">
        <v>0</v>
      </c>
      <c r="B52" s="4">
        <f t="shared" si="4"/>
        <v>-0.5</v>
      </c>
      <c r="C52" s="4">
        <f t="shared" si="5"/>
        <v>2</v>
      </c>
      <c r="D52" s="4" t="str">
        <f t="shared" si="6"/>
        <v/>
      </c>
      <c r="E52" s="4" t="str">
        <f t="shared" si="7"/>
        <v/>
      </c>
    </row>
    <row r="53" spans="1:5" ht="15" customHeight="1">
      <c r="A53" s="4">
        <v>0.2</v>
      </c>
      <c r="B53" s="4">
        <f t="shared" si="4"/>
        <v>-0.2307964652815524</v>
      </c>
      <c r="C53" s="4">
        <f t="shared" si="5"/>
        <v>-1.7371344439404333</v>
      </c>
      <c r="D53" s="4">
        <f t="shared" si="6"/>
        <v>-0.19999999999999804</v>
      </c>
      <c r="E53" s="4">
        <f t="shared" si="7"/>
        <v>0.38400610795553169</v>
      </c>
    </row>
    <row r="54" spans="1:5" ht="15" customHeight="1">
      <c r="A54" s="4">
        <v>0.4</v>
      </c>
      <c r="B54" s="4">
        <f t="shared" si="4"/>
        <v>0.49462605203697807</v>
      </c>
      <c r="C54" s="4">
        <f t="shared" si="5"/>
        <v>2.2245139882897926</v>
      </c>
      <c r="D54" s="4">
        <f t="shared" si="6"/>
        <v>-0.4000000000000008</v>
      </c>
      <c r="E54" s="4">
        <f t="shared" si="7"/>
        <v>1.7658521825713707</v>
      </c>
    </row>
    <row r="55" spans="1:5" ht="15" customHeight="1">
      <c r="A55" s="4">
        <v>0.6</v>
      </c>
      <c r="B55" s="4">
        <f t="shared" si="4"/>
        <v>1.454987446725881</v>
      </c>
      <c r="C55" s="4">
        <f t="shared" si="5"/>
        <v>-2.4253254041760197</v>
      </c>
      <c r="D55" s="4">
        <f t="shared" si="6"/>
        <v>-0.60000000000000075</v>
      </c>
      <c r="E55" s="4">
        <f t="shared" si="7"/>
        <v>-3.1674879126484781</v>
      </c>
    </row>
    <row r="56" spans="1:5" ht="15" customHeight="1">
      <c r="A56" s="4">
        <v>0.8</v>
      </c>
      <c r="B56" s="4">
        <f t="shared" si="4"/>
        <v>2.3576374546008778</v>
      </c>
      <c r="C56" s="4">
        <f t="shared" si="5"/>
        <v>-0.48989828488277931</v>
      </c>
      <c r="D56" s="4">
        <f t="shared" si="6"/>
        <v>-0.79999999999999805</v>
      </c>
      <c r="E56" s="4">
        <f t="shared" si="7"/>
        <v>-2.76966995062133</v>
      </c>
    </row>
    <row r="57" spans="1:5" ht="15" customHeight="1">
      <c r="A57" s="4">
        <v>1</v>
      </c>
      <c r="B57" s="4">
        <f t="shared" si="4"/>
        <v>2.9270509831248424</v>
      </c>
      <c r="C57" s="4" t="str">
        <f t="shared" si="5"/>
        <v/>
      </c>
      <c r="D57" s="4">
        <f t="shared" si="6"/>
        <v>-1.0000000000000024</v>
      </c>
      <c r="E57" s="4" t="str">
        <f t="shared" si="7"/>
        <v/>
      </c>
    </row>
    <row r="58" spans="1:5" ht="15" customHeight="1">
      <c r="A58" s="4">
        <v>1.2</v>
      </c>
      <c r="B58" s="4">
        <f t="shared" si="4"/>
        <v>2.9861334902913081</v>
      </c>
      <c r="C58" s="4">
        <f t="shared" si="5"/>
        <v>4.4898982848827824</v>
      </c>
      <c r="D58" s="4">
        <f t="shared" si="6"/>
        <v>-1.199999999999998</v>
      </c>
      <c r="E58" s="4">
        <f t="shared" si="7"/>
        <v>3.3898020597111684</v>
      </c>
    </row>
    <row r="59" spans="1:5" ht="15" customHeight="1">
      <c r="A59" s="4">
        <v>1.4</v>
      </c>
      <c r="B59" s="4">
        <f t="shared" si="4"/>
        <v>2.5053092106428854</v>
      </c>
      <c r="C59" s="4">
        <f t="shared" si="5"/>
        <v>-1.5746745958239798</v>
      </c>
      <c r="D59" s="4">
        <f t="shared" si="6"/>
        <v>-1.4000000000000006</v>
      </c>
      <c r="E59" s="4">
        <f t="shared" si="7"/>
        <v>4.8088187156178765</v>
      </c>
    </row>
    <row r="60" spans="1:5" ht="15" customHeight="1">
      <c r="A60" s="4">
        <v>1.6</v>
      </c>
      <c r="B60" s="4">
        <f t="shared" si="4"/>
        <v>1.6053676799040559</v>
      </c>
      <c r="C60" s="4">
        <f t="shared" si="5"/>
        <v>1.7754860117102074</v>
      </c>
      <c r="D60" s="4">
        <f t="shared" si="6"/>
        <v>-1.6000000000000008</v>
      </c>
      <c r="E60" s="4">
        <f t="shared" si="7"/>
        <v>-3.4425989249200564</v>
      </c>
    </row>
    <row r="61" spans="1:5" ht="15" customHeight="1">
      <c r="A61" s="4">
        <v>1.8</v>
      </c>
      <c r="B61" s="4">
        <f t="shared" si="4"/>
        <v>0.51523241203872261</v>
      </c>
      <c r="C61" s="4">
        <f t="shared" si="5"/>
        <v>-2.262865556059567</v>
      </c>
      <c r="D61" s="4">
        <f t="shared" si="6"/>
        <v>-1.799999999999998</v>
      </c>
      <c r="E61" s="4">
        <f t="shared" si="7"/>
        <v>-1.0514596972913872</v>
      </c>
    </row>
    <row r="62" spans="1:5" ht="15" customHeight="1">
      <c r="A62" s="4">
        <v>2</v>
      </c>
      <c r="B62" s="4">
        <f t="shared" si="4"/>
        <v>-0.49999999999999967</v>
      </c>
      <c r="C62" s="4">
        <f t="shared" si="5"/>
        <v>1.9999999999999998</v>
      </c>
      <c r="D62" s="4">
        <f t="shared" si="6"/>
        <v>-2.0000000000000027</v>
      </c>
      <c r="E62" s="4">
        <f t="shared" si="7"/>
        <v>2.8853900817779268</v>
      </c>
    </row>
    <row r="63" spans="1:5" ht="15" customHeight="1">
      <c r="A63" s="4">
        <v>2.2000000000000002</v>
      </c>
      <c r="B63" s="4">
        <f t="shared" si="4"/>
        <v>-1.2168894664410046</v>
      </c>
      <c r="C63" s="4">
        <f t="shared" si="5"/>
        <v>-1.737134443940433</v>
      </c>
      <c r="D63" s="4">
        <f t="shared" si="6"/>
        <v>-2.2000000000000033</v>
      </c>
      <c r="E63" s="4">
        <f t="shared" si="7"/>
        <v>-0.78385213940340326</v>
      </c>
    </row>
    <row r="64" spans="1:5" ht="15" customHeight="1">
      <c r="A64" s="4">
        <v>2.4</v>
      </c>
      <c r="B64" s="4">
        <f t="shared" si="4"/>
        <v>-1.5131974595864504</v>
      </c>
      <c r="C64" s="4">
        <f t="shared" si="5"/>
        <v>2.2245139882897931</v>
      </c>
      <c r="D64" s="4">
        <f t="shared" si="6"/>
        <v>-2.4000000000000008</v>
      </c>
      <c r="E64" s="4">
        <f t="shared" si="7"/>
        <v>-1.8481916254832764</v>
      </c>
    </row>
    <row r="65" spans="1:5" ht="15" customHeight="1">
      <c r="A65" s="4">
        <v>2.6</v>
      </c>
      <c r="B65" s="4">
        <f t="shared" si="4"/>
        <v>-1.3925520237994433</v>
      </c>
      <c r="C65" s="4">
        <f t="shared" si="5"/>
        <v>-2.4253254041760193</v>
      </c>
      <c r="D65" s="4">
        <f t="shared" si="6"/>
        <v>-2.5999999999999992</v>
      </c>
      <c r="E65" s="4">
        <f t="shared" si="7"/>
        <v>1.6933695532065907</v>
      </c>
    </row>
    <row r="66" spans="1:5" ht="15" customHeight="1">
      <c r="A66" s="4">
        <v>2.8</v>
      </c>
      <c r="B66" s="4">
        <f t="shared" ref="B66:B97" si="8">3*SIN(0.5*PI()*A66)*SIN(0.3*PI()*A66)-0.5*COS(PI()*A66)</f>
        <v>-0.9700164158232315</v>
      </c>
      <c r="C66" s="4">
        <f t="shared" ref="C66:C102" si="9">IFERROR(COS(PI()*A66)*(SIN(PI()*A66))/(1+COS(PI()*A66))+2*COS(5*PI()*A66), "")</f>
        <v>-0.48989828488277842</v>
      </c>
      <c r="D66" s="4">
        <f t="shared" ref="D66:D102" si="10">IFERROR(((4*COS(PI()*A66)*SIN(5*PI()*A66))/A66)-A66, "")</f>
        <v>-2.799999999999998</v>
      </c>
      <c r="E66" s="4">
        <f t="shared" ref="E66:E102" si="11">IFERROR((2*COS(3*PI()*A66))/LN(ABS(A66)), "")</f>
        <v>0.60025479166070905</v>
      </c>
    </row>
    <row r="67" spans="1:5" ht="15" customHeight="1">
      <c r="A67" s="4">
        <v>3</v>
      </c>
      <c r="B67" s="4">
        <f t="shared" si="8"/>
        <v>-0.42705098312484258</v>
      </c>
      <c r="C67" s="4" t="str">
        <f t="shared" si="9"/>
        <v/>
      </c>
      <c r="D67" s="4">
        <f t="shared" si="10"/>
        <v>-3.0000000000000071</v>
      </c>
      <c r="E67" s="4">
        <f t="shared" si="11"/>
        <v>-1.8204784532536746</v>
      </c>
    </row>
    <row r="68" spans="1:5" ht="15" customHeight="1">
      <c r="A68" s="4">
        <v>3.2</v>
      </c>
      <c r="B68" s="4">
        <f t="shared" si="8"/>
        <v>4.6911531718452248E-2</v>
      </c>
      <c r="C68" s="4">
        <f t="shared" si="9"/>
        <v>4.4898982848827824</v>
      </c>
      <c r="D68" s="4">
        <f t="shared" si="10"/>
        <v>-3.1999999999999984</v>
      </c>
      <c r="E68" s="4">
        <f t="shared" si="11"/>
        <v>0.53134467477449721</v>
      </c>
    </row>
    <row r="69" spans="1:5" ht="15" customHeight="1">
      <c r="A69" s="4">
        <v>3.4</v>
      </c>
      <c r="B69" s="4">
        <f t="shared" si="8"/>
        <v>0.30690428934201353</v>
      </c>
      <c r="C69" s="4">
        <f t="shared" si="9"/>
        <v>-1.5746745958239792</v>
      </c>
      <c r="D69" s="4">
        <f t="shared" si="10"/>
        <v>-3.4000000000000021</v>
      </c>
      <c r="E69" s="4">
        <f t="shared" si="11"/>
        <v>1.3221657723633122</v>
      </c>
    </row>
    <row r="70" spans="1:5" ht="15" customHeight="1">
      <c r="A70" s="4">
        <v>3.6</v>
      </c>
      <c r="B70" s="4">
        <f t="shared" si="8"/>
        <v>0.28402024702186884</v>
      </c>
      <c r="C70" s="4">
        <f t="shared" si="9"/>
        <v>1.7754860117102076</v>
      </c>
      <c r="D70" s="4">
        <f t="shared" si="10"/>
        <v>-3.600000000000001</v>
      </c>
      <c r="E70" s="4">
        <f t="shared" si="11"/>
        <v>-1.2631674886896511</v>
      </c>
    </row>
    <row r="71" spans="1:5" ht="15" customHeight="1">
      <c r="A71" s="4">
        <v>3.8</v>
      </c>
      <c r="B71" s="4">
        <f t="shared" si="8"/>
        <v>-9.7893863478742404E-3</v>
      </c>
      <c r="C71" s="4">
        <f t="shared" si="9"/>
        <v>-2.262865556059567</v>
      </c>
      <c r="D71" s="4">
        <f t="shared" si="10"/>
        <v>-3.7999999999999949</v>
      </c>
      <c r="E71" s="4">
        <f t="shared" si="11"/>
        <v>-0.46294643813480674</v>
      </c>
    </row>
    <row r="72" spans="1:5" ht="15" customHeight="1">
      <c r="A72" s="4">
        <v>4</v>
      </c>
      <c r="B72" s="4">
        <f t="shared" si="8"/>
        <v>-0.49999999999999956</v>
      </c>
      <c r="C72" s="4">
        <f t="shared" si="9"/>
        <v>1.9999999999999998</v>
      </c>
      <c r="D72" s="4">
        <f t="shared" si="10"/>
        <v>-4.0000000000000027</v>
      </c>
      <c r="E72" s="4">
        <f t="shared" si="11"/>
        <v>1.4426950408889634</v>
      </c>
    </row>
    <row r="73" spans="1:5" ht="15" customHeight="1">
      <c r="A73" s="4">
        <v>4.2</v>
      </c>
      <c r="B73" s="4">
        <f t="shared" si="8"/>
        <v>-1.0802995799056596</v>
      </c>
      <c r="C73" s="4">
        <f t="shared" si="9"/>
        <v>-1.7371344439404333</v>
      </c>
      <c r="D73" s="4">
        <f t="shared" si="10"/>
        <v>-4.2000000000000011</v>
      </c>
      <c r="E73" s="4">
        <f t="shared" si="11"/>
        <v>-0.43066033941471066</v>
      </c>
    </row>
    <row r="74" spans="1:5" ht="15" customHeight="1">
      <c r="A74" s="4">
        <v>4.4000000000000004</v>
      </c>
      <c r="B74" s="4">
        <f t="shared" si="8"/>
        <v>-1.6433590053138218</v>
      </c>
      <c r="C74" s="4">
        <f t="shared" si="9"/>
        <v>2.2245139882897922</v>
      </c>
      <c r="D74" s="4">
        <f t="shared" si="10"/>
        <v>-4.3999999999999995</v>
      </c>
      <c r="E74" s="4">
        <f t="shared" si="11"/>
        <v>-1.0920822284606237</v>
      </c>
    </row>
    <row r="75" spans="1:5" ht="15" customHeight="1">
      <c r="A75" s="4">
        <v>4.5999999999999996</v>
      </c>
      <c r="B75" s="4">
        <f t="shared" si="8"/>
        <v>-2.1021064369739668</v>
      </c>
      <c r="C75" s="4">
        <f t="shared" si="9"/>
        <v>-2.4253254041760157</v>
      </c>
      <c r="D75" s="4">
        <f t="shared" si="10"/>
        <v>-4.6000000000000014</v>
      </c>
      <c r="E75" s="4">
        <f t="shared" si="11"/>
        <v>1.0602714887020799</v>
      </c>
    </row>
    <row r="76" spans="1:5" ht="15" customHeight="1">
      <c r="A76" s="4">
        <v>4.8</v>
      </c>
      <c r="B76" s="4">
        <f t="shared" si="8"/>
        <v>-2.3981235748500382</v>
      </c>
      <c r="C76" s="4">
        <f t="shared" si="9"/>
        <v>-0.48989828488277753</v>
      </c>
      <c r="D76" s="4">
        <f t="shared" si="10"/>
        <v>-4.799999999999998</v>
      </c>
      <c r="E76" s="4">
        <f t="shared" si="11"/>
        <v>0.39399956464284913</v>
      </c>
    </row>
    <row r="77" spans="1:5" ht="15" customHeight="1">
      <c r="A77" s="4">
        <v>5</v>
      </c>
      <c r="B77" s="4">
        <f t="shared" si="8"/>
        <v>-2.5</v>
      </c>
      <c r="C77" s="4" t="str">
        <f t="shared" si="9"/>
        <v/>
      </c>
      <c r="D77" s="4">
        <f t="shared" si="10"/>
        <v>-5</v>
      </c>
      <c r="E77" s="4">
        <f t="shared" si="11"/>
        <v>-1.2426698691192237</v>
      </c>
    </row>
    <row r="78" spans="1:5" ht="15" customHeight="1">
      <c r="A78" s="4">
        <v>5.2</v>
      </c>
      <c r="B78" s="4">
        <f t="shared" si="8"/>
        <v>-2.3981235748500387</v>
      </c>
      <c r="C78" s="4">
        <f t="shared" si="9"/>
        <v>4.4898982848827842</v>
      </c>
      <c r="D78" s="4">
        <f t="shared" si="10"/>
        <v>-5.2000000000000028</v>
      </c>
      <c r="E78" s="4">
        <f t="shared" si="11"/>
        <v>0.3748708065805309</v>
      </c>
    </row>
    <row r="79" spans="1:5" ht="15" customHeight="1">
      <c r="A79" s="4">
        <v>5.4</v>
      </c>
      <c r="B79" s="4">
        <f t="shared" si="8"/>
        <v>-2.1021064369739682</v>
      </c>
      <c r="C79" s="4">
        <f t="shared" si="9"/>
        <v>-1.5746745958239787</v>
      </c>
      <c r="D79" s="4">
        <f t="shared" si="10"/>
        <v>-5.3999999999999986</v>
      </c>
      <c r="E79" s="4">
        <f t="shared" si="11"/>
        <v>0.95946097767933125</v>
      </c>
    </row>
    <row r="80" spans="1:5" ht="15" customHeight="1">
      <c r="A80" s="4">
        <v>5.6</v>
      </c>
      <c r="B80" s="4">
        <f t="shared" si="8"/>
        <v>-1.6433590053138221</v>
      </c>
      <c r="C80" s="4">
        <f t="shared" si="9"/>
        <v>1.7754860117102076</v>
      </c>
      <c r="D80" s="4">
        <f t="shared" si="10"/>
        <v>-5.6000000000000005</v>
      </c>
      <c r="E80" s="4">
        <f t="shared" si="11"/>
        <v>-0.93920673344344108</v>
      </c>
    </row>
    <row r="81" spans="1:5" ht="15" customHeight="1">
      <c r="A81" s="4">
        <v>5.8</v>
      </c>
      <c r="B81" s="4">
        <f t="shared" si="8"/>
        <v>-1.0802995799056607</v>
      </c>
      <c r="C81" s="4">
        <f t="shared" si="9"/>
        <v>-2.262865556059567</v>
      </c>
      <c r="D81" s="4">
        <f t="shared" si="10"/>
        <v>-5.8</v>
      </c>
      <c r="E81" s="4">
        <f t="shared" si="11"/>
        <v>-0.35158358510024001</v>
      </c>
    </row>
    <row r="82" spans="1:5" ht="15" customHeight="1">
      <c r="A82" s="4">
        <v>6</v>
      </c>
      <c r="B82" s="4">
        <f t="shared" si="8"/>
        <v>-0.50000000000000067</v>
      </c>
      <c r="C82" s="4">
        <f t="shared" si="9"/>
        <v>1.9999999999999996</v>
      </c>
      <c r="D82" s="4">
        <f t="shared" si="10"/>
        <v>-6.0000000000000071</v>
      </c>
      <c r="E82" s="4">
        <f t="shared" si="11"/>
        <v>1.1162212531024944</v>
      </c>
    </row>
    <row r="83" spans="1:5" ht="15" customHeight="1">
      <c r="A83" s="4">
        <v>6.2</v>
      </c>
      <c r="B83" s="4">
        <f t="shared" si="8"/>
        <v>-9.789386347874629E-3</v>
      </c>
      <c r="C83" s="4">
        <f t="shared" si="9"/>
        <v>-1.7371344439404335</v>
      </c>
      <c r="D83" s="4">
        <f t="shared" si="10"/>
        <v>-6.1999999999999966</v>
      </c>
      <c r="E83" s="4">
        <f t="shared" si="11"/>
        <v>-0.33873241542032634</v>
      </c>
    </row>
    <row r="84" spans="1:5" ht="15" customHeight="1">
      <c r="A84" s="4">
        <v>6.4</v>
      </c>
      <c r="B84" s="4">
        <f t="shared" si="8"/>
        <v>0.28402024702186768</v>
      </c>
      <c r="C84" s="4">
        <f t="shared" si="9"/>
        <v>2.2245139882897931</v>
      </c>
      <c r="D84" s="4">
        <f t="shared" si="10"/>
        <v>-6.4000000000000012</v>
      </c>
      <c r="E84" s="4">
        <f t="shared" si="11"/>
        <v>-0.87164560708876326</v>
      </c>
    </row>
    <row r="85" spans="1:5" ht="15" customHeight="1">
      <c r="A85" s="4">
        <v>6.6</v>
      </c>
      <c r="B85" s="4">
        <f t="shared" si="8"/>
        <v>0.3069042893420148</v>
      </c>
      <c r="C85" s="4">
        <f t="shared" si="9"/>
        <v>-2.4253254041760188</v>
      </c>
      <c r="D85" s="4">
        <f t="shared" si="10"/>
        <v>-6.6000000000000023</v>
      </c>
      <c r="E85" s="4">
        <f t="shared" si="11"/>
        <v>0.85743204527694905</v>
      </c>
    </row>
    <row r="86" spans="1:5" ht="15" customHeight="1">
      <c r="A86" s="4">
        <v>6.8</v>
      </c>
      <c r="B86" s="4">
        <f t="shared" si="8"/>
        <v>4.6911531718451693E-2</v>
      </c>
      <c r="C86" s="4">
        <f t="shared" si="9"/>
        <v>-0.48989828488277487</v>
      </c>
      <c r="D86" s="4">
        <f t="shared" si="10"/>
        <v>-6.7999999999999945</v>
      </c>
      <c r="E86" s="4">
        <f t="shared" si="11"/>
        <v>0.32240946234464624</v>
      </c>
    </row>
    <row r="87" spans="1:5" ht="15" customHeight="1">
      <c r="A87" s="4">
        <v>7</v>
      </c>
      <c r="B87" s="4">
        <f t="shared" si="8"/>
        <v>-0.42705098312484147</v>
      </c>
      <c r="C87" s="4" t="str">
        <f t="shared" si="9"/>
        <v/>
      </c>
      <c r="D87" s="4">
        <f t="shared" si="10"/>
        <v>-7.0000000000000044</v>
      </c>
      <c r="E87" s="4">
        <f t="shared" si="11"/>
        <v>-1.0277966847395015</v>
      </c>
    </row>
    <row r="88" spans="1:5" ht="15" customHeight="1">
      <c r="A88" s="4">
        <v>7.2</v>
      </c>
      <c r="B88" s="4">
        <f t="shared" si="8"/>
        <v>-0.97001641582322939</v>
      </c>
      <c r="C88" s="4">
        <f t="shared" si="9"/>
        <v>4.4898982848827851</v>
      </c>
      <c r="D88" s="4">
        <f t="shared" si="10"/>
        <v>-7.1999999999999984</v>
      </c>
      <c r="E88" s="4">
        <f t="shared" si="11"/>
        <v>0.31307427638636304</v>
      </c>
    </row>
    <row r="89" spans="1:5" ht="15" customHeight="1">
      <c r="A89" s="4">
        <v>7.4</v>
      </c>
      <c r="B89" s="4">
        <f t="shared" si="8"/>
        <v>-1.3925520237994435</v>
      </c>
      <c r="C89" s="4">
        <f t="shared" si="9"/>
        <v>-1.5746745958239785</v>
      </c>
      <c r="D89" s="4">
        <f t="shared" si="10"/>
        <v>-7.4</v>
      </c>
      <c r="E89" s="4">
        <f t="shared" si="11"/>
        <v>0.80841876440435767</v>
      </c>
    </row>
    <row r="90" spans="1:5" ht="15" customHeight="1">
      <c r="A90" s="4">
        <v>7.6</v>
      </c>
      <c r="B90" s="4">
        <f t="shared" si="8"/>
        <v>-1.5131974595864499</v>
      </c>
      <c r="C90" s="4">
        <f t="shared" si="9"/>
        <v>1.7754860117102078</v>
      </c>
      <c r="D90" s="4">
        <f t="shared" si="10"/>
        <v>-7.6000000000000014</v>
      </c>
      <c r="E90" s="4">
        <f t="shared" si="11"/>
        <v>-0.7977888159359493</v>
      </c>
    </row>
    <row r="91" spans="1:5" ht="15" customHeight="1">
      <c r="A91" s="4">
        <v>7.8</v>
      </c>
      <c r="B91" s="4">
        <f t="shared" si="8"/>
        <v>-1.216889466441005</v>
      </c>
      <c r="C91" s="4">
        <f t="shared" si="9"/>
        <v>-2.262865556059567</v>
      </c>
      <c r="D91" s="4">
        <f t="shared" si="10"/>
        <v>-7.7999999999999963</v>
      </c>
      <c r="E91" s="4">
        <f t="shared" si="11"/>
        <v>-0.30087476163765314</v>
      </c>
    </row>
    <row r="92" spans="1:5" ht="15" customHeight="1">
      <c r="A92" s="4">
        <v>8</v>
      </c>
      <c r="B92" s="4">
        <f t="shared" si="8"/>
        <v>-0.50000000000000144</v>
      </c>
      <c r="C92" s="4">
        <f t="shared" si="9"/>
        <v>1.9999999999999996</v>
      </c>
      <c r="D92" s="4">
        <f t="shared" si="10"/>
        <v>-8.0000000000000018</v>
      </c>
      <c r="E92" s="4">
        <f t="shared" si="11"/>
        <v>0.96179669392597567</v>
      </c>
    </row>
    <row r="93" spans="1:5" ht="15" customHeight="1">
      <c r="A93" s="4">
        <v>8.1999999999999993</v>
      </c>
      <c r="B93" s="4">
        <f t="shared" si="8"/>
        <v>0.51523241203871417</v>
      </c>
      <c r="C93" s="4">
        <f t="shared" si="9"/>
        <v>-1.7371344439404344</v>
      </c>
      <c r="D93" s="4">
        <f t="shared" si="10"/>
        <v>-8.199999999999994</v>
      </c>
      <c r="E93" s="4">
        <f t="shared" si="11"/>
        <v>-0.29372366181862569</v>
      </c>
    </row>
    <row r="94" spans="1:5" ht="15" customHeight="1">
      <c r="A94" s="4">
        <v>8.4</v>
      </c>
      <c r="B94" s="4">
        <f t="shared" si="8"/>
        <v>1.6053676799040539</v>
      </c>
      <c r="C94" s="4">
        <f t="shared" si="9"/>
        <v>2.2245139882897931</v>
      </c>
      <c r="D94" s="4">
        <f t="shared" si="10"/>
        <v>-8.4</v>
      </c>
      <c r="E94" s="4">
        <f t="shared" si="11"/>
        <v>-0.76027153636648592</v>
      </c>
    </row>
    <row r="95" spans="1:5" ht="15" customHeight="1">
      <c r="A95" s="4">
        <v>8.6</v>
      </c>
      <c r="B95" s="4">
        <f t="shared" si="8"/>
        <v>2.505309210642884</v>
      </c>
      <c r="C95" s="4">
        <f t="shared" si="9"/>
        <v>-2.4253254041760179</v>
      </c>
      <c r="D95" s="4">
        <f t="shared" si="10"/>
        <v>-8.6000000000000014</v>
      </c>
      <c r="E95" s="4">
        <f t="shared" si="11"/>
        <v>0.751957621664196</v>
      </c>
    </row>
    <row r="96" spans="1:5" ht="15" customHeight="1">
      <c r="A96" s="4">
        <v>8.8000000000000007</v>
      </c>
      <c r="B96" s="4">
        <f t="shared" si="8"/>
        <v>2.986133490291309</v>
      </c>
      <c r="C96" s="4">
        <f t="shared" si="9"/>
        <v>-0.48989828488279574</v>
      </c>
      <c r="D96" s="4">
        <f t="shared" si="10"/>
        <v>-8.8000000000000043</v>
      </c>
      <c r="E96" s="4">
        <f t="shared" si="11"/>
        <v>0.28418599817367807</v>
      </c>
    </row>
    <row r="97" spans="1:5" ht="15" customHeight="1">
      <c r="A97" s="4">
        <v>9</v>
      </c>
      <c r="B97" s="4">
        <f t="shared" si="8"/>
        <v>2.9270509831248432</v>
      </c>
      <c r="C97" s="4" t="str">
        <f t="shared" si="9"/>
        <v/>
      </c>
      <c r="D97" s="4">
        <f t="shared" si="10"/>
        <v>-9</v>
      </c>
      <c r="E97" s="4">
        <f t="shared" si="11"/>
        <v>-0.91023922662683732</v>
      </c>
    </row>
    <row r="98" spans="1:5" ht="15" customHeight="1">
      <c r="A98" s="4">
        <v>9.1999999999999993</v>
      </c>
      <c r="B98" s="4">
        <f t="shared" ref="B98:B102" si="12">3*SIN(0.5*PI()*A98)*SIN(0.3*PI()*A98)-0.5*COS(PI()*A98)</f>
        <v>2.357637454600884</v>
      </c>
      <c r="C98" s="4">
        <f t="shared" si="9"/>
        <v>4.4898982848828091</v>
      </c>
      <c r="D98" s="4">
        <f t="shared" si="10"/>
        <v>-9.199999999999994</v>
      </c>
      <c r="E98" s="4">
        <f t="shared" si="11"/>
        <v>0.27849360961735009</v>
      </c>
    </row>
    <row r="99" spans="1:5" ht="15" customHeight="1">
      <c r="A99" s="4">
        <v>9.4</v>
      </c>
      <c r="B99" s="4">
        <f t="shared" si="12"/>
        <v>1.4549874467258832</v>
      </c>
      <c r="C99" s="4">
        <f t="shared" si="9"/>
        <v>-1.5746745958239781</v>
      </c>
      <c r="D99" s="4">
        <f t="shared" si="10"/>
        <v>-9.4</v>
      </c>
      <c r="E99" s="4">
        <f t="shared" si="11"/>
        <v>0.72210781989911899</v>
      </c>
    </row>
    <row r="100" spans="1:5" ht="15" customHeight="1">
      <c r="A100" s="4">
        <v>9.6</v>
      </c>
      <c r="B100" s="4">
        <f t="shared" si="12"/>
        <v>0.49462605203697907</v>
      </c>
      <c r="C100" s="4">
        <f t="shared" si="9"/>
        <v>1.7754860117102078</v>
      </c>
      <c r="D100" s="4">
        <f t="shared" si="10"/>
        <v>-9.6</v>
      </c>
      <c r="E100" s="4">
        <f t="shared" si="11"/>
        <v>-0.71538614713526794</v>
      </c>
    </row>
    <row r="101" spans="1:5" ht="15" customHeight="1">
      <c r="A101" s="4">
        <v>9.8000000000000007</v>
      </c>
      <c r="B101" s="4">
        <f t="shared" si="12"/>
        <v>-0.23079646528155431</v>
      </c>
      <c r="C101" s="4">
        <f t="shared" si="9"/>
        <v>-2.2628655560595661</v>
      </c>
      <c r="D101" s="4">
        <f t="shared" si="10"/>
        <v>-9.8000000000000043</v>
      </c>
      <c r="E101" s="4">
        <f t="shared" si="11"/>
        <v>-0.27078459447832121</v>
      </c>
    </row>
    <row r="102" spans="1:5" ht="15" customHeight="1">
      <c r="A102" s="4">
        <v>10</v>
      </c>
      <c r="B102" s="4">
        <f t="shared" si="12"/>
        <v>-0.5</v>
      </c>
      <c r="C102" s="4">
        <f t="shared" si="9"/>
        <v>1.9999999999999993</v>
      </c>
      <c r="D102" s="4">
        <f t="shared" si="10"/>
        <v>-10</v>
      </c>
      <c r="E102" s="4">
        <f t="shared" si="11"/>
        <v>0.86858896380650352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8"/>
  <dimension ref="A1:B102"/>
  <sheetViews>
    <sheetView zoomScaleNormal="100" workbookViewId="0"/>
  </sheetViews>
  <sheetFormatPr defaultColWidth="8.7109375" defaultRowHeight="15"/>
  <sheetData>
    <row r="1" spans="1:2" ht="15" customHeight="1">
      <c r="A1" s="3" t="s">
        <v>3</v>
      </c>
      <c r="B1" s="3" t="s">
        <v>5</v>
      </c>
    </row>
    <row r="2" spans="1:2" ht="15" customHeight="1">
      <c r="A2" s="4">
        <v>-10</v>
      </c>
      <c r="B2" s="4">
        <f t="shared" ref="B2:B33" si="0">3*SIN(0.5*PI()*A2)*SIN(0.3*PI()*A2)-0.5*COS(PI()*A2)</f>
        <v>-0.5</v>
      </c>
    </row>
    <row r="3" spans="1:2" ht="15" customHeight="1">
      <c r="A3" s="4">
        <v>-9.8000000000000007</v>
      </c>
      <c r="B3" s="4">
        <f t="shared" si="0"/>
        <v>-0.23079646528155431</v>
      </c>
    </row>
    <row r="4" spans="1:2" ht="15" customHeight="1">
      <c r="A4" s="4">
        <v>-9.6</v>
      </c>
      <c r="B4" s="4">
        <f t="shared" si="0"/>
        <v>0.49462605203697907</v>
      </c>
    </row>
    <row r="5" spans="1:2" ht="15" customHeight="1">
      <c r="A5" s="4">
        <v>-9.4</v>
      </c>
      <c r="B5" s="4">
        <f t="shared" si="0"/>
        <v>1.4549874467258832</v>
      </c>
    </row>
    <row r="6" spans="1:2" ht="15" customHeight="1">
      <c r="A6" s="4">
        <v>-9.1999999999999993</v>
      </c>
      <c r="B6" s="4">
        <f t="shared" si="0"/>
        <v>2.357637454600884</v>
      </c>
    </row>
    <row r="7" spans="1:2" ht="15" customHeight="1">
      <c r="A7" s="4">
        <v>-9</v>
      </c>
      <c r="B7" s="4">
        <f t="shared" si="0"/>
        <v>2.9270509831248432</v>
      </c>
    </row>
    <row r="8" spans="1:2" ht="15" customHeight="1">
      <c r="A8" s="4">
        <v>-8.8000000000000007</v>
      </c>
      <c r="B8" s="4">
        <f t="shared" si="0"/>
        <v>2.986133490291309</v>
      </c>
    </row>
    <row r="9" spans="1:2" ht="15" customHeight="1">
      <c r="A9" s="4">
        <v>-8.6</v>
      </c>
      <c r="B9" s="4">
        <f t="shared" si="0"/>
        <v>2.505309210642884</v>
      </c>
    </row>
    <row r="10" spans="1:2" ht="15" customHeight="1">
      <c r="A10" s="4">
        <v>-8.4</v>
      </c>
      <c r="B10" s="4">
        <f t="shared" si="0"/>
        <v>1.6053676799040539</v>
      </c>
    </row>
    <row r="11" spans="1:2" ht="15" customHeight="1">
      <c r="A11" s="4">
        <v>-8.1999999999999993</v>
      </c>
      <c r="B11" s="4">
        <f t="shared" si="0"/>
        <v>0.51523241203871417</v>
      </c>
    </row>
    <row r="12" spans="1:2" ht="15" customHeight="1">
      <c r="A12" s="4">
        <v>-8</v>
      </c>
      <c r="B12" s="4">
        <f t="shared" si="0"/>
        <v>-0.50000000000000144</v>
      </c>
    </row>
    <row r="13" spans="1:2" ht="15" customHeight="1">
      <c r="A13" s="4">
        <v>-7.8</v>
      </c>
      <c r="B13" s="4">
        <f t="shared" si="0"/>
        <v>-1.216889466441005</v>
      </c>
    </row>
    <row r="14" spans="1:2" ht="15" customHeight="1">
      <c r="A14" s="4">
        <v>-7.6</v>
      </c>
      <c r="B14" s="4">
        <f t="shared" si="0"/>
        <v>-1.5131974595864499</v>
      </c>
    </row>
    <row r="15" spans="1:2" ht="15" customHeight="1">
      <c r="A15" s="4">
        <v>-7.4</v>
      </c>
      <c r="B15" s="4">
        <f t="shared" si="0"/>
        <v>-1.3925520237994435</v>
      </c>
    </row>
    <row r="16" spans="1:2" ht="15" customHeight="1">
      <c r="A16" s="4">
        <v>-7.2</v>
      </c>
      <c r="B16" s="4">
        <f t="shared" si="0"/>
        <v>-0.97001641582322939</v>
      </c>
    </row>
    <row r="17" spans="1:2" ht="15" customHeight="1">
      <c r="A17" s="4">
        <v>-7</v>
      </c>
      <c r="B17" s="4">
        <f t="shared" si="0"/>
        <v>-0.42705098312484147</v>
      </c>
    </row>
    <row r="18" spans="1:2" ht="15" customHeight="1">
      <c r="A18" s="4">
        <v>-6.8</v>
      </c>
      <c r="B18" s="4">
        <f t="shared" si="0"/>
        <v>4.6911531718451693E-2</v>
      </c>
    </row>
    <row r="19" spans="1:2" ht="15" customHeight="1">
      <c r="A19" s="4">
        <v>-6.6</v>
      </c>
      <c r="B19" s="4">
        <f t="shared" si="0"/>
        <v>0.3069042893420148</v>
      </c>
    </row>
    <row r="20" spans="1:2" ht="15" customHeight="1">
      <c r="A20" s="4">
        <v>-6.4</v>
      </c>
      <c r="B20" s="4">
        <f t="shared" si="0"/>
        <v>0.28402024702186768</v>
      </c>
    </row>
    <row r="21" spans="1:2" ht="15" customHeight="1">
      <c r="A21" s="4">
        <v>-6.2</v>
      </c>
      <c r="B21" s="4">
        <f t="shared" si="0"/>
        <v>-9.789386347874629E-3</v>
      </c>
    </row>
    <row r="22" spans="1:2" ht="15" customHeight="1">
      <c r="A22" s="4">
        <v>-6</v>
      </c>
      <c r="B22" s="4">
        <f t="shared" si="0"/>
        <v>-0.50000000000000067</v>
      </c>
    </row>
    <row r="23" spans="1:2" ht="15" customHeight="1">
      <c r="A23" s="4">
        <v>-5.8</v>
      </c>
      <c r="B23" s="4">
        <f t="shared" si="0"/>
        <v>-1.0802995799056607</v>
      </c>
    </row>
    <row r="24" spans="1:2" ht="15" customHeight="1">
      <c r="A24" s="4">
        <v>-5.6</v>
      </c>
      <c r="B24" s="4">
        <f t="shared" si="0"/>
        <v>-1.6433590053138221</v>
      </c>
    </row>
    <row r="25" spans="1:2" ht="15" customHeight="1">
      <c r="A25" s="4">
        <v>-5.4</v>
      </c>
      <c r="B25" s="4">
        <f t="shared" si="0"/>
        <v>-2.1021064369739682</v>
      </c>
    </row>
    <row r="26" spans="1:2" ht="15" customHeight="1">
      <c r="A26" s="4">
        <v>-5.2</v>
      </c>
      <c r="B26" s="4">
        <f t="shared" si="0"/>
        <v>-2.3981235748500387</v>
      </c>
    </row>
    <row r="27" spans="1:2" ht="15" customHeight="1">
      <c r="A27" s="4">
        <v>-5</v>
      </c>
      <c r="B27" s="4">
        <f t="shared" si="0"/>
        <v>-2.5</v>
      </c>
    </row>
    <row r="28" spans="1:2" ht="15" customHeight="1">
      <c r="A28" s="4">
        <v>-4.8</v>
      </c>
      <c r="B28" s="4">
        <f t="shared" si="0"/>
        <v>-2.3981235748500382</v>
      </c>
    </row>
    <row r="29" spans="1:2" ht="15" customHeight="1">
      <c r="A29" s="4">
        <v>-4.5999999999999996</v>
      </c>
      <c r="B29" s="4">
        <f t="shared" si="0"/>
        <v>-2.1021064369739668</v>
      </c>
    </row>
    <row r="30" spans="1:2" ht="15" customHeight="1">
      <c r="A30" s="4">
        <v>-4.4000000000000004</v>
      </c>
      <c r="B30" s="4">
        <f t="shared" si="0"/>
        <v>-1.6433590053138218</v>
      </c>
    </row>
    <row r="31" spans="1:2" ht="15" customHeight="1">
      <c r="A31" s="4">
        <v>-4.2</v>
      </c>
      <c r="B31" s="4">
        <f t="shared" si="0"/>
        <v>-1.0802995799056596</v>
      </c>
    </row>
    <row r="32" spans="1:2" ht="15" customHeight="1">
      <c r="A32" s="4">
        <v>-4</v>
      </c>
      <c r="B32" s="4">
        <f t="shared" si="0"/>
        <v>-0.49999999999999956</v>
      </c>
    </row>
    <row r="33" spans="1:2" ht="15" customHeight="1">
      <c r="A33" s="4">
        <v>-3.8</v>
      </c>
      <c r="B33" s="4">
        <f t="shared" si="0"/>
        <v>-9.7893863478742404E-3</v>
      </c>
    </row>
    <row r="34" spans="1:2" ht="15" customHeight="1">
      <c r="A34" s="4">
        <v>-3.6</v>
      </c>
      <c r="B34" s="4">
        <f t="shared" ref="B34:B65" si="1">3*SIN(0.5*PI()*A34)*SIN(0.3*PI()*A34)-0.5*COS(PI()*A34)</f>
        <v>0.28402024702186884</v>
      </c>
    </row>
    <row r="35" spans="1:2" ht="15" customHeight="1">
      <c r="A35" s="4">
        <v>-3.4</v>
      </c>
      <c r="B35" s="4">
        <f t="shared" si="1"/>
        <v>0.30690428934201353</v>
      </c>
    </row>
    <row r="36" spans="1:2" ht="15" customHeight="1">
      <c r="A36" s="4">
        <v>-3.2</v>
      </c>
      <c r="B36" s="4">
        <f t="shared" si="1"/>
        <v>4.6911531718452248E-2</v>
      </c>
    </row>
    <row r="37" spans="1:2" ht="15" customHeight="1">
      <c r="A37" s="4">
        <v>-3</v>
      </c>
      <c r="B37" s="4">
        <f t="shared" si="1"/>
        <v>-0.42705098312484258</v>
      </c>
    </row>
    <row r="38" spans="1:2" ht="15" customHeight="1">
      <c r="A38" s="4">
        <v>-2.8</v>
      </c>
      <c r="B38" s="4">
        <f t="shared" si="1"/>
        <v>-0.9700164158232315</v>
      </c>
    </row>
    <row r="39" spans="1:2" ht="15" customHeight="1">
      <c r="A39" s="4">
        <v>-2.6</v>
      </c>
      <c r="B39" s="4">
        <f t="shared" si="1"/>
        <v>-1.3925520237994433</v>
      </c>
    </row>
    <row r="40" spans="1:2" ht="15" customHeight="1">
      <c r="A40" s="4">
        <v>-2.4</v>
      </c>
      <c r="B40" s="4">
        <f t="shared" si="1"/>
        <v>-1.5131974595864504</v>
      </c>
    </row>
    <row r="41" spans="1:2" ht="15" customHeight="1">
      <c r="A41" s="4">
        <v>-2.2000000000000002</v>
      </c>
      <c r="B41" s="4">
        <f t="shared" si="1"/>
        <v>-1.2168894664410046</v>
      </c>
    </row>
    <row r="42" spans="1:2" ht="15" customHeight="1">
      <c r="A42" s="4">
        <v>-2</v>
      </c>
      <c r="B42" s="4">
        <f t="shared" si="1"/>
        <v>-0.49999999999999967</v>
      </c>
    </row>
    <row r="43" spans="1:2" ht="15" customHeight="1">
      <c r="A43" s="4">
        <v>-1.8</v>
      </c>
      <c r="B43" s="4">
        <f t="shared" si="1"/>
        <v>0.51523241203872261</v>
      </c>
    </row>
    <row r="44" spans="1:2" ht="15" customHeight="1">
      <c r="A44" s="4">
        <v>-1.6</v>
      </c>
      <c r="B44" s="4">
        <f t="shared" si="1"/>
        <v>1.6053676799040559</v>
      </c>
    </row>
    <row r="45" spans="1:2" ht="15" customHeight="1">
      <c r="A45" s="4">
        <v>-1.4</v>
      </c>
      <c r="B45" s="4">
        <f t="shared" si="1"/>
        <v>2.5053092106428854</v>
      </c>
    </row>
    <row r="46" spans="1:2" ht="15" customHeight="1">
      <c r="A46" s="4">
        <v>-1.2</v>
      </c>
      <c r="B46" s="4">
        <f t="shared" si="1"/>
        <v>2.9861334902913081</v>
      </c>
    </row>
    <row r="47" spans="1:2" ht="15" customHeight="1">
      <c r="A47" s="4">
        <v>-1</v>
      </c>
      <c r="B47" s="4">
        <f t="shared" si="1"/>
        <v>2.9270509831248424</v>
      </c>
    </row>
    <row r="48" spans="1:2" ht="15" customHeight="1">
      <c r="A48" s="4">
        <v>-0.8</v>
      </c>
      <c r="B48" s="4">
        <f t="shared" si="1"/>
        <v>2.3576374546008778</v>
      </c>
    </row>
    <row r="49" spans="1:2" ht="15" customHeight="1">
      <c r="A49" s="4">
        <v>-0.6</v>
      </c>
      <c r="B49" s="4">
        <f t="shared" si="1"/>
        <v>1.454987446725881</v>
      </c>
    </row>
    <row r="50" spans="1:2" ht="15" customHeight="1">
      <c r="A50" s="4">
        <v>-0.4</v>
      </c>
      <c r="B50" s="4">
        <f t="shared" si="1"/>
        <v>0.49462605203697807</v>
      </c>
    </row>
    <row r="51" spans="1:2" ht="15" customHeight="1">
      <c r="A51" s="4">
        <v>-0.2</v>
      </c>
      <c r="B51" s="4">
        <f t="shared" si="1"/>
        <v>-0.2307964652815524</v>
      </c>
    </row>
    <row r="52" spans="1:2" ht="15" customHeight="1">
      <c r="A52" s="4">
        <v>0</v>
      </c>
      <c r="B52" s="4">
        <f t="shared" si="1"/>
        <v>-0.5</v>
      </c>
    </row>
    <row r="53" spans="1:2" ht="15" customHeight="1">
      <c r="A53" s="4">
        <v>0.2</v>
      </c>
      <c r="B53" s="4">
        <f t="shared" si="1"/>
        <v>-0.2307964652815524</v>
      </c>
    </row>
    <row r="54" spans="1:2" ht="15" customHeight="1">
      <c r="A54" s="4">
        <v>0.4</v>
      </c>
      <c r="B54" s="4">
        <f t="shared" si="1"/>
        <v>0.49462605203697807</v>
      </c>
    </row>
    <row r="55" spans="1:2" ht="15" customHeight="1">
      <c r="A55" s="4">
        <v>0.6</v>
      </c>
      <c r="B55" s="4">
        <f t="shared" si="1"/>
        <v>1.454987446725881</v>
      </c>
    </row>
    <row r="56" spans="1:2" ht="15" customHeight="1">
      <c r="A56" s="4">
        <v>0.8</v>
      </c>
      <c r="B56" s="4">
        <f t="shared" si="1"/>
        <v>2.3576374546008778</v>
      </c>
    </row>
    <row r="57" spans="1:2" ht="15" customHeight="1">
      <c r="A57" s="4">
        <v>1</v>
      </c>
      <c r="B57" s="4">
        <f t="shared" si="1"/>
        <v>2.9270509831248424</v>
      </c>
    </row>
    <row r="58" spans="1:2" ht="15" customHeight="1">
      <c r="A58" s="4">
        <v>1.2</v>
      </c>
      <c r="B58" s="4">
        <f t="shared" si="1"/>
        <v>2.9861334902913081</v>
      </c>
    </row>
    <row r="59" spans="1:2" ht="15" customHeight="1">
      <c r="A59" s="4">
        <v>1.4</v>
      </c>
      <c r="B59" s="4">
        <f t="shared" si="1"/>
        <v>2.5053092106428854</v>
      </c>
    </row>
    <row r="60" spans="1:2" ht="15" customHeight="1">
      <c r="A60" s="4">
        <v>1.6</v>
      </c>
      <c r="B60" s="4">
        <f t="shared" si="1"/>
        <v>1.6053676799040559</v>
      </c>
    </row>
    <row r="61" spans="1:2" ht="15" customHeight="1">
      <c r="A61" s="4">
        <v>1.8</v>
      </c>
      <c r="B61" s="4">
        <f t="shared" si="1"/>
        <v>0.51523241203872261</v>
      </c>
    </row>
    <row r="62" spans="1:2" ht="15" customHeight="1">
      <c r="A62" s="4">
        <v>2</v>
      </c>
      <c r="B62" s="4">
        <f t="shared" si="1"/>
        <v>-0.49999999999999967</v>
      </c>
    </row>
    <row r="63" spans="1:2" ht="15" customHeight="1">
      <c r="A63" s="4">
        <v>2.2000000000000002</v>
      </c>
      <c r="B63" s="4">
        <f t="shared" si="1"/>
        <v>-1.2168894664410046</v>
      </c>
    </row>
    <row r="64" spans="1:2" ht="15" customHeight="1">
      <c r="A64" s="4">
        <v>2.4</v>
      </c>
      <c r="B64" s="4">
        <f t="shared" si="1"/>
        <v>-1.5131974595864504</v>
      </c>
    </row>
    <row r="65" spans="1:2" ht="15" customHeight="1">
      <c r="A65" s="4">
        <v>2.6</v>
      </c>
      <c r="B65" s="4">
        <f t="shared" si="1"/>
        <v>-1.3925520237994433</v>
      </c>
    </row>
    <row r="66" spans="1:2" ht="15" customHeight="1">
      <c r="A66" s="4">
        <v>2.8</v>
      </c>
      <c r="B66" s="4">
        <f t="shared" ref="B66:B97" si="2">3*SIN(0.5*PI()*A66)*SIN(0.3*PI()*A66)-0.5*COS(PI()*A66)</f>
        <v>-0.9700164158232315</v>
      </c>
    </row>
    <row r="67" spans="1:2" ht="15" customHeight="1">
      <c r="A67" s="4">
        <v>3</v>
      </c>
      <c r="B67" s="4">
        <f t="shared" si="2"/>
        <v>-0.42705098312484258</v>
      </c>
    </row>
    <row r="68" spans="1:2" ht="15" customHeight="1">
      <c r="A68" s="4">
        <v>3.2</v>
      </c>
      <c r="B68" s="4">
        <f t="shared" si="2"/>
        <v>4.6911531718452248E-2</v>
      </c>
    </row>
    <row r="69" spans="1:2" ht="15" customHeight="1">
      <c r="A69" s="4">
        <v>3.4</v>
      </c>
      <c r="B69" s="4">
        <f t="shared" si="2"/>
        <v>0.30690428934201353</v>
      </c>
    </row>
    <row r="70" spans="1:2" ht="15" customHeight="1">
      <c r="A70" s="4">
        <v>3.6</v>
      </c>
      <c r="B70" s="4">
        <f t="shared" si="2"/>
        <v>0.28402024702186884</v>
      </c>
    </row>
    <row r="71" spans="1:2" ht="15" customHeight="1">
      <c r="A71" s="4">
        <v>3.8</v>
      </c>
      <c r="B71" s="4">
        <f t="shared" si="2"/>
        <v>-9.7893863478742404E-3</v>
      </c>
    </row>
    <row r="72" spans="1:2" ht="15" customHeight="1">
      <c r="A72" s="4">
        <v>4</v>
      </c>
      <c r="B72" s="4">
        <f t="shared" si="2"/>
        <v>-0.49999999999999956</v>
      </c>
    </row>
    <row r="73" spans="1:2" ht="15" customHeight="1">
      <c r="A73" s="4">
        <v>4.2</v>
      </c>
      <c r="B73" s="4">
        <f t="shared" si="2"/>
        <v>-1.0802995799056596</v>
      </c>
    </row>
    <row r="74" spans="1:2" ht="15" customHeight="1">
      <c r="A74" s="4">
        <v>4.4000000000000004</v>
      </c>
      <c r="B74" s="4">
        <f t="shared" si="2"/>
        <v>-1.6433590053138218</v>
      </c>
    </row>
    <row r="75" spans="1:2" ht="15" customHeight="1">
      <c r="A75" s="4">
        <v>4.5999999999999996</v>
      </c>
      <c r="B75" s="4">
        <f t="shared" si="2"/>
        <v>-2.1021064369739668</v>
      </c>
    </row>
    <row r="76" spans="1:2" ht="15" customHeight="1">
      <c r="A76" s="4">
        <v>4.8</v>
      </c>
      <c r="B76" s="4">
        <f t="shared" si="2"/>
        <v>-2.3981235748500382</v>
      </c>
    </row>
    <row r="77" spans="1:2" ht="15" customHeight="1">
      <c r="A77" s="4">
        <v>5</v>
      </c>
      <c r="B77" s="4">
        <f t="shared" si="2"/>
        <v>-2.5</v>
      </c>
    </row>
    <row r="78" spans="1:2" ht="15" customHeight="1">
      <c r="A78" s="4">
        <v>5.2</v>
      </c>
      <c r="B78" s="4">
        <f t="shared" si="2"/>
        <v>-2.3981235748500387</v>
      </c>
    </row>
    <row r="79" spans="1:2" ht="15" customHeight="1">
      <c r="A79" s="4">
        <v>5.4</v>
      </c>
      <c r="B79" s="4">
        <f t="shared" si="2"/>
        <v>-2.1021064369739682</v>
      </c>
    </row>
    <row r="80" spans="1:2" ht="15" customHeight="1">
      <c r="A80" s="4">
        <v>5.6</v>
      </c>
      <c r="B80" s="4">
        <f t="shared" si="2"/>
        <v>-1.6433590053138221</v>
      </c>
    </row>
    <row r="81" spans="1:2" ht="15" customHeight="1">
      <c r="A81" s="4">
        <v>5.8</v>
      </c>
      <c r="B81" s="4">
        <f t="shared" si="2"/>
        <v>-1.0802995799056607</v>
      </c>
    </row>
    <row r="82" spans="1:2" ht="15" customHeight="1">
      <c r="A82" s="4">
        <v>6</v>
      </c>
      <c r="B82" s="4">
        <f t="shared" si="2"/>
        <v>-0.50000000000000067</v>
      </c>
    </row>
    <row r="83" spans="1:2" ht="15" customHeight="1">
      <c r="A83" s="4">
        <v>6.2</v>
      </c>
      <c r="B83" s="4">
        <f t="shared" si="2"/>
        <v>-9.789386347874629E-3</v>
      </c>
    </row>
    <row r="84" spans="1:2" ht="15" customHeight="1">
      <c r="A84" s="4">
        <v>6.4</v>
      </c>
      <c r="B84" s="4">
        <f t="shared" si="2"/>
        <v>0.28402024702186768</v>
      </c>
    </row>
    <row r="85" spans="1:2" ht="15" customHeight="1">
      <c r="A85" s="4">
        <v>6.6</v>
      </c>
      <c r="B85" s="4">
        <f t="shared" si="2"/>
        <v>0.3069042893420148</v>
      </c>
    </row>
    <row r="86" spans="1:2" ht="15" customHeight="1">
      <c r="A86" s="4">
        <v>6.8</v>
      </c>
      <c r="B86" s="4">
        <f t="shared" si="2"/>
        <v>4.6911531718451693E-2</v>
      </c>
    </row>
    <row r="87" spans="1:2" ht="15" customHeight="1">
      <c r="A87" s="4">
        <v>7</v>
      </c>
      <c r="B87" s="4">
        <f t="shared" si="2"/>
        <v>-0.42705098312484147</v>
      </c>
    </row>
    <row r="88" spans="1:2" ht="15" customHeight="1">
      <c r="A88" s="4">
        <v>7.2</v>
      </c>
      <c r="B88" s="4">
        <f t="shared" si="2"/>
        <v>-0.97001641582322939</v>
      </c>
    </row>
    <row r="89" spans="1:2" ht="15" customHeight="1">
      <c r="A89" s="4">
        <v>7.4</v>
      </c>
      <c r="B89" s="4">
        <f t="shared" si="2"/>
        <v>-1.3925520237994435</v>
      </c>
    </row>
    <row r="90" spans="1:2" ht="15" customHeight="1">
      <c r="A90" s="4">
        <v>7.6</v>
      </c>
      <c r="B90" s="4">
        <f t="shared" si="2"/>
        <v>-1.5131974595864499</v>
      </c>
    </row>
    <row r="91" spans="1:2" ht="15" customHeight="1">
      <c r="A91" s="4">
        <v>7.8</v>
      </c>
      <c r="B91" s="4">
        <f t="shared" si="2"/>
        <v>-1.216889466441005</v>
      </c>
    </row>
    <row r="92" spans="1:2" ht="15" customHeight="1">
      <c r="A92" s="4">
        <v>8</v>
      </c>
      <c r="B92" s="4">
        <f t="shared" si="2"/>
        <v>-0.50000000000000144</v>
      </c>
    </row>
    <row r="93" spans="1:2" ht="15" customHeight="1">
      <c r="A93" s="4">
        <v>8.1999999999999993</v>
      </c>
      <c r="B93" s="4">
        <f t="shared" si="2"/>
        <v>0.51523241203871417</v>
      </c>
    </row>
    <row r="94" spans="1:2" ht="15" customHeight="1">
      <c r="A94" s="4">
        <v>8.4</v>
      </c>
      <c r="B94" s="4">
        <f t="shared" si="2"/>
        <v>1.6053676799040539</v>
      </c>
    </row>
    <row r="95" spans="1:2" ht="15" customHeight="1">
      <c r="A95" s="4">
        <v>8.6</v>
      </c>
      <c r="B95" s="4">
        <f t="shared" si="2"/>
        <v>2.505309210642884</v>
      </c>
    </row>
    <row r="96" spans="1:2" ht="15" customHeight="1">
      <c r="A96" s="4">
        <v>8.8000000000000007</v>
      </c>
      <c r="B96" s="4">
        <f t="shared" si="2"/>
        <v>2.986133490291309</v>
      </c>
    </row>
    <row r="97" spans="1:2" ht="15" customHeight="1">
      <c r="A97" s="4">
        <v>9</v>
      </c>
      <c r="B97" s="4">
        <f t="shared" si="2"/>
        <v>2.9270509831248432</v>
      </c>
    </row>
    <row r="98" spans="1:2" ht="15" customHeight="1">
      <c r="A98" s="4">
        <v>9.1999999999999993</v>
      </c>
      <c r="B98" s="4">
        <f t="shared" ref="B98:B102" si="3">3*SIN(0.5*PI()*A98)*SIN(0.3*PI()*A98)-0.5*COS(PI()*A98)</f>
        <v>2.357637454600884</v>
      </c>
    </row>
    <row r="99" spans="1:2" ht="15" customHeight="1">
      <c r="A99" s="4">
        <v>9.4</v>
      </c>
      <c r="B99" s="4">
        <f t="shared" si="3"/>
        <v>1.4549874467258832</v>
      </c>
    </row>
    <row r="100" spans="1:2" ht="15" customHeight="1">
      <c r="A100" s="4">
        <v>9.6</v>
      </c>
      <c r="B100" s="4">
        <f t="shared" si="3"/>
        <v>0.49462605203697907</v>
      </c>
    </row>
    <row r="101" spans="1:2" ht="15" customHeight="1">
      <c r="A101" s="4">
        <v>9.8000000000000007</v>
      </c>
      <c r="B101" s="4">
        <f t="shared" si="3"/>
        <v>-0.23079646528155431</v>
      </c>
    </row>
    <row r="102" spans="1:2" ht="15" customHeight="1">
      <c r="A102" s="4">
        <v>10</v>
      </c>
      <c r="B102" s="4">
        <f t="shared" si="3"/>
        <v>-0.5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10"/>
  <dimension ref="A1:B102"/>
  <sheetViews>
    <sheetView zoomScaleNormal="100" workbookViewId="0"/>
  </sheetViews>
  <sheetFormatPr defaultColWidth="8.7109375" defaultRowHeight="15"/>
  <sheetData>
    <row r="1" spans="1:2" ht="15" customHeight="1">
      <c r="A1" s="3" t="s">
        <v>3</v>
      </c>
      <c r="B1" s="3" t="s">
        <v>6</v>
      </c>
    </row>
    <row r="2" spans="1:2" ht="15" customHeight="1">
      <c r="A2" s="4">
        <v>-10</v>
      </c>
      <c r="B2" s="4">
        <f t="shared" ref="B2:B33" si="0">IFERROR(COS(PI()*A2)*(SIN(PI()*A2))/(1+COS(PI()*A2))+2*COS(5*PI()*A2), "")</f>
        <v>2.0000000000000004</v>
      </c>
    </row>
    <row r="3" spans="1:2" ht="15" customHeight="1">
      <c r="A3" s="4">
        <v>-9.8000000000000007</v>
      </c>
      <c r="B3" s="4">
        <f t="shared" si="0"/>
        <v>-1.7371344439404339</v>
      </c>
    </row>
    <row r="4" spans="1:2" ht="15" customHeight="1">
      <c r="A4" s="4">
        <v>-9.6</v>
      </c>
      <c r="B4" s="4">
        <f t="shared" si="0"/>
        <v>2.2245139882897922</v>
      </c>
    </row>
    <row r="5" spans="1:2" ht="15" customHeight="1">
      <c r="A5" s="4">
        <v>-9.4</v>
      </c>
      <c r="B5" s="4">
        <f t="shared" si="0"/>
        <v>-2.4253254041760219</v>
      </c>
    </row>
    <row r="6" spans="1:2" ht="15" customHeight="1">
      <c r="A6" s="4">
        <v>-9.1999999999999993</v>
      </c>
      <c r="B6" s="4">
        <f t="shared" si="0"/>
        <v>-0.48989828488280951</v>
      </c>
    </row>
    <row r="7" spans="1:2" ht="15" customHeight="1">
      <c r="A7" s="4">
        <v>-9</v>
      </c>
      <c r="B7" s="4" t="str">
        <f t="shared" si="0"/>
        <v/>
      </c>
    </row>
    <row r="8" spans="1:2" ht="15" customHeight="1">
      <c r="A8" s="4">
        <v>-8.8000000000000007</v>
      </c>
      <c r="B8" s="4">
        <f t="shared" si="0"/>
        <v>4.4898982848827957</v>
      </c>
    </row>
    <row r="9" spans="1:2" ht="15" customHeight="1">
      <c r="A9" s="4">
        <v>-8.6</v>
      </c>
      <c r="B9" s="4">
        <f t="shared" si="0"/>
        <v>-1.5746745958239821</v>
      </c>
    </row>
    <row r="10" spans="1:2" ht="15" customHeight="1">
      <c r="A10" s="4">
        <v>-8.4</v>
      </c>
      <c r="B10" s="4">
        <f t="shared" si="0"/>
        <v>1.7754860117102069</v>
      </c>
    </row>
    <row r="11" spans="1:2" ht="15" customHeight="1">
      <c r="A11" s="4">
        <v>-8.1999999999999993</v>
      </c>
      <c r="B11" s="4">
        <f t="shared" si="0"/>
        <v>-2.2628655560595656</v>
      </c>
    </row>
    <row r="12" spans="1:2" ht="15" customHeight="1">
      <c r="A12" s="4">
        <v>-8</v>
      </c>
      <c r="B12" s="4">
        <f t="shared" si="0"/>
        <v>2.0000000000000004</v>
      </c>
    </row>
    <row r="13" spans="1:2" ht="15" customHeight="1">
      <c r="A13" s="4">
        <v>-7.8</v>
      </c>
      <c r="B13" s="4">
        <f t="shared" si="0"/>
        <v>-1.737134443940433</v>
      </c>
    </row>
    <row r="14" spans="1:2" ht="15" customHeight="1">
      <c r="A14" s="4">
        <v>-7.6</v>
      </c>
      <c r="B14" s="4">
        <f t="shared" si="0"/>
        <v>2.2245139882897922</v>
      </c>
    </row>
    <row r="15" spans="1:2" ht="15" customHeight="1">
      <c r="A15" s="4">
        <v>-7.4</v>
      </c>
      <c r="B15" s="4">
        <f t="shared" si="0"/>
        <v>-2.4253254041760215</v>
      </c>
    </row>
    <row r="16" spans="1:2" ht="15" customHeight="1">
      <c r="A16" s="4">
        <v>-7.2</v>
      </c>
      <c r="B16" s="4">
        <f t="shared" si="0"/>
        <v>-0.48989828488278508</v>
      </c>
    </row>
    <row r="17" spans="1:2" ht="15" customHeight="1">
      <c r="A17" s="4">
        <v>-7</v>
      </c>
      <c r="B17" s="4" t="str">
        <f t="shared" si="0"/>
        <v/>
      </c>
    </row>
    <row r="18" spans="1:2" ht="15" customHeight="1">
      <c r="A18" s="4">
        <v>-6.8</v>
      </c>
      <c r="B18" s="4">
        <f t="shared" si="0"/>
        <v>4.4898982848827753</v>
      </c>
    </row>
    <row r="19" spans="1:2" ht="15" customHeight="1">
      <c r="A19" s="4">
        <v>-6.6</v>
      </c>
      <c r="B19" s="4">
        <f t="shared" si="0"/>
        <v>-1.5746745958239814</v>
      </c>
    </row>
    <row r="20" spans="1:2" ht="15" customHeight="1">
      <c r="A20" s="4">
        <v>-6.4</v>
      </c>
      <c r="B20" s="4">
        <f t="shared" si="0"/>
        <v>1.7754860117102069</v>
      </c>
    </row>
    <row r="21" spans="1:2" ht="15" customHeight="1">
      <c r="A21" s="4">
        <v>-6.2</v>
      </c>
      <c r="B21" s="4">
        <f t="shared" si="0"/>
        <v>-2.2628655560595665</v>
      </c>
    </row>
    <row r="22" spans="1:2" ht="15" customHeight="1">
      <c r="A22" s="4">
        <v>-6</v>
      </c>
      <c r="B22" s="4">
        <f t="shared" si="0"/>
        <v>2.0000000000000004</v>
      </c>
    </row>
    <row r="23" spans="1:2" ht="15" customHeight="1">
      <c r="A23" s="4">
        <v>-5.8</v>
      </c>
      <c r="B23" s="4">
        <f t="shared" si="0"/>
        <v>-1.737134443940433</v>
      </c>
    </row>
    <row r="24" spans="1:2" ht="15" customHeight="1">
      <c r="A24" s="4">
        <v>-5.6</v>
      </c>
      <c r="B24" s="4">
        <f t="shared" si="0"/>
        <v>2.2245139882897922</v>
      </c>
    </row>
    <row r="25" spans="1:2" ht="15" customHeight="1">
      <c r="A25" s="4">
        <v>-5.4</v>
      </c>
      <c r="B25" s="4">
        <f t="shared" si="0"/>
        <v>-2.425325404176021</v>
      </c>
    </row>
    <row r="26" spans="1:2" ht="15" customHeight="1">
      <c r="A26" s="4">
        <v>-5.2</v>
      </c>
      <c r="B26" s="4">
        <f t="shared" si="0"/>
        <v>-0.48989828488278375</v>
      </c>
    </row>
    <row r="27" spans="1:2" ht="15" customHeight="1">
      <c r="A27" s="4">
        <v>-5</v>
      </c>
      <c r="B27" s="4" t="str">
        <f t="shared" si="0"/>
        <v/>
      </c>
    </row>
    <row r="28" spans="1:2" ht="15" customHeight="1">
      <c r="A28" s="4">
        <v>-4.8</v>
      </c>
      <c r="B28" s="4">
        <f t="shared" si="0"/>
        <v>4.4898982848827771</v>
      </c>
    </row>
    <row r="29" spans="1:2" ht="15" customHeight="1">
      <c r="A29" s="4">
        <v>-4.5999999999999996</v>
      </c>
      <c r="B29" s="4">
        <f t="shared" si="0"/>
        <v>-1.5746745958239843</v>
      </c>
    </row>
    <row r="30" spans="1:2" ht="15" customHeight="1">
      <c r="A30" s="4">
        <v>-4.4000000000000004</v>
      </c>
      <c r="B30" s="4">
        <f t="shared" si="0"/>
        <v>1.7754860117102078</v>
      </c>
    </row>
    <row r="31" spans="1:2" ht="15" customHeight="1">
      <c r="A31" s="4">
        <v>-4.2</v>
      </c>
      <c r="B31" s="4">
        <f t="shared" si="0"/>
        <v>-2.2628655560595665</v>
      </c>
    </row>
    <row r="32" spans="1:2" ht="15" customHeight="1">
      <c r="A32" s="4">
        <v>-4</v>
      </c>
      <c r="B32" s="4">
        <f t="shared" si="0"/>
        <v>2.0000000000000004</v>
      </c>
    </row>
    <row r="33" spans="1:2" ht="15" customHeight="1">
      <c r="A33" s="4">
        <v>-3.8</v>
      </c>
      <c r="B33" s="4">
        <f t="shared" si="0"/>
        <v>-1.737134443940433</v>
      </c>
    </row>
    <row r="34" spans="1:2" ht="15" customHeight="1">
      <c r="A34" s="4">
        <v>-3.6</v>
      </c>
      <c r="B34" s="4">
        <f t="shared" ref="B34:B65" si="1">IFERROR(COS(PI()*A34)*(SIN(PI()*A34))/(1+COS(PI()*A34))+2*COS(5*PI()*A34), "")</f>
        <v>2.2245139882897926</v>
      </c>
    </row>
    <row r="35" spans="1:2" ht="15" customHeight="1">
      <c r="A35" s="4">
        <v>-3.4</v>
      </c>
      <c r="B35" s="4">
        <f t="shared" si="1"/>
        <v>-2.4253254041760206</v>
      </c>
    </row>
    <row r="36" spans="1:2" ht="15" customHeight="1">
      <c r="A36" s="4">
        <v>-3.2</v>
      </c>
      <c r="B36" s="4">
        <f t="shared" si="1"/>
        <v>-0.48989828488278286</v>
      </c>
    </row>
    <row r="37" spans="1:2" ht="15" customHeight="1">
      <c r="A37" s="4">
        <v>-3</v>
      </c>
      <c r="B37" s="4" t="str">
        <f t="shared" si="1"/>
        <v/>
      </c>
    </row>
    <row r="38" spans="1:2" ht="15" customHeight="1">
      <c r="A38" s="4">
        <v>-2.8</v>
      </c>
      <c r="B38" s="4">
        <f t="shared" si="1"/>
        <v>4.4898982848827789</v>
      </c>
    </row>
    <row r="39" spans="1:2" ht="15" customHeight="1">
      <c r="A39" s="4">
        <v>-2.6</v>
      </c>
      <c r="B39" s="4">
        <f t="shared" si="1"/>
        <v>-1.5746745958239807</v>
      </c>
    </row>
    <row r="40" spans="1:2" ht="15" customHeight="1">
      <c r="A40" s="4">
        <v>-2.4</v>
      </c>
      <c r="B40" s="4">
        <f t="shared" si="1"/>
        <v>1.7754860117102071</v>
      </c>
    </row>
    <row r="41" spans="1:2" ht="15" customHeight="1">
      <c r="A41" s="4">
        <v>-2.2000000000000002</v>
      </c>
      <c r="B41" s="4">
        <f t="shared" si="1"/>
        <v>-2.262865556059567</v>
      </c>
    </row>
    <row r="42" spans="1:2" ht="15" customHeight="1">
      <c r="A42" s="4">
        <v>-2</v>
      </c>
      <c r="B42" s="4">
        <f t="shared" si="1"/>
        <v>2</v>
      </c>
    </row>
    <row r="43" spans="1:2" ht="15" customHeight="1">
      <c r="A43" s="4">
        <v>-1.8</v>
      </c>
      <c r="B43" s="4">
        <f t="shared" si="1"/>
        <v>-1.737134443940433</v>
      </c>
    </row>
    <row r="44" spans="1:2" ht="15" customHeight="1">
      <c r="A44" s="4">
        <v>-1.6</v>
      </c>
      <c r="B44" s="4">
        <f t="shared" si="1"/>
        <v>2.2245139882897926</v>
      </c>
    </row>
    <row r="45" spans="1:2" ht="15" customHeight="1">
      <c r="A45" s="4">
        <v>-1.4</v>
      </c>
      <c r="B45" s="4">
        <f t="shared" si="1"/>
        <v>-2.4253254041760202</v>
      </c>
    </row>
    <row r="46" spans="1:2" ht="15" customHeight="1">
      <c r="A46" s="4">
        <v>-1.2</v>
      </c>
      <c r="B46" s="4">
        <f t="shared" si="1"/>
        <v>-0.48989828488278198</v>
      </c>
    </row>
    <row r="47" spans="1:2" ht="15" customHeight="1">
      <c r="A47" s="4">
        <v>-1</v>
      </c>
      <c r="B47" s="4" t="str">
        <f t="shared" si="1"/>
        <v/>
      </c>
    </row>
    <row r="48" spans="1:2" ht="15" customHeight="1">
      <c r="A48" s="4">
        <v>-0.8</v>
      </c>
      <c r="B48" s="4">
        <f t="shared" si="1"/>
        <v>4.4898982848827789</v>
      </c>
    </row>
    <row r="49" spans="1:2" ht="15" customHeight="1">
      <c r="A49" s="4">
        <v>-0.6</v>
      </c>
      <c r="B49" s="4">
        <f t="shared" si="1"/>
        <v>-1.5746745958239803</v>
      </c>
    </row>
    <row r="50" spans="1:2" ht="15" customHeight="1">
      <c r="A50" s="4">
        <v>-0.4</v>
      </c>
      <c r="B50" s="4">
        <f t="shared" si="1"/>
        <v>1.7754860117102074</v>
      </c>
    </row>
    <row r="51" spans="1:2" ht="15" customHeight="1">
      <c r="A51" s="4">
        <v>-0.2</v>
      </c>
      <c r="B51" s="4">
        <f t="shared" si="1"/>
        <v>-2.262865556059567</v>
      </c>
    </row>
    <row r="52" spans="1:2" ht="15" customHeight="1">
      <c r="A52" s="4">
        <v>0</v>
      </c>
      <c r="B52" s="4">
        <f t="shared" si="1"/>
        <v>2</v>
      </c>
    </row>
    <row r="53" spans="1:2" ht="15" customHeight="1">
      <c r="A53" s="4">
        <v>0.2</v>
      </c>
      <c r="B53" s="4">
        <f t="shared" si="1"/>
        <v>-1.7371344439404333</v>
      </c>
    </row>
    <row r="54" spans="1:2" ht="15" customHeight="1">
      <c r="A54" s="4">
        <v>0.4</v>
      </c>
      <c r="B54" s="4">
        <f t="shared" si="1"/>
        <v>2.2245139882897926</v>
      </c>
    </row>
    <row r="55" spans="1:2" ht="15" customHeight="1">
      <c r="A55" s="4">
        <v>0.6</v>
      </c>
      <c r="B55" s="4">
        <f t="shared" si="1"/>
        <v>-2.4253254041760197</v>
      </c>
    </row>
    <row r="56" spans="1:2" ht="15" customHeight="1">
      <c r="A56" s="4">
        <v>0.8</v>
      </c>
      <c r="B56" s="4">
        <f t="shared" si="1"/>
        <v>-0.48989828488277931</v>
      </c>
    </row>
    <row r="57" spans="1:2" ht="15" customHeight="1">
      <c r="A57" s="4">
        <v>1</v>
      </c>
      <c r="B57" s="4" t="str">
        <f t="shared" si="1"/>
        <v/>
      </c>
    </row>
    <row r="58" spans="1:2" ht="15" customHeight="1">
      <c r="A58" s="4">
        <v>1.2</v>
      </c>
      <c r="B58" s="4">
        <f t="shared" si="1"/>
        <v>4.4898982848827824</v>
      </c>
    </row>
    <row r="59" spans="1:2" ht="15" customHeight="1">
      <c r="A59" s="4">
        <v>1.4</v>
      </c>
      <c r="B59" s="4">
        <f t="shared" si="1"/>
        <v>-1.5746745958239798</v>
      </c>
    </row>
    <row r="60" spans="1:2" ht="15" customHeight="1">
      <c r="A60" s="4">
        <v>1.6</v>
      </c>
      <c r="B60" s="4">
        <f t="shared" si="1"/>
        <v>1.7754860117102074</v>
      </c>
    </row>
    <row r="61" spans="1:2" ht="15" customHeight="1">
      <c r="A61" s="4">
        <v>1.8</v>
      </c>
      <c r="B61" s="4">
        <f t="shared" si="1"/>
        <v>-2.262865556059567</v>
      </c>
    </row>
    <row r="62" spans="1:2" ht="15" customHeight="1">
      <c r="A62" s="4">
        <v>2</v>
      </c>
      <c r="B62" s="4">
        <f t="shared" si="1"/>
        <v>1.9999999999999998</v>
      </c>
    </row>
    <row r="63" spans="1:2" ht="15" customHeight="1">
      <c r="A63" s="4">
        <v>2.2000000000000002</v>
      </c>
      <c r="B63" s="4">
        <f t="shared" si="1"/>
        <v>-1.737134443940433</v>
      </c>
    </row>
    <row r="64" spans="1:2" ht="15" customHeight="1">
      <c r="A64" s="4">
        <v>2.4</v>
      </c>
      <c r="B64" s="4">
        <f t="shared" si="1"/>
        <v>2.2245139882897931</v>
      </c>
    </row>
    <row r="65" spans="1:2" ht="15" customHeight="1">
      <c r="A65" s="4">
        <v>2.6</v>
      </c>
      <c r="B65" s="4">
        <f t="shared" si="1"/>
        <v>-2.4253254041760193</v>
      </c>
    </row>
    <row r="66" spans="1:2" ht="15" customHeight="1">
      <c r="A66" s="4">
        <v>2.8</v>
      </c>
      <c r="B66" s="4">
        <f t="shared" ref="B66:B97" si="2">IFERROR(COS(PI()*A66)*(SIN(PI()*A66))/(1+COS(PI()*A66))+2*COS(5*PI()*A66), "")</f>
        <v>-0.48989828488277842</v>
      </c>
    </row>
    <row r="67" spans="1:2" ht="15" customHeight="1">
      <c r="A67" s="4">
        <v>3</v>
      </c>
      <c r="B67" s="4" t="str">
        <f t="shared" si="2"/>
        <v/>
      </c>
    </row>
    <row r="68" spans="1:2" ht="15" customHeight="1">
      <c r="A68" s="4">
        <v>3.2</v>
      </c>
      <c r="B68" s="4">
        <f t="shared" si="2"/>
        <v>4.4898982848827824</v>
      </c>
    </row>
    <row r="69" spans="1:2" ht="15" customHeight="1">
      <c r="A69" s="4">
        <v>3.4</v>
      </c>
      <c r="B69" s="4">
        <f t="shared" si="2"/>
        <v>-1.5746745958239792</v>
      </c>
    </row>
    <row r="70" spans="1:2" ht="15" customHeight="1">
      <c r="A70" s="4">
        <v>3.6</v>
      </c>
      <c r="B70" s="4">
        <f t="shared" si="2"/>
        <v>1.7754860117102076</v>
      </c>
    </row>
    <row r="71" spans="1:2" ht="15" customHeight="1">
      <c r="A71" s="4">
        <v>3.8</v>
      </c>
      <c r="B71" s="4">
        <f t="shared" si="2"/>
        <v>-2.262865556059567</v>
      </c>
    </row>
    <row r="72" spans="1:2" ht="15" customHeight="1">
      <c r="A72" s="4">
        <v>4</v>
      </c>
      <c r="B72" s="4">
        <f t="shared" si="2"/>
        <v>1.9999999999999998</v>
      </c>
    </row>
    <row r="73" spans="1:2" ht="15" customHeight="1">
      <c r="A73" s="4">
        <v>4.2</v>
      </c>
      <c r="B73" s="4">
        <f t="shared" si="2"/>
        <v>-1.7371344439404333</v>
      </c>
    </row>
    <row r="74" spans="1:2" ht="15" customHeight="1">
      <c r="A74" s="4">
        <v>4.4000000000000004</v>
      </c>
      <c r="B74" s="4">
        <f t="shared" si="2"/>
        <v>2.2245139882897922</v>
      </c>
    </row>
    <row r="75" spans="1:2" ht="15" customHeight="1">
      <c r="A75" s="4">
        <v>4.5999999999999996</v>
      </c>
      <c r="B75" s="4">
        <f t="shared" si="2"/>
        <v>-2.4253254041760157</v>
      </c>
    </row>
    <row r="76" spans="1:2" ht="15" customHeight="1">
      <c r="A76" s="4">
        <v>4.8</v>
      </c>
      <c r="B76" s="4">
        <f t="shared" si="2"/>
        <v>-0.48989828488277753</v>
      </c>
    </row>
    <row r="77" spans="1:2" ht="15" customHeight="1">
      <c r="A77" s="4">
        <v>5</v>
      </c>
      <c r="B77" s="4" t="str">
        <f t="shared" si="2"/>
        <v/>
      </c>
    </row>
    <row r="78" spans="1:2" ht="15" customHeight="1">
      <c r="A78" s="4">
        <v>5.2</v>
      </c>
      <c r="B78" s="4">
        <f t="shared" si="2"/>
        <v>4.4898982848827842</v>
      </c>
    </row>
    <row r="79" spans="1:2" ht="15" customHeight="1">
      <c r="A79" s="4">
        <v>5.4</v>
      </c>
      <c r="B79" s="4">
        <f t="shared" si="2"/>
        <v>-1.5746745958239787</v>
      </c>
    </row>
    <row r="80" spans="1:2" ht="15" customHeight="1">
      <c r="A80" s="4">
        <v>5.6</v>
      </c>
      <c r="B80" s="4">
        <f t="shared" si="2"/>
        <v>1.7754860117102076</v>
      </c>
    </row>
    <row r="81" spans="1:2" ht="15" customHeight="1">
      <c r="A81" s="4">
        <v>5.8</v>
      </c>
      <c r="B81" s="4">
        <f t="shared" si="2"/>
        <v>-2.262865556059567</v>
      </c>
    </row>
    <row r="82" spans="1:2" ht="15" customHeight="1">
      <c r="A82" s="4">
        <v>6</v>
      </c>
      <c r="B82" s="4">
        <f t="shared" si="2"/>
        <v>1.9999999999999996</v>
      </c>
    </row>
    <row r="83" spans="1:2" ht="15" customHeight="1">
      <c r="A83" s="4">
        <v>6.2</v>
      </c>
      <c r="B83" s="4">
        <f t="shared" si="2"/>
        <v>-1.7371344439404335</v>
      </c>
    </row>
    <row r="84" spans="1:2" ht="15" customHeight="1">
      <c r="A84" s="4">
        <v>6.4</v>
      </c>
      <c r="B84" s="4">
        <f t="shared" si="2"/>
        <v>2.2245139882897931</v>
      </c>
    </row>
    <row r="85" spans="1:2" ht="15" customHeight="1">
      <c r="A85" s="4">
        <v>6.6</v>
      </c>
      <c r="B85" s="4">
        <f t="shared" si="2"/>
        <v>-2.4253254041760188</v>
      </c>
    </row>
    <row r="86" spans="1:2" ht="15" customHeight="1">
      <c r="A86" s="4">
        <v>6.8</v>
      </c>
      <c r="B86" s="4">
        <f t="shared" si="2"/>
        <v>-0.48989828488277487</v>
      </c>
    </row>
    <row r="87" spans="1:2" ht="15" customHeight="1">
      <c r="A87" s="4">
        <v>7</v>
      </c>
      <c r="B87" s="4" t="str">
        <f t="shared" si="2"/>
        <v/>
      </c>
    </row>
    <row r="88" spans="1:2" ht="15" customHeight="1">
      <c r="A88" s="4">
        <v>7.2</v>
      </c>
      <c r="B88" s="4">
        <f t="shared" si="2"/>
        <v>4.4898982848827851</v>
      </c>
    </row>
    <row r="89" spans="1:2" ht="15" customHeight="1">
      <c r="A89" s="4">
        <v>7.4</v>
      </c>
      <c r="B89" s="4">
        <f t="shared" si="2"/>
        <v>-1.5746745958239785</v>
      </c>
    </row>
    <row r="90" spans="1:2" ht="15" customHeight="1">
      <c r="A90" s="4">
        <v>7.6</v>
      </c>
      <c r="B90" s="4">
        <f t="shared" si="2"/>
        <v>1.7754860117102078</v>
      </c>
    </row>
    <row r="91" spans="1:2" ht="15" customHeight="1">
      <c r="A91" s="4">
        <v>7.8</v>
      </c>
      <c r="B91" s="4">
        <f t="shared" si="2"/>
        <v>-2.262865556059567</v>
      </c>
    </row>
    <row r="92" spans="1:2" ht="15" customHeight="1">
      <c r="A92" s="4">
        <v>8</v>
      </c>
      <c r="B92" s="4">
        <f t="shared" si="2"/>
        <v>1.9999999999999996</v>
      </c>
    </row>
    <row r="93" spans="1:2" ht="15" customHeight="1">
      <c r="A93" s="4">
        <v>8.1999999999999993</v>
      </c>
      <c r="B93" s="4">
        <f t="shared" si="2"/>
        <v>-1.7371344439404344</v>
      </c>
    </row>
    <row r="94" spans="1:2" ht="15" customHeight="1">
      <c r="A94" s="4">
        <v>8.4</v>
      </c>
      <c r="B94" s="4">
        <f t="shared" si="2"/>
        <v>2.2245139882897931</v>
      </c>
    </row>
    <row r="95" spans="1:2" ht="15" customHeight="1">
      <c r="A95" s="4">
        <v>8.6</v>
      </c>
      <c r="B95" s="4">
        <f t="shared" si="2"/>
        <v>-2.4253254041760179</v>
      </c>
    </row>
    <row r="96" spans="1:2" ht="15" customHeight="1">
      <c r="A96" s="4">
        <v>8.8000000000000007</v>
      </c>
      <c r="B96" s="4">
        <f t="shared" si="2"/>
        <v>-0.48989828488279574</v>
      </c>
    </row>
    <row r="97" spans="1:2" ht="15" customHeight="1">
      <c r="A97" s="4">
        <v>9</v>
      </c>
      <c r="B97" s="4" t="str">
        <f t="shared" si="2"/>
        <v/>
      </c>
    </row>
    <row r="98" spans="1:2" ht="15" customHeight="1">
      <c r="A98" s="4">
        <v>9.1999999999999993</v>
      </c>
      <c r="B98" s="4">
        <f t="shared" ref="B98:B102" si="3">IFERROR(COS(PI()*A98)*(SIN(PI()*A98))/(1+COS(PI()*A98))+2*COS(5*PI()*A98), "")</f>
        <v>4.4898982848828091</v>
      </c>
    </row>
    <row r="99" spans="1:2" ht="15" customHeight="1">
      <c r="A99" s="4">
        <v>9.4</v>
      </c>
      <c r="B99" s="4">
        <f t="shared" si="3"/>
        <v>-1.5746745958239781</v>
      </c>
    </row>
    <row r="100" spans="1:2" ht="15" customHeight="1">
      <c r="A100" s="4">
        <v>9.6</v>
      </c>
      <c r="B100" s="4">
        <f t="shared" si="3"/>
        <v>1.7754860117102078</v>
      </c>
    </row>
    <row r="101" spans="1:2" ht="15" customHeight="1">
      <c r="A101" s="4">
        <v>9.8000000000000007</v>
      </c>
      <c r="B101" s="4">
        <f t="shared" si="3"/>
        <v>-2.2628655560595661</v>
      </c>
    </row>
    <row r="102" spans="1:2" ht="15" customHeight="1">
      <c r="A102" s="4">
        <v>10</v>
      </c>
      <c r="B102" s="4">
        <f t="shared" si="3"/>
        <v>1.9999999999999993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2"/>
  <dimension ref="A1:B102"/>
  <sheetViews>
    <sheetView zoomScaleNormal="100" workbookViewId="0">
      <selection activeCell="I4" sqref="I4:I5"/>
    </sheetView>
  </sheetViews>
  <sheetFormatPr defaultColWidth="8.7109375" defaultRowHeight="15"/>
  <cols>
    <col min="2" max="2" width="17.7109375" customWidth="1"/>
  </cols>
  <sheetData>
    <row r="1" spans="1:2" ht="15" customHeight="1">
      <c r="A1" s="3" t="s">
        <v>3</v>
      </c>
      <c r="B1" s="3" t="s">
        <v>7</v>
      </c>
    </row>
    <row r="2" spans="1:2" ht="15" customHeight="1">
      <c r="A2" s="4">
        <v>-10</v>
      </c>
      <c r="B2" s="4">
        <f t="shared" ref="B2:B33" si="0">IFERROR(((4*COS(PI()*A2)*SIN(5*PI()*A2))/A2)-A2, "")</f>
        <v>10</v>
      </c>
    </row>
    <row r="3" spans="1:2" ht="15" customHeight="1">
      <c r="A3" s="4">
        <v>-9.8000000000000007</v>
      </c>
      <c r="B3" s="4">
        <f t="shared" si="0"/>
        <v>9.7999999999999972</v>
      </c>
    </row>
    <row r="4" spans="1:2" ht="15" customHeight="1">
      <c r="A4" s="4">
        <v>-9.6</v>
      </c>
      <c r="B4" s="4">
        <f t="shared" si="0"/>
        <v>9.6</v>
      </c>
    </row>
    <row r="5" spans="1:2" ht="15" customHeight="1">
      <c r="A5" s="4">
        <v>-9.4</v>
      </c>
      <c r="B5" s="4">
        <f t="shared" si="0"/>
        <v>9.4</v>
      </c>
    </row>
    <row r="6" spans="1:2" ht="15" customHeight="1">
      <c r="A6" s="4">
        <v>-9.1999999999999993</v>
      </c>
      <c r="B6" s="4">
        <f t="shared" si="0"/>
        <v>9.2000000000000046</v>
      </c>
    </row>
    <row r="7" spans="1:2" ht="15" customHeight="1">
      <c r="A7" s="4">
        <v>-9</v>
      </c>
      <c r="B7" s="4">
        <f t="shared" si="0"/>
        <v>9</v>
      </c>
    </row>
    <row r="8" spans="1:2" ht="15" customHeight="1">
      <c r="A8" s="4">
        <v>-8.8000000000000007</v>
      </c>
      <c r="B8" s="4">
        <f t="shared" si="0"/>
        <v>8.7999999999999972</v>
      </c>
    </row>
    <row r="9" spans="1:2" ht="15" customHeight="1">
      <c r="A9" s="4">
        <v>-8.6</v>
      </c>
      <c r="B9" s="4">
        <f t="shared" si="0"/>
        <v>8.5999999999999979</v>
      </c>
    </row>
    <row r="10" spans="1:2" ht="15" customHeight="1">
      <c r="A10" s="4">
        <v>-8.4</v>
      </c>
      <c r="B10" s="4">
        <f t="shared" si="0"/>
        <v>8.4</v>
      </c>
    </row>
    <row r="11" spans="1:2" ht="15" customHeight="1">
      <c r="A11" s="4">
        <v>-8.1999999999999993</v>
      </c>
      <c r="B11" s="4">
        <f t="shared" si="0"/>
        <v>8.2000000000000046</v>
      </c>
    </row>
    <row r="12" spans="1:2" ht="15" customHeight="1">
      <c r="A12" s="4">
        <v>-8</v>
      </c>
      <c r="B12" s="4">
        <f t="shared" si="0"/>
        <v>7.9999999999999973</v>
      </c>
    </row>
    <row r="13" spans="1:2" ht="15" customHeight="1">
      <c r="A13" s="4">
        <v>-7.8</v>
      </c>
      <c r="B13" s="4">
        <f t="shared" si="0"/>
        <v>7.8000000000000034</v>
      </c>
    </row>
    <row r="14" spans="1:2" ht="15" customHeight="1">
      <c r="A14" s="4">
        <v>-7.6</v>
      </c>
      <c r="B14" s="4">
        <f t="shared" si="0"/>
        <v>7.5999999999999979</v>
      </c>
    </row>
    <row r="15" spans="1:2" ht="15" customHeight="1">
      <c r="A15" s="4">
        <v>-7.4</v>
      </c>
      <c r="B15" s="4">
        <f t="shared" si="0"/>
        <v>7.4</v>
      </c>
    </row>
    <row r="16" spans="1:2" ht="15" customHeight="1">
      <c r="A16" s="4">
        <v>-7.2</v>
      </c>
      <c r="B16" s="4">
        <f t="shared" si="0"/>
        <v>7.200000000000002</v>
      </c>
    </row>
    <row r="17" spans="1:2" ht="15" customHeight="1">
      <c r="A17" s="4">
        <v>-7</v>
      </c>
      <c r="B17" s="4">
        <f t="shared" si="0"/>
        <v>6.9999999999999956</v>
      </c>
    </row>
    <row r="18" spans="1:2" ht="15" customHeight="1">
      <c r="A18" s="4">
        <v>-6.8</v>
      </c>
      <c r="B18" s="4">
        <f t="shared" si="0"/>
        <v>6.8000000000000052</v>
      </c>
    </row>
    <row r="19" spans="1:2" ht="15" customHeight="1">
      <c r="A19" s="4">
        <v>-6.6</v>
      </c>
      <c r="B19" s="4">
        <f t="shared" si="0"/>
        <v>6.599999999999997</v>
      </c>
    </row>
    <row r="20" spans="1:2" ht="15" customHeight="1">
      <c r="A20" s="4">
        <v>-6.4</v>
      </c>
      <c r="B20" s="4">
        <f t="shared" si="0"/>
        <v>6.3999999999999995</v>
      </c>
    </row>
    <row r="21" spans="1:2" ht="15" customHeight="1">
      <c r="A21" s="4">
        <v>-6.2</v>
      </c>
      <c r="B21" s="4">
        <f t="shared" si="0"/>
        <v>6.2000000000000037</v>
      </c>
    </row>
    <row r="22" spans="1:2" ht="15" customHeight="1">
      <c r="A22" s="4">
        <v>-6</v>
      </c>
      <c r="B22" s="4">
        <f t="shared" si="0"/>
        <v>5.9999999999999929</v>
      </c>
    </row>
    <row r="23" spans="1:2" ht="15" customHeight="1">
      <c r="A23" s="4">
        <v>-5.8</v>
      </c>
      <c r="B23" s="4">
        <f t="shared" si="0"/>
        <v>5.8</v>
      </c>
    </row>
    <row r="24" spans="1:2" ht="15" customHeight="1">
      <c r="A24" s="4">
        <v>-5.6</v>
      </c>
      <c r="B24" s="4">
        <f t="shared" si="0"/>
        <v>5.5999999999999988</v>
      </c>
    </row>
    <row r="25" spans="1:2" ht="15" customHeight="1">
      <c r="A25" s="4">
        <v>-5.4</v>
      </c>
      <c r="B25" s="4">
        <f t="shared" si="0"/>
        <v>5.4000000000000021</v>
      </c>
    </row>
    <row r="26" spans="1:2" ht="15" customHeight="1">
      <c r="A26" s="4">
        <v>-5.2</v>
      </c>
      <c r="B26" s="4">
        <f t="shared" si="0"/>
        <v>5.1999999999999975</v>
      </c>
    </row>
    <row r="27" spans="1:2" ht="15" customHeight="1">
      <c r="A27" s="4">
        <v>-5</v>
      </c>
      <c r="B27" s="4">
        <f t="shared" si="0"/>
        <v>5</v>
      </c>
    </row>
    <row r="28" spans="1:2" ht="15" customHeight="1">
      <c r="A28" s="4">
        <v>-4.8</v>
      </c>
      <c r="B28" s="4">
        <f t="shared" si="0"/>
        <v>4.8000000000000016</v>
      </c>
    </row>
    <row r="29" spans="1:2" ht="15" customHeight="1">
      <c r="A29" s="4">
        <v>-4.5999999999999996</v>
      </c>
      <c r="B29" s="4">
        <f t="shared" si="0"/>
        <v>4.5999999999999979</v>
      </c>
    </row>
    <row r="30" spans="1:2" ht="15" customHeight="1">
      <c r="A30" s="4">
        <v>-4.4000000000000004</v>
      </c>
      <c r="B30" s="4">
        <f t="shared" si="0"/>
        <v>4.4000000000000012</v>
      </c>
    </row>
    <row r="31" spans="1:2" ht="15" customHeight="1">
      <c r="A31" s="4">
        <v>-4.2</v>
      </c>
      <c r="B31" s="4">
        <f t="shared" si="0"/>
        <v>4.1999999999999993</v>
      </c>
    </row>
    <row r="32" spans="1:2" ht="15" customHeight="1">
      <c r="A32" s="4">
        <v>-4</v>
      </c>
      <c r="B32" s="4">
        <f t="shared" si="0"/>
        <v>3.9999999999999973</v>
      </c>
    </row>
    <row r="33" spans="1:2" ht="15" customHeight="1">
      <c r="A33" s="4">
        <v>-3.8</v>
      </c>
      <c r="B33" s="4">
        <f t="shared" si="0"/>
        <v>3.8000000000000047</v>
      </c>
    </row>
    <row r="34" spans="1:2" ht="15" customHeight="1">
      <c r="A34" s="4">
        <v>-3.6</v>
      </c>
      <c r="B34" s="4">
        <f t="shared" ref="B34:B65" si="1">IFERROR(((4*COS(PI()*A34)*SIN(5*PI()*A34))/A34)-A34, "")</f>
        <v>3.5999999999999992</v>
      </c>
    </row>
    <row r="35" spans="1:2" ht="15" customHeight="1">
      <c r="A35" s="4">
        <v>-3.4</v>
      </c>
      <c r="B35" s="4">
        <f t="shared" si="1"/>
        <v>3.3999999999999977</v>
      </c>
    </row>
    <row r="36" spans="1:2" ht="15" customHeight="1">
      <c r="A36" s="4">
        <v>-3.2</v>
      </c>
      <c r="B36" s="4">
        <f t="shared" si="1"/>
        <v>3.200000000000002</v>
      </c>
    </row>
    <row r="37" spans="1:2" ht="15" customHeight="1">
      <c r="A37" s="4">
        <v>-3</v>
      </c>
      <c r="B37" s="4">
        <f t="shared" si="1"/>
        <v>2.9999999999999929</v>
      </c>
    </row>
    <row r="38" spans="1:2" ht="15" customHeight="1">
      <c r="A38" s="4">
        <v>-2.8</v>
      </c>
      <c r="B38" s="4">
        <f t="shared" si="1"/>
        <v>2.8000000000000016</v>
      </c>
    </row>
    <row r="39" spans="1:2" ht="15" customHeight="1">
      <c r="A39" s="4">
        <v>-2.6</v>
      </c>
      <c r="B39" s="4">
        <f t="shared" si="1"/>
        <v>2.600000000000001</v>
      </c>
    </row>
    <row r="40" spans="1:2" ht="15" customHeight="1">
      <c r="A40" s="4">
        <v>-2.4</v>
      </c>
      <c r="B40" s="4">
        <f t="shared" si="1"/>
        <v>2.399999999999999</v>
      </c>
    </row>
    <row r="41" spans="1:2" ht="15" customHeight="1">
      <c r="A41" s="4">
        <v>-2.2000000000000002</v>
      </c>
      <c r="B41" s="4">
        <f t="shared" si="1"/>
        <v>2.1999999999999971</v>
      </c>
    </row>
    <row r="42" spans="1:2" ht="15" customHeight="1">
      <c r="A42" s="4">
        <v>-2</v>
      </c>
      <c r="B42" s="4">
        <f t="shared" si="1"/>
        <v>1.9999999999999976</v>
      </c>
    </row>
    <row r="43" spans="1:2" ht="15" customHeight="1">
      <c r="A43" s="4">
        <v>-1.8</v>
      </c>
      <c r="B43" s="4">
        <f t="shared" si="1"/>
        <v>1.800000000000002</v>
      </c>
    </row>
    <row r="44" spans="1:2" ht="15" customHeight="1">
      <c r="A44" s="4">
        <v>-1.6</v>
      </c>
      <c r="B44" s="4">
        <f t="shared" si="1"/>
        <v>1.5999999999999994</v>
      </c>
    </row>
    <row r="45" spans="1:2" ht="15" customHeight="1">
      <c r="A45" s="4">
        <v>-1.4</v>
      </c>
      <c r="B45" s="4">
        <f t="shared" si="1"/>
        <v>1.3999999999999992</v>
      </c>
    </row>
    <row r="46" spans="1:2" ht="15" customHeight="1">
      <c r="A46" s="4">
        <v>-1.2</v>
      </c>
      <c r="B46" s="4">
        <f t="shared" si="1"/>
        <v>1.200000000000002</v>
      </c>
    </row>
    <row r="47" spans="1:2" ht="15" customHeight="1">
      <c r="A47" s="4">
        <v>-1</v>
      </c>
      <c r="B47" s="4">
        <f t="shared" si="1"/>
        <v>0.99999999999999756</v>
      </c>
    </row>
    <row r="48" spans="1:2" ht="15" customHeight="1">
      <c r="A48" s="4">
        <v>-0.8</v>
      </c>
      <c r="B48" s="4">
        <f t="shared" si="1"/>
        <v>0.80000000000000204</v>
      </c>
    </row>
    <row r="49" spans="1:2" ht="15" customHeight="1">
      <c r="A49" s="4">
        <v>-0.6</v>
      </c>
      <c r="B49" s="4">
        <f t="shared" si="1"/>
        <v>0.5999999999999992</v>
      </c>
    </row>
    <row r="50" spans="1:2" ht="15" customHeight="1">
      <c r="A50" s="4">
        <v>-0.4</v>
      </c>
      <c r="B50" s="4">
        <f t="shared" si="1"/>
        <v>0.39999999999999925</v>
      </c>
    </row>
    <row r="51" spans="1:2" ht="15" customHeight="1">
      <c r="A51" s="4">
        <v>-0.2</v>
      </c>
      <c r="B51" s="4">
        <f t="shared" si="1"/>
        <v>0.20000000000000198</v>
      </c>
    </row>
    <row r="52" spans="1:2" ht="15" customHeight="1">
      <c r="A52" s="4">
        <v>0</v>
      </c>
      <c r="B52" s="4" t="str">
        <f t="shared" si="1"/>
        <v/>
      </c>
    </row>
    <row r="53" spans="1:2" ht="15" customHeight="1">
      <c r="A53" s="4">
        <v>0.2</v>
      </c>
      <c r="B53" s="4">
        <f t="shared" si="1"/>
        <v>-0.19999999999999804</v>
      </c>
    </row>
    <row r="54" spans="1:2" ht="15" customHeight="1">
      <c r="A54" s="4">
        <v>0.4</v>
      </c>
      <c r="B54" s="4">
        <f t="shared" si="1"/>
        <v>-0.4000000000000008</v>
      </c>
    </row>
    <row r="55" spans="1:2" ht="15" customHeight="1">
      <c r="A55" s="4">
        <v>0.6</v>
      </c>
      <c r="B55" s="4">
        <f t="shared" si="1"/>
        <v>-0.60000000000000075</v>
      </c>
    </row>
    <row r="56" spans="1:2" ht="15" customHeight="1">
      <c r="A56" s="4">
        <v>0.8</v>
      </c>
      <c r="B56" s="4">
        <f t="shared" si="1"/>
        <v>-0.79999999999999805</v>
      </c>
    </row>
    <row r="57" spans="1:2" ht="15" customHeight="1">
      <c r="A57" s="4">
        <v>1</v>
      </c>
      <c r="B57" s="4">
        <f t="shared" si="1"/>
        <v>-1.0000000000000024</v>
      </c>
    </row>
    <row r="58" spans="1:2" ht="15" customHeight="1">
      <c r="A58" s="4">
        <v>1.2</v>
      </c>
      <c r="B58" s="4">
        <f t="shared" si="1"/>
        <v>-1.199999999999998</v>
      </c>
    </row>
    <row r="59" spans="1:2" ht="15" customHeight="1">
      <c r="A59" s="4">
        <v>1.4</v>
      </c>
      <c r="B59" s="4">
        <f t="shared" si="1"/>
        <v>-1.4000000000000006</v>
      </c>
    </row>
    <row r="60" spans="1:2" ht="15" customHeight="1">
      <c r="A60" s="4">
        <v>1.6</v>
      </c>
      <c r="B60" s="4">
        <f t="shared" si="1"/>
        <v>-1.6000000000000008</v>
      </c>
    </row>
    <row r="61" spans="1:2" ht="15" customHeight="1">
      <c r="A61" s="4">
        <v>1.8</v>
      </c>
      <c r="B61" s="4">
        <f t="shared" si="1"/>
        <v>-1.799999999999998</v>
      </c>
    </row>
    <row r="62" spans="1:2" ht="15" customHeight="1">
      <c r="A62" s="4">
        <v>2</v>
      </c>
      <c r="B62" s="4">
        <f t="shared" si="1"/>
        <v>-2.0000000000000027</v>
      </c>
    </row>
    <row r="63" spans="1:2" ht="15" customHeight="1">
      <c r="A63" s="4">
        <v>2.2000000000000002</v>
      </c>
      <c r="B63" s="4">
        <f t="shared" si="1"/>
        <v>-2.2000000000000033</v>
      </c>
    </row>
    <row r="64" spans="1:2" ht="15" customHeight="1">
      <c r="A64" s="4">
        <v>2.4</v>
      </c>
      <c r="B64" s="4">
        <f t="shared" si="1"/>
        <v>-2.4000000000000008</v>
      </c>
    </row>
    <row r="65" spans="1:2" ht="15" customHeight="1">
      <c r="A65" s="4">
        <v>2.6</v>
      </c>
      <c r="B65" s="4">
        <f t="shared" si="1"/>
        <v>-2.5999999999999992</v>
      </c>
    </row>
    <row r="66" spans="1:2" ht="15" customHeight="1">
      <c r="A66" s="4">
        <v>2.8</v>
      </c>
      <c r="B66" s="4">
        <f t="shared" ref="B66:B97" si="2">IFERROR(((4*COS(PI()*A66)*SIN(5*PI()*A66))/A66)-A66, "")</f>
        <v>-2.799999999999998</v>
      </c>
    </row>
    <row r="67" spans="1:2" ht="15" customHeight="1">
      <c r="A67" s="4">
        <v>3</v>
      </c>
      <c r="B67" s="4">
        <f t="shared" si="2"/>
        <v>-3.0000000000000071</v>
      </c>
    </row>
    <row r="68" spans="1:2" ht="15" customHeight="1">
      <c r="A68" s="4">
        <v>3.2</v>
      </c>
      <c r="B68" s="4">
        <f t="shared" si="2"/>
        <v>-3.1999999999999984</v>
      </c>
    </row>
    <row r="69" spans="1:2" ht="15" customHeight="1">
      <c r="A69" s="4">
        <v>3.4</v>
      </c>
      <c r="B69" s="4">
        <f t="shared" si="2"/>
        <v>-3.4000000000000021</v>
      </c>
    </row>
    <row r="70" spans="1:2" ht="15" customHeight="1">
      <c r="A70" s="4">
        <v>3.6</v>
      </c>
      <c r="B70" s="4">
        <f t="shared" si="2"/>
        <v>-3.600000000000001</v>
      </c>
    </row>
    <row r="71" spans="1:2" ht="15" customHeight="1">
      <c r="A71" s="4">
        <v>3.8</v>
      </c>
      <c r="B71" s="4">
        <f t="shared" si="2"/>
        <v>-3.7999999999999949</v>
      </c>
    </row>
    <row r="72" spans="1:2" ht="15" customHeight="1">
      <c r="A72" s="4">
        <v>4</v>
      </c>
      <c r="B72" s="4">
        <f t="shared" si="2"/>
        <v>-4.0000000000000027</v>
      </c>
    </row>
    <row r="73" spans="1:2" ht="15" customHeight="1">
      <c r="A73" s="4">
        <v>4.2</v>
      </c>
      <c r="B73" s="4">
        <f t="shared" si="2"/>
        <v>-4.2000000000000011</v>
      </c>
    </row>
    <row r="74" spans="1:2" ht="15" customHeight="1">
      <c r="A74" s="4">
        <v>4.4000000000000004</v>
      </c>
      <c r="B74" s="4">
        <f t="shared" si="2"/>
        <v>-4.3999999999999995</v>
      </c>
    </row>
    <row r="75" spans="1:2" ht="15" customHeight="1">
      <c r="A75" s="4">
        <v>4.5999999999999996</v>
      </c>
      <c r="B75" s="4">
        <f t="shared" si="2"/>
        <v>-4.6000000000000014</v>
      </c>
    </row>
    <row r="76" spans="1:2" ht="15" customHeight="1">
      <c r="A76" s="4">
        <v>4.8</v>
      </c>
      <c r="B76" s="4">
        <f t="shared" si="2"/>
        <v>-4.799999999999998</v>
      </c>
    </row>
    <row r="77" spans="1:2" ht="15" customHeight="1">
      <c r="A77" s="4">
        <v>5</v>
      </c>
      <c r="B77" s="4">
        <f t="shared" si="2"/>
        <v>-5</v>
      </c>
    </row>
    <row r="78" spans="1:2" ht="15" customHeight="1">
      <c r="A78" s="4">
        <v>5.2</v>
      </c>
      <c r="B78" s="4">
        <f t="shared" si="2"/>
        <v>-5.2000000000000028</v>
      </c>
    </row>
    <row r="79" spans="1:2" ht="15" customHeight="1">
      <c r="A79" s="4">
        <v>5.4</v>
      </c>
      <c r="B79" s="4">
        <f t="shared" si="2"/>
        <v>-5.3999999999999986</v>
      </c>
    </row>
    <row r="80" spans="1:2" ht="15" customHeight="1">
      <c r="A80" s="4">
        <v>5.6</v>
      </c>
      <c r="B80" s="4">
        <f t="shared" si="2"/>
        <v>-5.6000000000000005</v>
      </c>
    </row>
    <row r="81" spans="1:2" ht="15" customHeight="1">
      <c r="A81" s="4">
        <v>5.8</v>
      </c>
      <c r="B81" s="4">
        <f t="shared" si="2"/>
        <v>-5.8</v>
      </c>
    </row>
    <row r="82" spans="1:2" ht="15" customHeight="1">
      <c r="A82" s="4">
        <v>6</v>
      </c>
      <c r="B82" s="4">
        <f t="shared" si="2"/>
        <v>-6.0000000000000071</v>
      </c>
    </row>
    <row r="83" spans="1:2" ht="15" customHeight="1">
      <c r="A83" s="4">
        <v>6.2</v>
      </c>
      <c r="B83" s="4">
        <f t="shared" si="2"/>
        <v>-6.1999999999999966</v>
      </c>
    </row>
    <row r="84" spans="1:2" ht="15" customHeight="1">
      <c r="A84" s="4">
        <v>6.4</v>
      </c>
      <c r="B84" s="4">
        <f t="shared" si="2"/>
        <v>-6.4000000000000012</v>
      </c>
    </row>
    <row r="85" spans="1:2" ht="15" customHeight="1">
      <c r="A85" s="4">
        <v>6.6</v>
      </c>
      <c r="B85" s="4">
        <f t="shared" si="2"/>
        <v>-6.6000000000000023</v>
      </c>
    </row>
    <row r="86" spans="1:2" ht="15" customHeight="1">
      <c r="A86" s="4">
        <v>6.8</v>
      </c>
      <c r="B86" s="4">
        <f t="shared" si="2"/>
        <v>-6.7999999999999945</v>
      </c>
    </row>
    <row r="87" spans="1:2" ht="15" customHeight="1">
      <c r="A87" s="4">
        <v>7</v>
      </c>
      <c r="B87" s="4">
        <f t="shared" si="2"/>
        <v>-7.0000000000000044</v>
      </c>
    </row>
    <row r="88" spans="1:2" ht="15" customHeight="1">
      <c r="A88" s="4">
        <v>7.2</v>
      </c>
      <c r="B88" s="4">
        <f t="shared" si="2"/>
        <v>-7.1999999999999984</v>
      </c>
    </row>
    <row r="89" spans="1:2" ht="15" customHeight="1">
      <c r="A89" s="4">
        <v>7.4</v>
      </c>
      <c r="B89" s="4">
        <f t="shared" si="2"/>
        <v>-7.4</v>
      </c>
    </row>
    <row r="90" spans="1:2" ht="15" customHeight="1">
      <c r="A90" s="4">
        <v>7.6</v>
      </c>
      <c r="B90" s="4">
        <f t="shared" si="2"/>
        <v>-7.6000000000000014</v>
      </c>
    </row>
    <row r="91" spans="1:2" ht="15" customHeight="1">
      <c r="A91" s="4">
        <v>7.8</v>
      </c>
      <c r="B91" s="4">
        <f t="shared" si="2"/>
        <v>-7.7999999999999963</v>
      </c>
    </row>
    <row r="92" spans="1:2" ht="15" customHeight="1">
      <c r="A92" s="4">
        <v>8</v>
      </c>
      <c r="B92" s="4">
        <f t="shared" si="2"/>
        <v>-8.0000000000000018</v>
      </c>
    </row>
    <row r="93" spans="1:2" ht="15" customHeight="1">
      <c r="A93" s="4">
        <v>8.1999999999999993</v>
      </c>
      <c r="B93" s="4">
        <f t="shared" si="2"/>
        <v>-8.199999999999994</v>
      </c>
    </row>
    <row r="94" spans="1:2" ht="15" customHeight="1">
      <c r="A94" s="4">
        <v>8.4</v>
      </c>
      <c r="B94" s="4">
        <f t="shared" si="2"/>
        <v>-8.4</v>
      </c>
    </row>
    <row r="95" spans="1:2" ht="15" customHeight="1">
      <c r="A95" s="4">
        <v>8.6</v>
      </c>
      <c r="B95" s="4">
        <f t="shared" si="2"/>
        <v>-8.6000000000000014</v>
      </c>
    </row>
    <row r="96" spans="1:2" ht="15" customHeight="1">
      <c r="A96" s="4">
        <v>8.8000000000000007</v>
      </c>
      <c r="B96" s="4">
        <f t="shared" si="2"/>
        <v>-8.8000000000000043</v>
      </c>
    </row>
    <row r="97" spans="1:2" ht="15" customHeight="1">
      <c r="A97" s="4">
        <v>9</v>
      </c>
      <c r="B97" s="4">
        <f t="shared" si="2"/>
        <v>-9</v>
      </c>
    </row>
    <row r="98" spans="1:2" ht="15" customHeight="1">
      <c r="A98" s="4">
        <v>9.1999999999999993</v>
      </c>
      <c r="B98" s="4">
        <f t="shared" ref="B98:B102" si="3">IFERROR(((4*COS(PI()*A98)*SIN(5*PI()*A98))/A98)-A98, "")</f>
        <v>-9.199999999999994</v>
      </c>
    </row>
    <row r="99" spans="1:2" ht="15" customHeight="1">
      <c r="A99" s="4">
        <v>9.4</v>
      </c>
      <c r="B99" s="4">
        <f t="shared" si="3"/>
        <v>-9.4</v>
      </c>
    </row>
    <row r="100" spans="1:2" ht="15" customHeight="1">
      <c r="A100" s="4">
        <v>9.6</v>
      </c>
      <c r="B100" s="4">
        <f t="shared" si="3"/>
        <v>-9.6</v>
      </c>
    </row>
    <row r="101" spans="1:2" ht="15" customHeight="1">
      <c r="A101" s="4">
        <v>9.8000000000000007</v>
      </c>
      <c r="B101" s="4">
        <f t="shared" si="3"/>
        <v>-9.8000000000000043</v>
      </c>
    </row>
    <row r="102" spans="1:2" ht="15" customHeight="1">
      <c r="A102" s="4">
        <v>10</v>
      </c>
      <c r="B102" s="4">
        <f t="shared" si="3"/>
        <v>-10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4"/>
  <dimension ref="A1:B102"/>
  <sheetViews>
    <sheetView zoomScaleNormal="100" workbookViewId="0">
      <selection activeCell="M9" sqref="M9"/>
    </sheetView>
  </sheetViews>
  <sheetFormatPr defaultColWidth="8.7109375" defaultRowHeight="15"/>
  <cols>
    <col min="2" max="2" width="17.7109375" customWidth="1"/>
  </cols>
  <sheetData>
    <row r="1" spans="1:2" ht="15" customHeight="1">
      <c r="A1" s="3" t="s">
        <v>3</v>
      </c>
      <c r="B1" s="3" t="s">
        <v>8</v>
      </c>
    </row>
    <row r="2" spans="1:2" ht="15" customHeight="1">
      <c r="A2" s="4">
        <v>-10</v>
      </c>
      <c r="B2" s="4">
        <f t="shared" ref="B2:B33" si="0">IFERROR((2*COS(3*PI()*A2))/LN(ABS(A2)), "")</f>
        <v>0.86858896380650352</v>
      </c>
    </row>
    <row r="3" spans="1:2" ht="15" customHeight="1">
      <c r="A3" s="4">
        <v>-9.8000000000000007</v>
      </c>
      <c r="B3" s="4">
        <f t="shared" si="0"/>
        <v>-0.27078459447832121</v>
      </c>
    </row>
    <row r="4" spans="1:2" ht="15" customHeight="1">
      <c r="A4" s="4">
        <v>-9.6</v>
      </c>
      <c r="B4" s="4">
        <f t="shared" si="0"/>
        <v>-0.71538614713526794</v>
      </c>
    </row>
    <row r="5" spans="1:2" ht="15" customHeight="1">
      <c r="A5" s="4">
        <v>-9.4</v>
      </c>
      <c r="B5" s="4">
        <f t="shared" si="0"/>
        <v>0.72210781989911899</v>
      </c>
    </row>
    <row r="6" spans="1:2" ht="15" customHeight="1">
      <c r="A6" s="4">
        <v>-9.1999999999999993</v>
      </c>
      <c r="B6" s="4">
        <f t="shared" si="0"/>
        <v>0.27849360961735009</v>
      </c>
    </row>
    <row r="7" spans="1:2" ht="15" customHeight="1">
      <c r="A7" s="4">
        <v>-9</v>
      </c>
      <c r="B7" s="4">
        <f t="shared" si="0"/>
        <v>-0.91023922662683732</v>
      </c>
    </row>
    <row r="8" spans="1:2" ht="15" customHeight="1">
      <c r="A8" s="4">
        <v>-8.8000000000000007</v>
      </c>
      <c r="B8" s="4">
        <f t="shared" si="0"/>
        <v>0.28418599817367807</v>
      </c>
    </row>
    <row r="9" spans="1:2" ht="15" customHeight="1">
      <c r="A9" s="4">
        <v>-8.6</v>
      </c>
      <c r="B9" s="4">
        <f t="shared" si="0"/>
        <v>0.751957621664196</v>
      </c>
    </row>
    <row r="10" spans="1:2" ht="15" customHeight="1">
      <c r="A10" s="4">
        <v>-8.4</v>
      </c>
      <c r="B10" s="4">
        <f t="shared" si="0"/>
        <v>-0.76027153636648592</v>
      </c>
    </row>
    <row r="11" spans="1:2" ht="15" customHeight="1">
      <c r="A11" s="4">
        <v>-8.1999999999999993</v>
      </c>
      <c r="B11" s="4">
        <f t="shared" si="0"/>
        <v>-0.29372366181862569</v>
      </c>
    </row>
    <row r="12" spans="1:2" ht="15" customHeight="1">
      <c r="A12" s="4">
        <v>-8</v>
      </c>
      <c r="B12" s="4">
        <f t="shared" si="0"/>
        <v>0.96179669392597567</v>
      </c>
    </row>
    <row r="13" spans="1:2" ht="15" customHeight="1">
      <c r="A13" s="4">
        <v>-7.8</v>
      </c>
      <c r="B13" s="4">
        <f t="shared" si="0"/>
        <v>-0.30087476163765314</v>
      </c>
    </row>
    <row r="14" spans="1:2" ht="15" customHeight="1">
      <c r="A14" s="4">
        <v>-7.6</v>
      </c>
      <c r="B14" s="4">
        <f t="shared" si="0"/>
        <v>-0.7977888159359493</v>
      </c>
    </row>
    <row r="15" spans="1:2" ht="15" customHeight="1">
      <c r="A15" s="4">
        <v>-7.4</v>
      </c>
      <c r="B15" s="4">
        <f t="shared" si="0"/>
        <v>0.80841876440435767</v>
      </c>
    </row>
    <row r="16" spans="1:2" ht="15" customHeight="1">
      <c r="A16" s="4">
        <v>-7.2</v>
      </c>
      <c r="B16" s="4">
        <f t="shared" si="0"/>
        <v>0.31307427638636304</v>
      </c>
    </row>
    <row r="17" spans="1:2" ht="15" customHeight="1">
      <c r="A17" s="4">
        <v>-7</v>
      </c>
      <c r="B17" s="4">
        <f t="shared" si="0"/>
        <v>-1.0277966847395015</v>
      </c>
    </row>
    <row r="18" spans="1:2" ht="15" customHeight="1">
      <c r="A18" s="4">
        <v>-6.8</v>
      </c>
      <c r="B18" s="4">
        <f t="shared" si="0"/>
        <v>0.32240946234464624</v>
      </c>
    </row>
    <row r="19" spans="1:2" ht="15" customHeight="1">
      <c r="A19" s="4">
        <v>-6.6</v>
      </c>
      <c r="B19" s="4">
        <f t="shared" si="0"/>
        <v>0.85743204527694905</v>
      </c>
    </row>
    <row r="20" spans="1:2" ht="15" customHeight="1">
      <c r="A20" s="4">
        <v>-6.4</v>
      </c>
      <c r="B20" s="4">
        <f t="shared" si="0"/>
        <v>-0.87164560708876326</v>
      </c>
    </row>
    <row r="21" spans="1:2" ht="15" customHeight="1">
      <c r="A21" s="4">
        <v>-6.2</v>
      </c>
      <c r="B21" s="4">
        <f t="shared" si="0"/>
        <v>-0.33873241542032634</v>
      </c>
    </row>
    <row r="22" spans="1:2" ht="15" customHeight="1">
      <c r="A22" s="4">
        <v>-6</v>
      </c>
      <c r="B22" s="4">
        <f t="shared" si="0"/>
        <v>1.1162212531024944</v>
      </c>
    </row>
    <row r="23" spans="1:2" ht="15" customHeight="1">
      <c r="A23" s="4">
        <v>-5.8</v>
      </c>
      <c r="B23" s="4">
        <f t="shared" si="0"/>
        <v>-0.35158358510024001</v>
      </c>
    </row>
    <row r="24" spans="1:2" ht="15" customHeight="1">
      <c r="A24" s="4">
        <v>-5.6</v>
      </c>
      <c r="B24" s="4">
        <f t="shared" si="0"/>
        <v>-0.93920673344344108</v>
      </c>
    </row>
    <row r="25" spans="1:2" ht="15" customHeight="1">
      <c r="A25" s="4">
        <v>-5.4</v>
      </c>
      <c r="B25" s="4">
        <f t="shared" si="0"/>
        <v>0.95946097767933125</v>
      </c>
    </row>
    <row r="26" spans="1:2" ht="15" customHeight="1">
      <c r="A26" s="4">
        <v>-5.2</v>
      </c>
      <c r="B26" s="4">
        <f t="shared" si="0"/>
        <v>0.3748708065805309</v>
      </c>
    </row>
    <row r="27" spans="1:2" ht="15" customHeight="1">
      <c r="A27" s="4">
        <v>-5</v>
      </c>
      <c r="B27" s="4">
        <f t="shared" si="0"/>
        <v>-1.2426698691192237</v>
      </c>
    </row>
    <row r="28" spans="1:2" ht="15" customHeight="1">
      <c r="A28" s="4">
        <v>-4.8</v>
      </c>
      <c r="B28" s="4">
        <f t="shared" si="0"/>
        <v>0.39399956464284913</v>
      </c>
    </row>
    <row r="29" spans="1:2" ht="15" customHeight="1">
      <c r="A29" s="4">
        <v>-4.5999999999999996</v>
      </c>
      <c r="B29" s="4">
        <f t="shared" si="0"/>
        <v>1.0602714887020799</v>
      </c>
    </row>
    <row r="30" spans="1:2" ht="15" customHeight="1">
      <c r="A30" s="4">
        <v>-4.4000000000000004</v>
      </c>
      <c r="B30" s="4">
        <f t="shared" si="0"/>
        <v>-1.0920822284606237</v>
      </c>
    </row>
    <row r="31" spans="1:2" ht="15" customHeight="1">
      <c r="A31" s="4">
        <v>-4.2</v>
      </c>
      <c r="B31" s="4">
        <f t="shared" si="0"/>
        <v>-0.43066033941471066</v>
      </c>
    </row>
    <row r="32" spans="1:2" ht="15" customHeight="1">
      <c r="A32" s="4">
        <v>-4</v>
      </c>
      <c r="B32" s="4">
        <f t="shared" si="0"/>
        <v>1.4426950408889634</v>
      </c>
    </row>
    <row r="33" spans="1:2" ht="15" customHeight="1">
      <c r="A33" s="4">
        <v>-3.8</v>
      </c>
      <c r="B33" s="4">
        <f t="shared" si="0"/>
        <v>-0.46294643813480674</v>
      </c>
    </row>
    <row r="34" spans="1:2" ht="15" customHeight="1">
      <c r="A34" s="4">
        <v>-3.6</v>
      </c>
      <c r="B34" s="4">
        <f t="shared" ref="B34:B65" si="1">IFERROR((2*COS(3*PI()*A34))/LN(ABS(A34)), "")</f>
        <v>-1.2631674886896511</v>
      </c>
    </row>
    <row r="35" spans="1:2" ht="15" customHeight="1">
      <c r="A35" s="4">
        <v>-3.4</v>
      </c>
      <c r="B35" s="4">
        <f t="shared" si="1"/>
        <v>1.3221657723633122</v>
      </c>
    </row>
    <row r="36" spans="1:2" ht="15" customHeight="1">
      <c r="A36" s="4">
        <v>-3.2</v>
      </c>
      <c r="B36" s="4">
        <f t="shared" si="1"/>
        <v>0.53134467477449721</v>
      </c>
    </row>
    <row r="37" spans="1:2" ht="15" customHeight="1">
      <c r="A37" s="4">
        <v>-3</v>
      </c>
      <c r="B37" s="4">
        <f t="shared" si="1"/>
        <v>-1.8204784532536746</v>
      </c>
    </row>
    <row r="38" spans="1:2" ht="15" customHeight="1">
      <c r="A38" s="4">
        <v>-2.8</v>
      </c>
      <c r="B38" s="4">
        <f t="shared" si="1"/>
        <v>0.60025479166070905</v>
      </c>
    </row>
    <row r="39" spans="1:2" ht="15" customHeight="1">
      <c r="A39" s="4">
        <v>-2.6</v>
      </c>
      <c r="B39" s="4">
        <f t="shared" si="1"/>
        <v>1.6933695532065907</v>
      </c>
    </row>
    <row r="40" spans="1:2" ht="15" customHeight="1">
      <c r="A40" s="4">
        <v>-2.4</v>
      </c>
      <c r="B40" s="4">
        <f t="shared" si="1"/>
        <v>-1.8481916254832764</v>
      </c>
    </row>
    <row r="41" spans="1:2" ht="15" customHeight="1">
      <c r="A41" s="4">
        <v>-2.2000000000000002</v>
      </c>
      <c r="B41" s="4">
        <f t="shared" si="1"/>
        <v>-0.78385213940340326</v>
      </c>
    </row>
    <row r="42" spans="1:2" ht="15" customHeight="1">
      <c r="A42" s="4">
        <v>-2</v>
      </c>
      <c r="B42" s="4">
        <f t="shared" si="1"/>
        <v>2.8853900817779268</v>
      </c>
    </row>
    <row r="43" spans="1:2" ht="15" customHeight="1">
      <c r="A43" s="4">
        <v>-1.8</v>
      </c>
      <c r="B43" s="4">
        <f t="shared" si="1"/>
        <v>-1.0514596972913872</v>
      </c>
    </row>
    <row r="44" spans="1:2" ht="15" customHeight="1">
      <c r="A44" s="4">
        <v>-1.6</v>
      </c>
      <c r="B44" s="4">
        <f t="shared" si="1"/>
        <v>-3.4425989249200564</v>
      </c>
    </row>
    <row r="45" spans="1:2" ht="15" customHeight="1">
      <c r="A45" s="4">
        <v>-1.4</v>
      </c>
      <c r="B45" s="4">
        <f t="shared" si="1"/>
        <v>4.8088187156178765</v>
      </c>
    </row>
    <row r="46" spans="1:2" ht="15" customHeight="1">
      <c r="A46" s="4">
        <v>-1.2</v>
      </c>
      <c r="B46" s="4">
        <f t="shared" si="1"/>
        <v>3.3898020597111684</v>
      </c>
    </row>
    <row r="47" spans="1:2" ht="15" customHeight="1">
      <c r="A47" s="4">
        <v>-1</v>
      </c>
      <c r="B47" s="4" t="str">
        <f t="shared" si="1"/>
        <v/>
      </c>
    </row>
    <row r="48" spans="1:2" ht="15" customHeight="1">
      <c r="A48" s="4">
        <v>-0.8</v>
      </c>
      <c r="B48" s="4">
        <f t="shared" si="1"/>
        <v>-2.76966995062133</v>
      </c>
    </row>
    <row r="49" spans="1:2" ht="15" customHeight="1">
      <c r="A49" s="4">
        <v>-0.6</v>
      </c>
      <c r="B49" s="4">
        <f t="shared" si="1"/>
        <v>-3.1674879126484781</v>
      </c>
    </row>
    <row r="50" spans="1:2" ht="15" customHeight="1">
      <c r="A50" s="4">
        <v>-0.4</v>
      </c>
      <c r="B50" s="4">
        <f t="shared" si="1"/>
        <v>1.7658521825713707</v>
      </c>
    </row>
    <row r="51" spans="1:2" ht="15" customHeight="1">
      <c r="A51" s="4">
        <v>-0.2</v>
      </c>
      <c r="B51" s="4">
        <f t="shared" si="1"/>
        <v>0.38400610795553169</v>
      </c>
    </row>
    <row r="52" spans="1:2" ht="15" customHeight="1">
      <c r="A52" s="4">
        <v>0</v>
      </c>
      <c r="B52" s="4" t="str">
        <f t="shared" si="1"/>
        <v/>
      </c>
    </row>
    <row r="53" spans="1:2" ht="15" customHeight="1">
      <c r="A53" s="4">
        <v>0.2</v>
      </c>
      <c r="B53" s="4">
        <f t="shared" si="1"/>
        <v>0.38400610795553169</v>
      </c>
    </row>
    <row r="54" spans="1:2" ht="15" customHeight="1">
      <c r="A54" s="4">
        <v>0.4</v>
      </c>
      <c r="B54" s="4">
        <f t="shared" si="1"/>
        <v>1.7658521825713707</v>
      </c>
    </row>
    <row r="55" spans="1:2" ht="15" customHeight="1">
      <c r="A55" s="4">
        <v>0.6</v>
      </c>
      <c r="B55" s="4">
        <f t="shared" si="1"/>
        <v>-3.1674879126484781</v>
      </c>
    </row>
    <row r="56" spans="1:2" ht="15" customHeight="1">
      <c r="A56" s="4">
        <v>0.8</v>
      </c>
      <c r="B56" s="4">
        <f t="shared" si="1"/>
        <v>-2.76966995062133</v>
      </c>
    </row>
    <row r="57" spans="1:2" ht="15" customHeight="1">
      <c r="A57" s="4">
        <v>1</v>
      </c>
      <c r="B57" s="4" t="str">
        <f t="shared" si="1"/>
        <v/>
      </c>
    </row>
    <row r="58" spans="1:2" ht="15" customHeight="1">
      <c r="A58" s="4">
        <v>1.2</v>
      </c>
      <c r="B58" s="4">
        <f t="shared" si="1"/>
        <v>3.3898020597111684</v>
      </c>
    </row>
    <row r="59" spans="1:2" ht="15" customHeight="1">
      <c r="A59" s="4">
        <v>1.4</v>
      </c>
      <c r="B59" s="4">
        <f t="shared" si="1"/>
        <v>4.8088187156178765</v>
      </c>
    </row>
    <row r="60" spans="1:2" ht="15" customHeight="1">
      <c r="A60" s="4">
        <v>1.6</v>
      </c>
      <c r="B60" s="4">
        <f t="shared" si="1"/>
        <v>-3.4425989249200564</v>
      </c>
    </row>
    <row r="61" spans="1:2" ht="15" customHeight="1">
      <c r="A61" s="4">
        <v>1.8</v>
      </c>
      <c r="B61" s="4">
        <f t="shared" si="1"/>
        <v>-1.0514596972913872</v>
      </c>
    </row>
    <row r="62" spans="1:2" ht="15" customHeight="1">
      <c r="A62" s="4">
        <v>2</v>
      </c>
      <c r="B62" s="4">
        <f t="shared" si="1"/>
        <v>2.8853900817779268</v>
      </c>
    </row>
    <row r="63" spans="1:2" ht="15" customHeight="1">
      <c r="A63" s="4">
        <v>2.2000000000000002</v>
      </c>
      <c r="B63" s="4">
        <f t="shared" si="1"/>
        <v>-0.78385213940340326</v>
      </c>
    </row>
    <row r="64" spans="1:2" ht="15" customHeight="1">
      <c r="A64" s="4">
        <v>2.4</v>
      </c>
      <c r="B64" s="4">
        <f t="shared" si="1"/>
        <v>-1.8481916254832764</v>
      </c>
    </row>
    <row r="65" spans="1:2" ht="15" customHeight="1">
      <c r="A65" s="4">
        <v>2.6</v>
      </c>
      <c r="B65" s="4">
        <f t="shared" si="1"/>
        <v>1.6933695532065907</v>
      </c>
    </row>
    <row r="66" spans="1:2" ht="15" customHeight="1">
      <c r="A66" s="4">
        <v>2.8</v>
      </c>
      <c r="B66" s="4">
        <f t="shared" ref="B66:B97" si="2">IFERROR((2*COS(3*PI()*A66))/LN(ABS(A66)), "")</f>
        <v>0.60025479166070905</v>
      </c>
    </row>
    <row r="67" spans="1:2" ht="15" customHeight="1">
      <c r="A67" s="4">
        <v>3</v>
      </c>
      <c r="B67" s="4">
        <f t="shared" si="2"/>
        <v>-1.8204784532536746</v>
      </c>
    </row>
    <row r="68" spans="1:2" ht="15" customHeight="1">
      <c r="A68" s="4">
        <v>3.2</v>
      </c>
      <c r="B68" s="4">
        <f t="shared" si="2"/>
        <v>0.53134467477449721</v>
      </c>
    </row>
    <row r="69" spans="1:2" ht="15" customHeight="1">
      <c r="A69" s="4">
        <v>3.4</v>
      </c>
      <c r="B69" s="4">
        <f t="shared" si="2"/>
        <v>1.3221657723633122</v>
      </c>
    </row>
    <row r="70" spans="1:2" ht="15" customHeight="1">
      <c r="A70" s="4">
        <v>3.6</v>
      </c>
      <c r="B70" s="4">
        <f t="shared" si="2"/>
        <v>-1.2631674886896511</v>
      </c>
    </row>
    <row r="71" spans="1:2" ht="15" customHeight="1">
      <c r="A71" s="4">
        <v>3.8</v>
      </c>
      <c r="B71" s="4">
        <f t="shared" si="2"/>
        <v>-0.46294643813480674</v>
      </c>
    </row>
    <row r="72" spans="1:2" ht="15" customHeight="1">
      <c r="A72" s="4">
        <v>4</v>
      </c>
      <c r="B72" s="4">
        <f t="shared" si="2"/>
        <v>1.4426950408889634</v>
      </c>
    </row>
    <row r="73" spans="1:2" ht="15" customHeight="1">
      <c r="A73" s="4">
        <v>4.2</v>
      </c>
      <c r="B73" s="4">
        <f t="shared" si="2"/>
        <v>-0.43066033941471066</v>
      </c>
    </row>
    <row r="74" spans="1:2" ht="15" customHeight="1">
      <c r="A74" s="4">
        <v>4.4000000000000004</v>
      </c>
      <c r="B74" s="4">
        <f t="shared" si="2"/>
        <v>-1.0920822284606237</v>
      </c>
    </row>
    <row r="75" spans="1:2" ht="15" customHeight="1">
      <c r="A75" s="4">
        <v>4.5999999999999996</v>
      </c>
      <c r="B75" s="4">
        <f t="shared" si="2"/>
        <v>1.0602714887020799</v>
      </c>
    </row>
    <row r="76" spans="1:2" ht="15" customHeight="1">
      <c r="A76" s="4">
        <v>4.8</v>
      </c>
      <c r="B76" s="4">
        <f t="shared" si="2"/>
        <v>0.39399956464284913</v>
      </c>
    </row>
    <row r="77" spans="1:2" ht="15" customHeight="1">
      <c r="A77" s="4">
        <v>5</v>
      </c>
      <c r="B77" s="4">
        <f t="shared" si="2"/>
        <v>-1.2426698691192237</v>
      </c>
    </row>
    <row r="78" spans="1:2" ht="15" customHeight="1">
      <c r="A78" s="4">
        <v>5.2</v>
      </c>
      <c r="B78" s="4">
        <f t="shared" si="2"/>
        <v>0.3748708065805309</v>
      </c>
    </row>
    <row r="79" spans="1:2" ht="15" customHeight="1">
      <c r="A79" s="4">
        <v>5.4</v>
      </c>
      <c r="B79" s="4">
        <f t="shared" si="2"/>
        <v>0.95946097767933125</v>
      </c>
    </row>
    <row r="80" spans="1:2" ht="15" customHeight="1">
      <c r="A80" s="4">
        <v>5.6</v>
      </c>
      <c r="B80" s="4">
        <f t="shared" si="2"/>
        <v>-0.93920673344344108</v>
      </c>
    </row>
    <row r="81" spans="1:2" ht="15" customHeight="1">
      <c r="A81" s="4">
        <v>5.8</v>
      </c>
      <c r="B81" s="4">
        <f t="shared" si="2"/>
        <v>-0.35158358510024001</v>
      </c>
    </row>
    <row r="82" spans="1:2" ht="15" customHeight="1">
      <c r="A82" s="4">
        <v>6</v>
      </c>
      <c r="B82" s="4">
        <f t="shared" si="2"/>
        <v>1.1162212531024944</v>
      </c>
    </row>
    <row r="83" spans="1:2" ht="15" customHeight="1">
      <c r="A83" s="4">
        <v>6.2</v>
      </c>
      <c r="B83" s="4">
        <f t="shared" si="2"/>
        <v>-0.33873241542032634</v>
      </c>
    </row>
    <row r="84" spans="1:2" ht="15" customHeight="1">
      <c r="A84" s="4">
        <v>6.4</v>
      </c>
      <c r="B84" s="4">
        <f t="shared" si="2"/>
        <v>-0.87164560708876326</v>
      </c>
    </row>
    <row r="85" spans="1:2" ht="15" customHeight="1">
      <c r="A85" s="4">
        <v>6.6</v>
      </c>
      <c r="B85" s="4">
        <f t="shared" si="2"/>
        <v>0.85743204527694905</v>
      </c>
    </row>
    <row r="86" spans="1:2" ht="15" customHeight="1">
      <c r="A86" s="4">
        <v>6.8</v>
      </c>
      <c r="B86" s="4">
        <f t="shared" si="2"/>
        <v>0.32240946234464624</v>
      </c>
    </row>
    <row r="87" spans="1:2" ht="15" customHeight="1">
      <c r="A87" s="4">
        <v>7</v>
      </c>
      <c r="B87" s="4">
        <f t="shared" si="2"/>
        <v>-1.0277966847395015</v>
      </c>
    </row>
    <row r="88" spans="1:2" ht="15" customHeight="1">
      <c r="A88" s="4">
        <v>7.2</v>
      </c>
      <c r="B88" s="4">
        <f t="shared" si="2"/>
        <v>0.31307427638636304</v>
      </c>
    </row>
    <row r="89" spans="1:2" ht="15" customHeight="1">
      <c r="A89" s="4">
        <v>7.4</v>
      </c>
      <c r="B89" s="4">
        <f t="shared" si="2"/>
        <v>0.80841876440435767</v>
      </c>
    </row>
    <row r="90" spans="1:2" ht="15" customHeight="1">
      <c r="A90" s="4">
        <v>7.6</v>
      </c>
      <c r="B90" s="4">
        <f t="shared" si="2"/>
        <v>-0.7977888159359493</v>
      </c>
    </row>
    <row r="91" spans="1:2" ht="15" customHeight="1">
      <c r="A91" s="4">
        <v>7.8</v>
      </c>
      <c r="B91" s="4">
        <f t="shared" si="2"/>
        <v>-0.30087476163765314</v>
      </c>
    </row>
    <row r="92" spans="1:2" ht="15" customHeight="1">
      <c r="A92" s="4">
        <v>8</v>
      </c>
      <c r="B92" s="4">
        <f t="shared" si="2"/>
        <v>0.96179669392597567</v>
      </c>
    </row>
    <row r="93" spans="1:2" ht="15" customHeight="1">
      <c r="A93" s="4">
        <v>8.1999999999999993</v>
      </c>
      <c r="B93" s="4">
        <f t="shared" si="2"/>
        <v>-0.29372366181862569</v>
      </c>
    </row>
    <row r="94" spans="1:2" ht="15" customHeight="1">
      <c r="A94" s="4">
        <v>8.4</v>
      </c>
      <c r="B94" s="4">
        <f t="shared" si="2"/>
        <v>-0.76027153636648592</v>
      </c>
    </row>
    <row r="95" spans="1:2" ht="15" customHeight="1">
      <c r="A95" s="4">
        <v>8.6</v>
      </c>
      <c r="B95" s="4">
        <f t="shared" si="2"/>
        <v>0.751957621664196</v>
      </c>
    </row>
    <row r="96" spans="1:2" ht="15" customHeight="1">
      <c r="A96" s="4">
        <v>8.8000000000000007</v>
      </c>
      <c r="B96" s="4">
        <f t="shared" si="2"/>
        <v>0.28418599817367807</v>
      </c>
    </row>
    <row r="97" spans="1:2" ht="15" customHeight="1">
      <c r="A97" s="4">
        <v>9</v>
      </c>
      <c r="B97" s="4">
        <f t="shared" si="2"/>
        <v>-0.91023922662683732</v>
      </c>
    </row>
    <row r="98" spans="1:2" ht="15" customHeight="1">
      <c r="A98" s="4">
        <v>9.1999999999999993</v>
      </c>
      <c r="B98" s="4">
        <f t="shared" ref="B98:B102" si="3">IFERROR((2*COS(3*PI()*A98))/LN(ABS(A98)), "")</f>
        <v>0.27849360961735009</v>
      </c>
    </row>
    <row r="99" spans="1:2" ht="15" customHeight="1">
      <c r="A99" s="4">
        <v>9.4</v>
      </c>
      <c r="B99" s="4">
        <f t="shared" si="3"/>
        <v>0.72210781989911899</v>
      </c>
    </row>
    <row r="100" spans="1:2" ht="15" customHeight="1">
      <c r="A100" s="4">
        <v>9.6</v>
      </c>
      <c r="B100" s="4">
        <f t="shared" si="3"/>
        <v>-0.71538614713526794</v>
      </c>
    </row>
    <row r="101" spans="1:2" ht="15" customHeight="1">
      <c r="A101" s="4">
        <v>9.8000000000000007</v>
      </c>
      <c r="B101" s="4">
        <f t="shared" si="3"/>
        <v>-0.27078459447832121</v>
      </c>
    </row>
    <row r="102" spans="1:2" ht="15" customHeight="1">
      <c r="A102" s="4">
        <v>10</v>
      </c>
      <c r="B102" s="4">
        <f t="shared" si="3"/>
        <v>0.86858896380650352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6"/>
  <dimension ref="A1:F102"/>
  <sheetViews>
    <sheetView topLeftCell="D1" zoomScaleNormal="100" workbookViewId="0">
      <selection activeCell="F1" sqref="F1"/>
    </sheetView>
  </sheetViews>
  <sheetFormatPr defaultColWidth="8.7109375" defaultRowHeight="15"/>
  <cols>
    <col min="1" max="1" width="8" customWidth="1"/>
    <col min="2" max="2" width="17.5703125" customWidth="1"/>
    <col min="3" max="6" width="30" customWidth="1"/>
  </cols>
  <sheetData>
    <row r="1" spans="1:6" ht="15" customHeight="1">
      <c r="A1" s="3" t="s">
        <v>3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ht="15" customHeight="1">
      <c r="A2" s="4">
        <v>-10</v>
      </c>
      <c r="B2" s="4">
        <f t="shared" ref="B2:B33" si="0">IF(A2&lt;5,ABS(A2),1+A2^2)</f>
        <v>10</v>
      </c>
      <c r="C2" s="4">
        <f t="shared" ref="C2:C33" si="1">IFERROR(IF(A2&lt;1,ABS(A2/(A2+1)),A2^2), "")</f>
        <v>1.1111111111111112</v>
      </c>
      <c r="D2" s="4">
        <f t="shared" ref="D2:D33" si="2">IFERROR(IF(A2&lt;1,ABS(SQRT(ABS(A2))/(A2+1)),1-A2^2), "")</f>
        <v>0.35136418446315326</v>
      </c>
      <c r="E2" s="4">
        <f t="shared" ref="E2:E33" si="3">IF(A2&lt;1,ABS(A2-A2^2),A2^4-A2^2+2*A2+1)</f>
        <v>110</v>
      </c>
      <c r="F2" s="4">
        <f t="shared" ref="F2:F33" si="4">IFERROR(IF(A2&lt;0,ABS(3*A2-5)+3*A2^3,A2^2+1/A2^2), "")</f>
        <v>-2965</v>
      </c>
    </row>
    <row r="3" spans="1:6" ht="15" customHeight="1">
      <c r="A3" s="4">
        <v>-9.8000000000000007</v>
      </c>
      <c r="B3" s="4">
        <f t="shared" si="0"/>
        <v>9.8000000000000007</v>
      </c>
      <c r="C3" s="4">
        <f t="shared" si="1"/>
        <v>1.1136363636363635</v>
      </c>
      <c r="D3" s="4">
        <f t="shared" si="2"/>
        <v>0.35573808732951195</v>
      </c>
      <c r="E3" s="4">
        <f t="shared" si="3"/>
        <v>105.84000000000002</v>
      </c>
      <c r="F3" s="4">
        <f t="shared" si="4"/>
        <v>-2789.1760000000008</v>
      </c>
    </row>
    <row r="4" spans="1:6" ht="15" customHeight="1">
      <c r="A4" s="4">
        <v>-9.6</v>
      </c>
      <c r="B4" s="4">
        <f t="shared" si="0"/>
        <v>9.6</v>
      </c>
      <c r="C4" s="4">
        <f t="shared" si="1"/>
        <v>1.1162790697674418</v>
      </c>
      <c r="D4" s="4">
        <f t="shared" si="2"/>
        <v>0.36027752057743417</v>
      </c>
      <c r="E4" s="4">
        <f t="shared" si="3"/>
        <v>101.75999999999999</v>
      </c>
      <c r="F4" s="4">
        <f t="shared" si="4"/>
        <v>-2620.4079999999999</v>
      </c>
    </row>
    <row r="5" spans="1:6" ht="15" customHeight="1">
      <c r="A5" s="4">
        <v>-9.4</v>
      </c>
      <c r="B5" s="4">
        <f t="shared" si="0"/>
        <v>9.4</v>
      </c>
      <c r="C5" s="4">
        <f t="shared" si="1"/>
        <v>1.1190476190476191</v>
      </c>
      <c r="D5" s="4">
        <f t="shared" si="2"/>
        <v>0.36499308849418788</v>
      </c>
      <c r="E5" s="4">
        <f t="shared" si="3"/>
        <v>97.760000000000019</v>
      </c>
      <c r="F5" s="4">
        <f t="shared" si="4"/>
        <v>-2458.5520000000006</v>
      </c>
    </row>
    <row r="6" spans="1:6" ht="15" customHeight="1">
      <c r="A6" s="4">
        <v>-9.1999999999999993</v>
      </c>
      <c r="B6" s="4">
        <f t="shared" si="0"/>
        <v>9.1999999999999993</v>
      </c>
      <c r="C6" s="4">
        <f t="shared" si="1"/>
        <v>1.1219512195121952</v>
      </c>
      <c r="D6" s="4">
        <f t="shared" si="2"/>
        <v>0.36989636312446589</v>
      </c>
      <c r="E6" s="4">
        <f t="shared" si="3"/>
        <v>93.839999999999989</v>
      </c>
      <c r="F6" s="4">
        <f t="shared" si="4"/>
        <v>-2303.4639999999995</v>
      </c>
    </row>
    <row r="7" spans="1:6" ht="15" customHeight="1">
      <c r="A7" s="4">
        <v>-9</v>
      </c>
      <c r="B7" s="4">
        <f t="shared" si="0"/>
        <v>9</v>
      </c>
      <c r="C7" s="4">
        <f t="shared" si="1"/>
        <v>1.125</v>
      </c>
      <c r="D7" s="4">
        <f t="shared" si="2"/>
        <v>0.375</v>
      </c>
      <c r="E7" s="4">
        <f t="shared" si="3"/>
        <v>90</v>
      </c>
      <c r="F7" s="4">
        <f t="shared" si="4"/>
        <v>-2155</v>
      </c>
    </row>
    <row r="8" spans="1:6" ht="15" customHeight="1">
      <c r="A8" s="4">
        <v>-8.8000000000000007</v>
      </c>
      <c r="B8" s="4">
        <f t="shared" si="0"/>
        <v>8.8000000000000007</v>
      </c>
      <c r="C8" s="4">
        <f t="shared" si="1"/>
        <v>1.1282051282051282</v>
      </c>
      <c r="D8" s="4">
        <f t="shared" si="2"/>
        <v>0.38031787113311089</v>
      </c>
      <c r="E8" s="4">
        <f t="shared" si="3"/>
        <v>86.240000000000009</v>
      </c>
      <c r="F8" s="4">
        <f t="shared" si="4"/>
        <v>-2013.0160000000005</v>
      </c>
    </row>
    <row r="9" spans="1:6" ht="15" customHeight="1">
      <c r="A9" s="4">
        <v>-8.6</v>
      </c>
      <c r="B9" s="4">
        <f t="shared" si="0"/>
        <v>8.6</v>
      </c>
      <c r="C9" s="4">
        <f t="shared" si="1"/>
        <v>1.131578947368421</v>
      </c>
      <c r="D9" s="4">
        <f t="shared" si="2"/>
        <v>0.38586521838461002</v>
      </c>
      <c r="E9" s="4">
        <f t="shared" si="3"/>
        <v>82.559999999999988</v>
      </c>
      <c r="F9" s="4">
        <f t="shared" si="4"/>
        <v>-1877.3679999999997</v>
      </c>
    </row>
    <row r="10" spans="1:6" ht="15" customHeight="1">
      <c r="A10" s="4">
        <v>-8.4</v>
      </c>
      <c r="B10" s="4">
        <f t="shared" si="0"/>
        <v>8.4</v>
      </c>
      <c r="C10" s="4">
        <f t="shared" si="1"/>
        <v>1.1351351351351351</v>
      </c>
      <c r="D10" s="4">
        <f t="shared" si="2"/>
        <v>0.39165883097809295</v>
      </c>
      <c r="E10" s="4">
        <f t="shared" si="3"/>
        <v>78.960000000000008</v>
      </c>
      <c r="F10" s="4">
        <f t="shared" si="4"/>
        <v>-1747.912</v>
      </c>
    </row>
    <row r="11" spans="1:6" ht="15" customHeight="1">
      <c r="A11" s="4">
        <v>-8.1999999999999993</v>
      </c>
      <c r="B11" s="4">
        <f t="shared" si="0"/>
        <v>8.1999999999999993</v>
      </c>
      <c r="C11" s="4">
        <f t="shared" si="1"/>
        <v>1.1388888888888888</v>
      </c>
      <c r="D11" s="4">
        <f t="shared" si="2"/>
        <v>0.39771725175767647</v>
      </c>
      <c r="E11" s="4">
        <f t="shared" si="3"/>
        <v>75.44</v>
      </c>
      <c r="F11" s="4">
        <f t="shared" si="4"/>
        <v>-1624.5039999999999</v>
      </c>
    </row>
    <row r="12" spans="1:6" ht="15" customHeight="1">
      <c r="A12" s="4">
        <v>-8</v>
      </c>
      <c r="B12" s="4">
        <f t="shared" si="0"/>
        <v>8</v>
      </c>
      <c r="C12" s="4">
        <f t="shared" si="1"/>
        <v>1.1428571428571428</v>
      </c>
      <c r="D12" s="4">
        <f t="shared" si="2"/>
        <v>0.40406101782088433</v>
      </c>
      <c r="E12" s="4">
        <f t="shared" si="3"/>
        <v>72</v>
      </c>
      <c r="F12" s="4">
        <f t="shared" si="4"/>
        <v>-1507</v>
      </c>
    </row>
    <row r="13" spans="1:6" ht="15" customHeight="1">
      <c r="A13" s="4">
        <v>-7.8</v>
      </c>
      <c r="B13" s="4">
        <f t="shared" si="0"/>
        <v>7.8</v>
      </c>
      <c r="C13" s="4">
        <f t="shared" si="1"/>
        <v>1.1470588235294117</v>
      </c>
      <c r="D13" s="4">
        <f t="shared" si="2"/>
        <v>0.41071294246379236</v>
      </c>
      <c r="E13" s="4">
        <f t="shared" si="3"/>
        <v>68.64</v>
      </c>
      <c r="F13" s="4">
        <f t="shared" si="4"/>
        <v>-1395.2559999999999</v>
      </c>
    </row>
    <row r="14" spans="1:6" ht="15" customHeight="1">
      <c r="A14" s="4">
        <v>-7.6</v>
      </c>
      <c r="B14" s="4">
        <f t="shared" si="0"/>
        <v>7.6</v>
      </c>
      <c r="C14" s="4">
        <f t="shared" si="1"/>
        <v>1.1515151515151516</v>
      </c>
      <c r="D14" s="4">
        <f t="shared" si="2"/>
        <v>0.41769844703303705</v>
      </c>
      <c r="E14" s="4">
        <f t="shared" si="3"/>
        <v>65.36</v>
      </c>
      <c r="F14" s="4">
        <f t="shared" si="4"/>
        <v>-1289.1279999999999</v>
      </c>
    </row>
    <row r="15" spans="1:6" ht="15" customHeight="1">
      <c r="A15" s="4">
        <v>-7.4</v>
      </c>
      <c r="B15" s="4">
        <f t="shared" si="0"/>
        <v>7.4</v>
      </c>
      <c r="C15" s="4">
        <f t="shared" si="1"/>
        <v>1.15625</v>
      </c>
      <c r="D15" s="4">
        <f t="shared" si="2"/>
        <v>0.42504595339798257</v>
      </c>
      <c r="E15" s="4">
        <f t="shared" si="3"/>
        <v>62.160000000000004</v>
      </c>
      <c r="F15" s="4">
        <f t="shared" si="4"/>
        <v>-1188.472</v>
      </c>
    </row>
    <row r="16" spans="1:6" ht="15" customHeight="1">
      <c r="A16" s="4">
        <v>-7.2</v>
      </c>
      <c r="B16" s="4">
        <f t="shared" si="0"/>
        <v>7.2</v>
      </c>
      <c r="C16" s="4">
        <f t="shared" si="1"/>
        <v>1.1612903225806452</v>
      </c>
      <c r="D16" s="4">
        <f t="shared" si="2"/>
        <v>0.43278735048383027</v>
      </c>
      <c r="E16" s="4">
        <f t="shared" si="3"/>
        <v>59.040000000000006</v>
      </c>
      <c r="F16" s="4">
        <f t="shared" si="4"/>
        <v>-1093.1440000000002</v>
      </c>
    </row>
    <row r="17" spans="1:6" ht="15" customHeight="1">
      <c r="A17" s="4">
        <v>-7</v>
      </c>
      <c r="B17" s="4">
        <f t="shared" si="0"/>
        <v>7</v>
      </c>
      <c r="C17" s="4">
        <f t="shared" si="1"/>
        <v>1.1666666666666667</v>
      </c>
      <c r="D17" s="4">
        <f t="shared" si="2"/>
        <v>0.44095855184409843</v>
      </c>
      <c r="E17" s="4">
        <f t="shared" si="3"/>
        <v>56</v>
      </c>
      <c r="F17" s="4">
        <f t="shared" si="4"/>
        <v>-1003</v>
      </c>
    </row>
    <row r="18" spans="1:6" ht="15" customHeight="1">
      <c r="A18" s="4">
        <v>-6.8</v>
      </c>
      <c r="B18" s="4">
        <f t="shared" si="0"/>
        <v>6.8</v>
      </c>
      <c r="C18" s="4">
        <f t="shared" si="1"/>
        <v>1.1724137931034482</v>
      </c>
      <c r="D18" s="4">
        <f t="shared" si="2"/>
        <v>0.44960016587604473</v>
      </c>
      <c r="E18" s="4">
        <f t="shared" si="3"/>
        <v>53.039999999999992</v>
      </c>
      <c r="F18" s="4">
        <f t="shared" si="4"/>
        <v>-917.89599999999984</v>
      </c>
    </row>
    <row r="19" spans="1:6" ht="15" customHeight="1">
      <c r="A19" s="4">
        <v>-6.6</v>
      </c>
      <c r="B19" s="4">
        <f t="shared" si="0"/>
        <v>6.6</v>
      </c>
      <c r="C19" s="4">
        <f t="shared" si="1"/>
        <v>1.1785714285714286</v>
      </c>
      <c r="D19" s="4">
        <f t="shared" si="2"/>
        <v>0.45875830638089748</v>
      </c>
      <c r="E19" s="4">
        <f t="shared" si="3"/>
        <v>50.16</v>
      </c>
      <c r="F19" s="4">
        <f t="shared" si="4"/>
        <v>-837.68799999999999</v>
      </c>
    </row>
    <row r="20" spans="1:6" ht="15" customHeight="1">
      <c r="A20" s="4">
        <v>-6.4</v>
      </c>
      <c r="B20" s="4">
        <f t="shared" si="0"/>
        <v>6.4</v>
      </c>
      <c r="C20" s="4">
        <f t="shared" si="1"/>
        <v>1.1851851851851851</v>
      </c>
      <c r="D20" s="4">
        <f t="shared" si="2"/>
        <v>0.46848557928420431</v>
      </c>
      <c r="E20" s="4">
        <f t="shared" si="3"/>
        <v>47.360000000000007</v>
      </c>
      <c r="F20" s="4">
        <f t="shared" si="4"/>
        <v>-762.2320000000002</v>
      </c>
    </row>
    <row r="21" spans="1:6" ht="15" customHeight="1">
      <c r="A21" s="4">
        <v>-6.2</v>
      </c>
      <c r="B21" s="4">
        <f t="shared" si="0"/>
        <v>6.2</v>
      </c>
      <c r="C21" s="4">
        <f t="shared" si="1"/>
        <v>1.1923076923076923</v>
      </c>
      <c r="D21" s="4">
        <f t="shared" si="2"/>
        <v>0.47884229223033581</v>
      </c>
      <c r="E21" s="4">
        <f t="shared" si="3"/>
        <v>44.640000000000008</v>
      </c>
      <c r="F21" s="4">
        <f t="shared" si="4"/>
        <v>-691.38400000000013</v>
      </c>
    </row>
    <row r="22" spans="1:6" ht="15" customHeight="1">
      <c r="A22" s="4">
        <v>-6</v>
      </c>
      <c r="B22" s="4">
        <f t="shared" si="0"/>
        <v>6</v>
      </c>
      <c r="C22" s="4">
        <f t="shared" si="1"/>
        <v>1.2</v>
      </c>
      <c r="D22" s="4">
        <f t="shared" si="2"/>
        <v>0.4898979485566356</v>
      </c>
      <c r="E22" s="4">
        <f t="shared" si="3"/>
        <v>42</v>
      </c>
      <c r="F22" s="4">
        <f t="shared" si="4"/>
        <v>-625</v>
      </c>
    </row>
    <row r="23" spans="1:6" ht="15" customHeight="1">
      <c r="A23" s="4">
        <v>-5.8</v>
      </c>
      <c r="B23" s="4">
        <f t="shared" si="0"/>
        <v>5.8</v>
      </c>
      <c r="C23" s="4">
        <f t="shared" si="1"/>
        <v>1.2083333333333333</v>
      </c>
      <c r="D23" s="4">
        <f t="shared" si="2"/>
        <v>0.50173310744967903</v>
      </c>
      <c r="E23" s="4">
        <f t="shared" si="3"/>
        <v>39.44</v>
      </c>
      <c r="F23" s="4">
        <f t="shared" si="4"/>
        <v>-562.93600000000004</v>
      </c>
    </row>
    <row r="24" spans="1:6" ht="15" customHeight="1">
      <c r="A24" s="4">
        <v>-5.6</v>
      </c>
      <c r="B24" s="4">
        <f t="shared" si="0"/>
        <v>5.6</v>
      </c>
      <c r="C24" s="4">
        <f t="shared" si="1"/>
        <v>1.2173913043478262</v>
      </c>
      <c r="D24" s="4">
        <f t="shared" si="2"/>
        <v>0.51444172026953183</v>
      </c>
      <c r="E24" s="4">
        <f t="shared" si="3"/>
        <v>36.959999999999994</v>
      </c>
      <c r="F24" s="4">
        <f t="shared" si="4"/>
        <v>-505.04799999999983</v>
      </c>
    </row>
    <row r="25" spans="1:6" ht="15" customHeight="1">
      <c r="A25" s="4">
        <v>-5.4</v>
      </c>
      <c r="B25" s="4">
        <f t="shared" si="0"/>
        <v>5.4</v>
      </c>
      <c r="C25" s="4">
        <f t="shared" si="1"/>
        <v>1.2272727272727273</v>
      </c>
      <c r="D25" s="4">
        <f t="shared" si="2"/>
        <v>0.52813409266464773</v>
      </c>
      <c r="E25" s="4">
        <f t="shared" si="3"/>
        <v>34.56</v>
      </c>
      <c r="F25" s="4">
        <f t="shared" si="4"/>
        <v>-451.19200000000006</v>
      </c>
    </row>
    <row r="26" spans="1:6" ht="15" customHeight="1">
      <c r="A26" s="4">
        <v>-5.2</v>
      </c>
      <c r="B26" s="4">
        <f t="shared" si="0"/>
        <v>5.2</v>
      </c>
      <c r="C26" s="4">
        <f t="shared" si="1"/>
        <v>1.2380952380952381</v>
      </c>
      <c r="D26" s="4">
        <f t="shared" si="2"/>
        <v>0.54294067861863715</v>
      </c>
      <c r="E26" s="4">
        <f t="shared" si="3"/>
        <v>32.24</v>
      </c>
      <c r="F26" s="4">
        <f t="shared" si="4"/>
        <v>-401.22400000000005</v>
      </c>
    </row>
    <row r="27" spans="1:6" ht="15" customHeight="1">
      <c r="A27" s="4">
        <v>-5</v>
      </c>
      <c r="B27" s="4">
        <f t="shared" si="0"/>
        <v>5</v>
      </c>
      <c r="C27" s="4">
        <f t="shared" si="1"/>
        <v>1.25</v>
      </c>
      <c r="D27" s="4">
        <f t="shared" si="2"/>
        <v>0.55901699437494745</v>
      </c>
      <c r="E27" s="4">
        <f t="shared" si="3"/>
        <v>30</v>
      </c>
      <c r="F27" s="4">
        <f t="shared" si="4"/>
        <v>-355</v>
      </c>
    </row>
    <row r="28" spans="1:6" ht="15" customHeight="1">
      <c r="A28" s="4">
        <v>-4.8</v>
      </c>
      <c r="B28" s="4">
        <f t="shared" si="0"/>
        <v>4.8</v>
      </c>
      <c r="C28" s="4">
        <f t="shared" si="1"/>
        <v>1.263157894736842</v>
      </c>
      <c r="D28" s="4">
        <f t="shared" si="2"/>
        <v>0.57655006053175384</v>
      </c>
      <c r="E28" s="4">
        <f t="shared" si="3"/>
        <v>27.84</v>
      </c>
      <c r="F28" s="4">
        <f t="shared" si="4"/>
        <v>-312.37600000000003</v>
      </c>
    </row>
    <row r="29" spans="1:6" ht="15" customHeight="1">
      <c r="A29" s="4">
        <v>-4.5999999999999996</v>
      </c>
      <c r="B29" s="4">
        <f t="shared" si="0"/>
        <v>4.5999999999999996</v>
      </c>
      <c r="C29" s="4">
        <f t="shared" si="1"/>
        <v>1.2777777777777779</v>
      </c>
      <c r="D29" s="4">
        <f t="shared" si="2"/>
        <v>0.59576696082020053</v>
      </c>
      <c r="E29" s="4">
        <f t="shared" si="3"/>
        <v>25.759999999999998</v>
      </c>
      <c r="F29" s="4">
        <f t="shared" si="4"/>
        <v>-273.20799999999991</v>
      </c>
    </row>
    <row r="30" spans="1:6" ht="15" customHeight="1">
      <c r="A30" s="4">
        <v>-4.4000000000000004</v>
      </c>
      <c r="B30" s="4">
        <f t="shared" si="0"/>
        <v>4.4000000000000004</v>
      </c>
      <c r="C30" s="4">
        <f t="shared" si="1"/>
        <v>1.2941176470588236</v>
      </c>
      <c r="D30" s="4">
        <f t="shared" si="2"/>
        <v>0.61694638127655976</v>
      </c>
      <c r="E30" s="4">
        <f t="shared" si="3"/>
        <v>23.760000000000005</v>
      </c>
      <c r="F30" s="4">
        <f t="shared" si="4"/>
        <v>-237.35200000000009</v>
      </c>
    </row>
    <row r="31" spans="1:6" ht="15" customHeight="1">
      <c r="A31" s="4">
        <v>-4.2</v>
      </c>
      <c r="B31" s="4">
        <f t="shared" si="0"/>
        <v>4.2</v>
      </c>
      <c r="C31" s="4">
        <f t="shared" si="1"/>
        <v>1.3125</v>
      </c>
      <c r="D31" s="4">
        <f t="shared" si="2"/>
        <v>0.64043442287247487</v>
      </c>
      <c r="E31" s="4">
        <f t="shared" si="3"/>
        <v>21.84</v>
      </c>
      <c r="F31" s="4">
        <f t="shared" si="4"/>
        <v>-204.66400000000002</v>
      </c>
    </row>
    <row r="32" spans="1:6" ht="15" customHeight="1">
      <c r="A32" s="4">
        <v>-4</v>
      </c>
      <c r="B32" s="4">
        <f t="shared" si="0"/>
        <v>4</v>
      </c>
      <c r="C32" s="4">
        <f t="shared" si="1"/>
        <v>1.3333333333333333</v>
      </c>
      <c r="D32" s="4">
        <f t="shared" si="2"/>
        <v>0.66666666666666663</v>
      </c>
      <c r="E32" s="4">
        <f t="shared" si="3"/>
        <v>20</v>
      </c>
      <c r="F32" s="4">
        <f t="shared" si="4"/>
        <v>-175</v>
      </c>
    </row>
    <row r="33" spans="1:6" ht="15" customHeight="1">
      <c r="A33" s="4">
        <v>-3.8</v>
      </c>
      <c r="B33" s="4">
        <f t="shared" si="0"/>
        <v>3.8</v>
      </c>
      <c r="C33" s="4">
        <f t="shared" si="1"/>
        <v>1.3571428571428572</v>
      </c>
      <c r="D33" s="4">
        <f t="shared" si="2"/>
        <v>0.69619959605778314</v>
      </c>
      <c r="E33" s="4">
        <f t="shared" si="3"/>
        <v>18.239999999999998</v>
      </c>
      <c r="F33" s="4">
        <f t="shared" si="4"/>
        <v>-148.21599999999998</v>
      </c>
    </row>
    <row r="34" spans="1:6" ht="15" customHeight="1">
      <c r="A34" s="4">
        <v>-3.6</v>
      </c>
      <c r="B34" s="4">
        <f t="shared" ref="B34:B65" si="5">IF(A34&lt;5,ABS(A34),1+A34^2)</f>
        <v>3.6</v>
      </c>
      <c r="C34" s="4">
        <f t="shared" ref="C34:C65" si="6">IFERROR(IF(A34&lt;1,ABS(A34/(A34+1)),A34^2), "")</f>
        <v>1.3846153846153846</v>
      </c>
      <c r="D34" s="4">
        <f t="shared" ref="D34:D65" si="7">IFERROR(IF(A34&lt;1,ABS(SQRT(ABS(A34))/(A34+1)),1-A34^2), "")</f>
        <v>0.72975638311577984</v>
      </c>
      <c r="E34" s="4">
        <f t="shared" ref="E34:E65" si="8">IF(A34&lt;1,ABS(A34-A34^2),A34^4-A34^2+2*A34+1)</f>
        <v>16.560000000000002</v>
      </c>
      <c r="F34" s="4">
        <f t="shared" ref="F34:F65" si="9">IFERROR(IF(A34&lt;0,ABS(3*A34-5)+3*A34^3,A34^2+1/A34^2), "")</f>
        <v>-124.16800000000002</v>
      </c>
    </row>
    <row r="35" spans="1:6" ht="15" customHeight="1">
      <c r="A35" s="4">
        <v>-3.4</v>
      </c>
      <c r="B35" s="4">
        <f t="shared" si="5"/>
        <v>3.4</v>
      </c>
      <c r="C35" s="4">
        <f t="shared" si="6"/>
        <v>1.4166666666666667</v>
      </c>
      <c r="D35" s="4">
        <f t="shared" si="7"/>
        <v>0.76829537144107396</v>
      </c>
      <c r="E35" s="4">
        <f t="shared" si="8"/>
        <v>14.959999999999999</v>
      </c>
      <c r="F35" s="4">
        <f t="shared" si="9"/>
        <v>-102.71199999999997</v>
      </c>
    </row>
    <row r="36" spans="1:6" ht="15" customHeight="1">
      <c r="A36" s="4">
        <v>-3.2</v>
      </c>
      <c r="B36" s="4">
        <f t="shared" si="5"/>
        <v>3.2</v>
      </c>
      <c r="C36" s="4">
        <f t="shared" si="6"/>
        <v>1.4545454545454546</v>
      </c>
      <c r="D36" s="4">
        <f t="shared" si="7"/>
        <v>0.81311562818174166</v>
      </c>
      <c r="E36" s="4">
        <f t="shared" si="8"/>
        <v>13.440000000000001</v>
      </c>
      <c r="F36" s="4">
        <f t="shared" si="9"/>
        <v>-83.704000000000036</v>
      </c>
    </row>
    <row r="37" spans="1:6" ht="15" customHeight="1">
      <c r="A37" s="4">
        <v>-3</v>
      </c>
      <c r="B37" s="4">
        <f t="shared" si="5"/>
        <v>3</v>
      </c>
      <c r="C37" s="4">
        <f t="shared" si="6"/>
        <v>1.5</v>
      </c>
      <c r="D37" s="4">
        <f t="shared" si="7"/>
        <v>0.8660254037844386</v>
      </c>
      <c r="E37" s="4">
        <f t="shared" si="8"/>
        <v>12</v>
      </c>
      <c r="F37" s="4">
        <f t="shared" si="9"/>
        <v>-67</v>
      </c>
    </row>
    <row r="38" spans="1:6" ht="15" customHeight="1">
      <c r="A38" s="4">
        <v>-2.8</v>
      </c>
      <c r="B38" s="4">
        <f t="shared" si="5"/>
        <v>2.8</v>
      </c>
      <c r="C38" s="4">
        <f t="shared" si="6"/>
        <v>1.5555555555555556</v>
      </c>
      <c r="D38" s="4">
        <f t="shared" si="7"/>
        <v>0.9296222517045285</v>
      </c>
      <c r="E38" s="4">
        <f t="shared" si="8"/>
        <v>10.639999999999999</v>
      </c>
      <c r="F38" s="4">
        <f t="shared" si="9"/>
        <v>-52.455999999999982</v>
      </c>
    </row>
    <row r="39" spans="1:6" ht="15" customHeight="1">
      <c r="A39" s="4">
        <v>-2.6</v>
      </c>
      <c r="B39" s="4">
        <f t="shared" si="5"/>
        <v>2.6</v>
      </c>
      <c r="C39" s="4">
        <f t="shared" si="6"/>
        <v>1.625</v>
      </c>
      <c r="D39" s="4">
        <f t="shared" si="7"/>
        <v>1.0077822185373186</v>
      </c>
      <c r="E39" s="4">
        <f t="shared" si="8"/>
        <v>9.3600000000000012</v>
      </c>
      <c r="F39" s="4">
        <f t="shared" si="9"/>
        <v>-39.928000000000011</v>
      </c>
    </row>
    <row r="40" spans="1:6" ht="15" customHeight="1">
      <c r="A40" s="4">
        <v>-2.4</v>
      </c>
      <c r="B40" s="4">
        <f t="shared" si="5"/>
        <v>2.4</v>
      </c>
      <c r="C40" s="4">
        <f t="shared" si="6"/>
        <v>1.7142857142857144</v>
      </c>
      <c r="D40" s="4">
        <f t="shared" si="7"/>
        <v>1.1065666703449764</v>
      </c>
      <c r="E40" s="4">
        <f t="shared" si="8"/>
        <v>8.16</v>
      </c>
      <c r="F40" s="4">
        <f t="shared" si="9"/>
        <v>-29.272000000000002</v>
      </c>
    </row>
    <row r="41" spans="1:6" ht="15" customHeight="1">
      <c r="A41" s="4">
        <v>-2.2000000000000002</v>
      </c>
      <c r="B41" s="4">
        <f t="shared" si="5"/>
        <v>2.2000000000000002</v>
      </c>
      <c r="C41" s="4">
        <f t="shared" si="6"/>
        <v>1.8333333333333333</v>
      </c>
      <c r="D41" s="4">
        <f t="shared" si="7"/>
        <v>1.2360330811826103</v>
      </c>
      <c r="E41" s="4">
        <f t="shared" si="8"/>
        <v>7.0400000000000009</v>
      </c>
      <c r="F41" s="4">
        <f t="shared" si="9"/>
        <v>-20.344000000000008</v>
      </c>
    </row>
    <row r="42" spans="1:6" ht="15" customHeight="1">
      <c r="A42" s="4">
        <v>-2</v>
      </c>
      <c r="B42" s="4">
        <f t="shared" si="5"/>
        <v>2</v>
      </c>
      <c r="C42" s="4">
        <f t="shared" si="6"/>
        <v>2</v>
      </c>
      <c r="D42" s="4">
        <f t="shared" si="7"/>
        <v>1.4142135623730951</v>
      </c>
      <c r="E42" s="4">
        <f t="shared" si="8"/>
        <v>6</v>
      </c>
      <c r="F42" s="4">
        <f t="shared" si="9"/>
        <v>-13</v>
      </c>
    </row>
    <row r="43" spans="1:6" ht="15" customHeight="1">
      <c r="A43" s="4">
        <v>-1.8</v>
      </c>
      <c r="B43" s="4">
        <f t="shared" si="5"/>
        <v>1.8</v>
      </c>
      <c r="C43" s="4">
        <f t="shared" si="6"/>
        <v>2.25</v>
      </c>
      <c r="D43" s="4">
        <f t="shared" si="7"/>
        <v>1.6770509831248421</v>
      </c>
      <c r="E43" s="4">
        <f t="shared" si="8"/>
        <v>5.04</v>
      </c>
      <c r="F43" s="4">
        <f t="shared" si="9"/>
        <v>-7.0960000000000019</v>
      </c>
    </row>
    <row r="44" spans="1:6" ht="15" customHeight="1">
      <c r="A44" s="4">
        <v>-1.6</v>
      </c>
      <c r="B44" s="4">
        <f t="shared" si="5"/>
        <v>1.6</v>
      </c>
      <c r="C44" s="4">
        <f t="shared" si="6"/>
        <v>2.6666666666666665</v>
      </c>
      <c r="D44" s="4">
        <f t="shared" si="7"/>
        <v>2.1081851067789192</v>
      </c>
      <c r="E44" s="4">
        <f t="shared" si="8"/>
        <v>4.16</v>
      </c>
      <c r="F44" s="4">
        <f t="shared" si="9"/>
        <v>-2.4880000000000031</v>
      </c>
    </row>
    <row r="45" spans="1:6" ht="15" customHeight="1">
      <c r="A45" s="4">
        <v>-1.4</v>
      </c>
      <c r="B45" s="4">
        <f t="shared" si="5"/>
        <v>1.4</v>
      </c>
      <c r="C45" s="4">
        <f t="shared" si="6"/>
        <v>3.5000000000000004</v>
      </c>
      <c r="D45" s="4">
        <f t="shared" si="7"/>
        <v>2.9580398915498085</v>
      </c>
      <c r="E45" s="4">
        <f t="shared" si="8"/>
        <v>3.3599999999999994</v>
      </c>
      <c r="F45" s="4">
        <f t="shared" si="9"/>
        <v>0.96800000000000175</v>
      </c>
    </row>
    <row r="46" spans="1:6" ht="15" customHeight="1">
      <c r="A46" s="4">
        <v>-1.2</v>
      </c>
      <c r="B46" s="4">
        <f t="shared" si="5"/>
        <v>1.2</v>
      </c>
      <c r="C46" s="4">
        <f t="shared" si="6"/>
        <v>6.0000000000000009</v>
      </c>
      <c r="D46" s="4">
        <f t="shared" si="7"/>
        <v>5.4772255750516621</v>
      </c>
      <c r="E46" s="4">
        <f t="shared" si="8"/>
        <v>2.6399999999999997</v>
      </c>
      <c r="F46" s="4">
        <f t="shared" si="9"/>
        <v>3.4159999999999995</v>
      </c>
    </row>
    <row r="47" spans="1:6" ht="15" customHeight="1">
      <c r="A47" s="4">
        <v>-1</v>
      </c>
      <c r="B47" s="4">
        <f t="shared" si="5"/>
        <v>1</v>
      </c>
      <c r="C47" s="4" t="str">
        <f t="shared" si="6"/>
        <v/>
      </c>
      <c r="D47" s="4" t="str">
        <f t="shared" si="7"/>
        <v/>
      </c>
      <c r="E47" s="4">
        <f t="shared" si="8"/>
        <v>2</v>
      </c>
      <c r="F47" s="4">
        <f t="shared" si="9"/>
        <v>5</v>
      </c>
    </row>
    <row r="48" spans="1:6" ht="15" customHeight="1">
      <c r="A48" s="4">
        <v>-0.8</v>
      </c>
      <c r="B48" s="4">
        <f t="shared" si="5"/>
        <v>0.8</v>
      </c>
      <c r="C48" s="4">
        <f t="shared" si="6"/>
        <v>4.0000000000000009</v>
      </c>
      <c r="D48" s="4">
        <f t="shared" si="7"/>
        <v>4.4721359549995805</v>
      </c>
      <c r="E48" s="4">
        <f t="shared" si="8"/>
        <v>1.4400000000000002</v>
      </c>
      <c r="F48" s="4">
        <f t="shared" si="9"/>
        <v>5.8639999999999999</v>
      </c>
    </row>
    <row r="49" spans="1:6" ht="15" customHeight="1">
      <c r="A49" s="4">
        <v>-0.6</v>
      </c>
      <c r="B49" s="4">
        <f t="shared" si="5"/>
        <v>0.6</v>
      </c>
      <c r="C49" s="4">
        <f t="shared" si="6"/>
        <v>1.4999999999999998</v>
      </c>
      <c r="D49" s="4">
        <f t="shared" si="7"/>
        <v>1.9364916731037085</v>
      </c>
      <c r="E49" s="4">
        <f t="shared" si="8"/>
        <v>0.96</v>
      </c>
      <c r="F49" s="4">
        <f t="shared" si="9"/>
        <v>6.1520000000000001</v>
      </c>
    </row>
    <row r="50" spans="1:6" ht="15" customHeight="1">
      <c r="A50" s="4">
        <v>-0.4</v>
      </c>
      <c r="B50" s="4">
        <f t="shared" si="5"/>
        <v>0.4</v>
      </c>
      <c r="C50" s="4">
        <f t="shared" si="6"/>
        <v>0.66666666666666674</v>
      </c>
      <c r="D50" s="4">
        <f t="shared" si="7"/>
        <v>1.0540925533894598</v>
      </c>
      <c r="E50" s="4">
        <f t="shared" si="8"/>
        <v>0.56000000000000005</v>
      </c>
      <c r="F50" s="4">
        <f t="shared" si="9"/>
        <v>6.008</v>
      </c>
    </row>
    <row r="51" spans="1:6" ht="15" customHeight="1">
      <c r="A51" s="4">
        <v>-0.2</v>
      </c>
      <c r="B51" s="4">
        <f t="shared" si="5"/>
        <v>0.2</v>
      </c>
      <c r="C51" s="4">
        <f t="shared" si="6"/>
        <v>0.25</v>
      </c>
      <c r="D51" s="4">
        <f t="shared" si="7"/>
        <v>0.55901699437494734</v>
      </c>
      <c r="E51" s="4">
        <f t="shared" si="8"/>
        <v>0.24000000000000002</v>
      </c>
      <c r="F51" s="4">
        <f t="shared" si="9"/>
        <v>5.5759999999999996</v>
      </c>
    </row>
    <row r="52" spans="1:6" ht="15" customHeight="1">
      <c r="A52" s="4">
        <v>0</v>
      </c>
      <c r="B52" s="4">
        <f t="shared" si="5"/>
        <v>0</v>
      </c>
      <c r="C52" s="4">
        <f t="shared" si="6"/>
        <v>0</v>
      </c>
      <c r="D52" s="4">
        <f t="shared" si="7"/>
        <v>0</v>
      </c>
      <c r="E52" s="4">
        <f t="shared" si="8"/>
        <v>0</v>
      </c>
      <c r="F52" s="4" t="str">
        <f t="shared" si="9"/>
        <v/>
      </c>
    </row>
    <row r="53" spans="1:6" ht="15" customHeight="1">
      <c r="A53" s="4">
        <v>0.2</v>
      </c>
      <c r="B53" s="4">
        <f t="shared" si="5"/>
        <v>0.2</v>
      </c>
      <c r="C53" s="4">
        <f t="shared" si="6"/>
        <v>0.16666666666666669</v>
      </c>
      <c r="D53" s="4">
        <f t="shared" si="7"/>
        <v>0.37267799624996495</v>
      </c>
      <c r="E53" s="4">
        <f t="shared" si="8"/>
        <v>0.16</v>
      </c>
      <c r="F53" s="4">
        <f t="shared" si="9"/>
        <v>25.039999999999996</v>
      </c>
    </row>
    <row r="54" spans="1:6" ht="15" customHeight="1">
      <c r="A54" s="4">
        <v>0.4</v>
      </c>
      <c r="B54" s="4">
        <f t="shared" si="5"/>
        <v>0.4</v>
      </c>
      <c r="C54" s="4">
        <f t="shared" si="6"/>
        <v>0.28571428571428575</v>
      </c>
      <c r="D54" s="4">
        <f t="shared" si="7"/>
        <v>0.45175395145262565</v>
      </c>
      <c r="E54" s="4">
        <f t="shared" si="8"/>
        <v>0.24</v>
      </c>
      <c r="F54" s="4">
        <f t="shared" si="9"/>
        <v>6.4099999999999993</v>
      </c>
    </row>
    <row r="55" spans="1:6" ht="15" customHeight="1">
      <c r="A55" s="4">
        <v>0.6</v>
      </c>
      <c r="B55" s="4">
        <f t="shared" si="5"/>
        <v>0.6</v>
      </c>
      <c r="C55" s="4">
        <f t="shared" si="6"/>
        <v>0.37499999999999994</v>
      </c>
      <c r="D55" s="4">
        <f t="shared" si="7"/>
        <v>0.48412291827592713</v>
      </c>
      <c r="E55" s="4">
        <f t="shared" si="8"/>
        <v>0.24</v>
      </c>
      <c r="F55" s="4">
        <f t="shared" si="9"/>
        <v>3.1377777777777776</v>
      </c>
    </row>
    <row r="56" spans="1:6" ht="15" customHeight="1">
      <c r="A56" s="4">
        <v>0.8</v>
      </c>
      <c r="B56" s="4">
        <f t="shared" si="5"/>
        <v>0.8</v>
      </c>
      <c r="C56" s="4">
        <f t="shared" si="6"/>
        <v>0.44444444444444448</v>
      </c>
      <c r="D56" s="4">
        <f t="shared" si="7"/>
        <v>0.49690399499995325</v>
      </c>
      <c r="E56" s="4">
        <f t="shared" si="8"/>
        <v>0.15999999999999992</v>
      </c>
      <c r="F56" s="4">
        <f t="shared" si="9"/>
        <v>2.2024999999999997</v>
      </c>
    </row>
    <row r="57" spans="1:6" ht="15" customHeight="1">
      <c r="A57" s="4">
        <v>1</v>
      </c>
      <c r="B57" s="4">
        <f t="shared" si="5"/>
        <v>1</v>
      </c>
      <c r="C57" s="4">
        <f t="shared" si="6"/>
        <v>1</v>
      </c>
      <c r="D57" s="4">
        <f t="shared" si="7"/>
        <v>0</v>
      </c>
      <c r="E57" s="4">
        <f t="shared" si="8"/>
        <v>3</v>
      </c>
      <c r="F57" s="4">
        <f t="shared" si="9"/>
        <v>2</v>
      </c>
    </row>
    <row r="58" spans="1:6" ht="15" customHeight="1">
      <c r="A58" s="4">
        <v>1.2</v>
      </c>
      <c r="B58" s="4">
        <f t="shared" si="5"/>
        <v>1.2</v>
      </c>
      <c r="C58" s="4">
        <f t="shared" si="6"/>
        <v>1.44</v>
      </c>
      <c r="D58" s="4">
        <f t="shared" si="7"/>
        <v>-0.43999999999999995</v>
      </c>
      <c r="E58" s="4">
        <f t="shared" si="8"/>
        <v>4.0335999999999999</v>
      </c>
      <c r="F58" s="4">
        <f t="shared" si="9"/>
        <v>2.1344444444444441</v>
      </c>
    </row>
    <row r="59" spans="1:6" ht="15" customHeight="1">
      <c r="A59" s="4">
        <v>1.4</v>
      </c>
      <c r="B59" s="4">
        <f t="shared" si="5"/>
        <v>1.4</v>
      </c>
      <c r="C59" s="4">
        <f t="shared" si="6"/>
        <v>1.9599999999999997</v>
      </c>
      <c r="D59" s="4">
        <f t="shared" si="7"/>
        <v>-0.95999999999999974</v>
      </c>
      <c r="E59" s="4">
        <f t="shared" si="8"/>
        <v>5.6815999999999987</v>
      </c>
      <c r="F59" s="4">
        <f t="shared" si="9"/>
        <v>2.4702040816326529</v>
      </c>
    </row>
    <row r="60" spans="1:6" ht="15" customHeight="1">
      <c r="A60" s="4">
        <v>1.6</v>
      </c>
      <c r="B60" s="4">
        <f t="shared" si="5"/>
        <v>1.6</v>
      </c>
      <c r="C60" s="4">
        <f t="shared" si="6"/>
        <v>2.5600000000000005</v>
      </c>
      <c r="D60" s="4">
        <f t="shared" si="7"/>
        <v>-1.5600000000000005</v>
      </c>
      <c r="E60" s="4">
        <f t="shared" si="8"/>
        <v>8.1936000000000035</v>
      </c>
      <c r="F60" s="4">
        <f t="shared" si="9"/>
        <v>2.9506250000000005</v>
      </c>
    </row>
    <row r="61" spans="1:6" ht="15" customHeight="1">
      <c r="A61" s="4">
        <v>1.8</v>
      </c>
      <c r="B61" s="4">
        <f t="shared" si="5"/>
        <v>1.8</v>
      </c>
      <c r="C61" s="4">
        <f t="shared" si="6"/>
        <v>3.24</v>
      </c>
      <c r="D61" s="4">
        <f t="shared" si="7"/>
        <v>-2.2400000000000002</v>
      </c>
      <c r="E61" s="4">
        <f t="shared" si="8"/>
        <v>11.857600000000001</v>
      </c>
      <c r="F61" s="4">
        <f t="shared" si="9"/>
        <v>3.5486419753086422</v>
      </c>
    </row>
    <row r="62" spans="1:6" ht="15" customHeight="1">
      <c r="A62" s="4">
        <v>2</v>
      </c>
      <c r="B62" s="4">
        <f t="shared" si="5"/>
        <v>2</v>
      </c>
      <c r="C62" s="4">
        <f t="shared" si="6"/>
        <v>4</v>
      </c>
      <c r="D62" s="4">
        <f t="shared" si="7"/>
        <v>-3</v>
      </c>
      <c r="E62" s="4">
        <f t="shared" si="8"/>
        <v>17</v>
      </c>
      <c r="F62" s="4">
        <f t="shared" si="9"/>
        <v>4.25</v>
      </c>
    </row>
    <row r="63" spans="1:6" ht="15" customHeight="1">
      <c r="A63" s="4">
        <v>2.2000000000000002</v>
      </c>
      <c r="B63" s="4">
        <f t="shared" si="5"/>
        <v>2.2000000000000002</v>
      </c>
      <c r="C63" s="4">
        <f t="shared" si="6"/>
        <v>4.8400000000000007</v>
      </c>
      <c r="D63" s="4">
        <f t="shared" si="7"/>
        <v>-3.8400000000000007</v>
      </c>
      <c r="E63" s="4">
        <f t="shared" si="8"/>
        <v>23.985600000000005</v>
      </c>
      <c r="F63" s="4">
        <f t="shared" si="9"/>
        <v>5.0466115702479346</v>
      </c>
    </row>
    <row r="64" spans="1:6" ht="15" customHeight="1">
      <c r="A64" s="4">
        <v>2.4</v>
      </c>
      <c r="B64" s="4">
        <f t="shared" si="5"/>
        <v>2.4</v>
      </c>
      <c r="C64" s="4">
        <f t="shared" si="6"/>
        <v>5.76</v>
      </c>
      <c r="D64" s="4">
        <f t="shared" si="7"/>
        <v>-4.76</v>
      </c>
      <c r="E64" s="4">
        <f t="shared" si="8"/>
        <v>33.217599999999997</v>
      </c>
      <c r="F64" s="4">
        <f t="shared" si="9"/>
        <v>5.9336111111111105</v>
      </c>
    </row>
    <row r="65" spans="1:6" ht="15" customHeight="1">
      <c r="A65" s="4">
        <v>2.6</v>
      </c>
      <c r="B65" s="4">
        <f t="shared" si="5"/>
        <v>2.6</v>
      </c>
      <c r="C65" s="4">
        <f t="shared" si="6"/>
        <v>6.7600000000000007</v>
      </c>
      <c r="D65" s="4">
        <f t="shared" si="7"/>
        <v>-5.7600000000000007</v>
      </c>
      <c r="E65" s="4">
        <f t="shared" si="8"/>
        <v>45.137600000000013</v>
      </c>
      <c r="F65" s="4">
        <f t="shared" si="9"/>
        <v>6.907928994082841</v>
      </c>
    </row>
    <row r="66" spans="1:6" ht="15" customHeight="1">
      <c r="A66" s="4">
        <v>2.8</v>
      </c>
      <c r="B66" s="4">
        <f t="shared" ref="B66:B97" si="10">IF(A66&lt;5,ABS(A66),1+A66^2)</f>
        <v>2.8</v>
      </c>
      <c r="C66" s="4">
        <f t="shared" ref="C66:C102" si="11">IFERROR(IF(A66&lt;1,ABS(A66/(A66+1)),A66^2), "")</f>
        <v>7.839999999999999</v>
      </c>
      <c r="D66" s="4">
        <f t="shared" ref="D66:D102" si="12">IFERROR(IF(A66&lt;1,ABS(SQRT(ABS(A66))/(A66+1)),1-A66^2), "")</f>
        <v>-6.839999999999999</v>
      </c>
      <c r="E66" s="4">
        <f t="shared" ref="E66:E102" si="13">IF(A66&lt;1,ABS(A66-A66^2),A66^4-A66^2+2*A66+1)</f>
        <v>60.225599999999986</v>
      </c>
      <c r="F66" s="4">
        <f t="shared" ref="F66:F102" si="14">IFERROR(IF(A66&lt;0,ABS(3*A66-5)+3*A66^3,A66^2+1/A66^2), "")</f>
        <v>7.9675510204081625</v>
      </c>
    </row>
    <row r="67" spans="1:6" ht="15" customHeight="1">
      <c r="A67" s="4">
        <v>3</v>
      </c>
      <c r="B67" s="4">
        <f t="shared" si="10"/>
        <v>3</v>
      </c>
      <c r="C67" s="4">
        <f t="shared" si="11"/>
        <v>9</v>
      </c>
      <c r="D67" s="4">
        <f t="shared" si="12"/>
        <v>-8</v>
      </c>
      <c r="E67" s="4">
        <f t="shared" si="13"/>
        <v>79</v>
      </c>
      <c r="F67" s="4">
        <f t="shared" si="14"/>
        <v>9.1111111111111107</v>
      </c>
    </row>
    <row r="68" spans="1:6" ht="15" customHeight="1">
      <c r="A68" s="4">
        <v>3.2</v>
      </c>
      <c r="B68" s="4">
        <f t="shared" si="10"/>
        <v>3.2</v>
      </c>
      <c r="C68" s="4">
        <f t="shared" si="11"/>
        <v>10.240000000000002</v>
      </c>
      <c r="D68" s="4">
        <f t="shared" si="12"/>
        <v>-9.240000000000002</v>
      </c>
      <c r="E68" s="4">
        <f t="shared" si="13"/>
        <v>102.01760000000004</v>
      </c>
      <c r="F68" s="4">
        <f t="shared" si="14"/>
        <v>10.337656250000002</v>
      </c>
    </row>
    <row r="69" spans="1:6" ht="15" customHeight="1">
      <c r="A69" s="4">
        <v>3.4</v>
      </c>
      <c r="B69" s="4">
        <f t="shared" si="10"/>
        <v>3.4</v>
      </c>
      <c r="C69" s="4">
        <f t="shared" si="11"/>
        <v>11.559999999999999</v>
      </c>
      <c r="D69" s="4">
        <f t="shared" si="12"/>
        <v>-10.559999999999999</v>
      </c>
      <c r="E69" s="4">
        <f t="shared" si="13"/>
        <v>129.87359999999998</v>
      </c>
      <c r="F69" s="4">
        <f t="shared" si="14"/>
        <v>11.646505190311418</v>
      </c>
    </row>
    <row r="70" spans="1:6" ht="15" customHeight="1">
      <c r="A70" s="4">
        <v>3.6</v>
      </c>
      <c r="B70" s="4">
        <f t="shared" si="10"/>
        <v>3.6</v>
      </c>
      <c r="C70" s="4">
        <f t="shared" si="11"/>
        <v>12.96</v>
      </c>
      <c r="D70" s="4">
        <f t="shared" si="12"/>
        <v>-11.96</v>
      </c>
      <c r="E70" s="4">
        <f t="shared" si="13"/>
        <v>163.20160000000001</v>
      </c>
      <c r="F70" s="4">
        <f t="shared" si="14"/>
        <v>13.037160493827161</v>
      </c>
    </row>
    <row r="71" spans="1:6" ht="15" customHeight="1">
      <c r="A71" s="4">
        <v>3.8</v>
      </c>
      <c r="B71" s="4">
        <f t="shared" si="10"/>
        <v>3.8</v>
      </c>
      <c r="C71" s="4">
        <f t="shared" si="11"/>
        <v>14.44</v>
      </c>
      <c r="D71" s="4">
        <f t="shared" si="12"/>
        <v>-13.44</v>
      </c>
      <c r="E71" s="4">
        <f t="shared" si="13"/>
        <v>202.67359999999999</v>
      </c>
      <c r="F71" s="4">
        <f t="shared" si="14"/>
        <v>14.509252077562326</v>
      </c>
    </row>
    <row r="72" spans="1:6" ht="15" customHeight="1">
      <c r="A72" s="4">
        <v>4</v>
      </c>
      <c r="B72" s="4">
        <f t="shared" si="10"/>
        <v>4</v>
      </c>
      <c r="C72" s="4">
        <f t="shared" si="11"/>
        <v>16</v>
      </c>
      <c r="D72" s="4">
        <f t="shared" si="12"/>
        <v>-15</v>
      </c>
      <c r="E72" s="4">
        <f t="shared" si="13"/>
        <v>249</v>
      </c>
      <c r="F72" s="4">
        <f t="shared" si="14"/>
        <v>16.0625</v>
      </c>
    </row>
    <row r="73" spans="1:6" ht="15" customHeight="1">
      <c r="A73" s="4">
        <v>4.2</v>
      </c>
      <c r="B73" s="4">
        <f t="shared" si="10"/>
        <v>4.2</v>
      </c>
      <c r="C73" s="4">
        <f t="shared" si="11"/>
        <v>17.64</v>
      </c>
      <c r="D73" s="4">
        <f t="shared" si="12"/>
        <v>-16.64</v>
      </c>
      <c r="E73" s="4">
        <f t="shared" si="13"/>
        <v>302.92959999999999</v>
      </c>
      <c r="F73" s="4">
        <f t="shared" si="14"/>
        <v>17.69668934240363</v>
      </c>
    </row>
    <row r="74" spans="1:6" ht="15" customHeight="1">
      <c r="A74" s="4">
        <v>4.4000000000000004</v>
      </c>
      <c r="B74" s="4">
        <f t="shared" si="10"/>
        <v>4.4000000000000004</v>
      </c>
      <c r="C74" s="4">
        <f t="shared" si="11"/>
        <v>19.360000000000003</v>
      </c>
      <c r="D74" s="4">
        <f t="shared" si="12"/>
        <v>-18.360000000000003</v>
      </c>
      <c r="E74" s="4">
        <f t="shared" si="13"/>
        <v>365.2496000000001</v>
      </c>
      <c r="F74" s="4">
        <f t="shared" si="14"/>
        <v>19.411652892561985</v>
      </c>
    </row>
    <row r="75" spans="1:6" ht="15" customHeight="1">
      <c r="A75" s="4">
        <v>4.5999999999999996</v>
      </c>
      <c r="B75" s="4">
        <f t="shared" si="10"/>
        <v>4.5999999999999996</v>
      </c>
      <c r="C75" s="4">
        <f t="shared" si="11"/>
        <v>21.159999999999997</v>
      </c>
      <c r="D75" s="4">
        <f t="shared" si="12"/>
        <v>-20.159999999999997</v>
      </c>
      <c r="E75" s="4">
        <f t="shared" si="13"/>
        <v>436.78559999999987</v>
      </c>
      <c r="F75" s="4">
        <f t="shared" si="14"/>
        <v>21.207258979206046</v>
      </c>
    </row>
    <row r="76" spans="1:6" ht="15" customHeight="1">
      <c r="A76" s="4">
        <v>4.8</v>
      </c>
      <c r="B76" s="4">
        <f t="shared" si="10"/>
        <v>4.8</v>
      </c>
      <c r="C76" s="4">
        <f t="shared" si="11"/>
        <v>23.04</v>
      </c>
      <c r="D76" s="4">
        <f t="shared" si="12"/>
        <v>-22.04</v>
      </c>
      <c r="E76" s="4">
        <f t="shared" si="13"/>
        <v>518.40159999999992</v>
      </c>
      <c r="F76" s="4">
        <f t="shared" si="14"/>
        <v>23.083402777777778</v>
      </c>
    </row>
    <row r="77" spans="1:6" ht="15" customHeight="1">
      <c r="A77" s="4">
        <v>5</v>
      </c>
      <c r="B77" s="4">
        <f t="shared" si="10"/>
        <v>26</v>
      </c>
      <c r="C77" s="4">
        <f t="shared" si="11"/>
        <v>25</v>
      </c>
      <c r="D77" s="4">
        <f t="shared" si="12"/>
        <v>-24</v>
      </c>
      <c r="E77" s="4">
        <f t="shared" si="13"/>
        <v>611</v>
      </c>
      <c r="F77" s="4">
        <f t="shared" si="14"/>
        <v>25.04</v>
      </c>
    </row>
    <row r="78" spans="1:6" ht="15" customHeight="1">
      <c r="A78" s="4">
        <v>5.2</v>
      </c>
      <c r="B78" s="4">
        <f t="shared" si="10"/>
        <v>28.040000000000003</v>
      </c>
      <c r="C78" s="4">
        <f t="shared" si="11"/>
        <v>27.040000000000003</v>
      </c>
      <c r="D78" s="4">
        <f t="shared" si="12"/>
        <v>-26.040000000000003</v>
      </c>
      <c r="E78" s="4">
        <f t="shared" si="13"/>
        <v>715.52160000000015</v>
      </c>
      <c r="F78" s="4">
        <f t="shared" si="14"/>
        <v>27.076982248520714</v>
      </c>
    </row>
    <row r="79" spans="1:6" ht="15" customHeight="1">
      <c r="A79" s="4">
        <v>5.4</v>
      </c>
      <c r="B79" s="4">
        <f t="shared" si="10"/>
        <v>30.160000000000004</v>
      </c>
      <c r="C79" s="4">
        <f t="shared" si="11"/>
        <v>29.160000000000004</v>
      </c>
      <c r="D79" s="4">
        <f t="shared" si="12"/>
        <v>-28.160000000000004</v>
      </c>
      <c r="E79" s="4">
        <f t="shared" si="13"/>
        <v>832.94560000000024</v>
      </c>
      <c r="F79" s="4">
        <f t="shared" si="14"/>
        <v>29.194293552812074</v>
      </c>
    </row>
    <row r="80" spans="1:6" ht="15" customHeight="1">
      <c r="A80" s="4">
        <v>5.6</v>
      </c>
      <c r="B80" s="4">
        <f t="shared" si="10"/>
        <v>32.36</v>
      </c>
      <c r="C80" s="4">
        <f t="shared" si="11"/>
        <v>31.359999999999996</v>
      </c>
      <c r="D80" s="4">
        <f t="shared" si="12"/>
        <v>-30.359999999999996</v>
      </c>
      <c r="E80" s="4">
        <f t="shared" si="13"/>
        <v>964.28959999999972</v>
      </c>
      <c r="F80" s="4">
        <f t="shared" si="14"/>
        <v>31.391887755102037</v>
      </c>
    </row>
    <row r="81" spans="1:6" ht="15" customHeight="1">
      <c r="A81" s="4">
        <v>5.8</v>
      </c>
      <c r="B81" s="4">
        <f t="shared" si="10"/>
        <v>34.64</v>
      </c>
      <c r="C81" s="4">
        <f t="shared" si="11"/>
        <v>33.64</v>
      </c>
      <c r="D81" s="4">
        <f t="shared" si="12"/>
        <v>-32.64</v>
      </c>
      <c r="E81" s="4">
        <f t="shared" si="13"/>
        <v>1110.6095999999998</v>
      </c>
      <c r="F81" s="4">
        <f t="shared" si="14"/>
        <v>33.669726516052322</v>
      </c>
    </row>
    <row r="82" spans="1:6" ht="15" customHeight="1">
      <c r="A82" s="4">
        <v>6</v>
      </c>
      <c r="B82" s="4">
        <f t="shared" si="10"/>
        <v>37</v>
      </c>
      <c r="C82" s="4">
        <f t="shared" si="11"/>
        <v>36</v>
      </c>
      <c r="D82" s="4">
        <f t="shared" si="12"/>
        <v>-35</v>
      </c>
      <c r="E82" s="4">
        <f t="shared" si="13"/>
        <v>1273</v>
      </c>
      <c r="F82" s="4">
        <f t="shared" si="14"/>
        <v>36.027777777777779</v>
      </c>
    </row>
    <row r="83" spans="1:6" ht="15" customHeight="1">
      <c r="A83" s="4">
        <v>6.2</v>
      </c>
      <c r="B83" s="4">
        <f t="shared" si="10"/>
        <v>39.440000000000005</v>
      </c>
      <c r="C83" s="4">
        <f t="shared" si="11"/>
        <v>38.440000000000005</v>
      </c>
      <c r="D83" s="4">
        <f t="shared" si="12"/>
        <v>-37.440000000000005</v>
      </c>
      <c r="E83" s="4">
        <f t="shared" si="13"/>
        <v>1452.5936000000004</v>
      </c>
      <c r="F83" s="4">
        <f t="shared" si="14"/>
        <v>38.466014568158172</v>
      </c>
    </row>
    <row r="84" spans="1:6" ht="15" customHeight="1">
      <c r="A84" s="4">
        <v>6.4</v>
      </c>
      <c r="B84" s="4">
        <f t="shared" si="10"/>
        <v>41.960000000000008</v>
      </c>
      <c r="C84" s="4">
        <f t="shared" si="11"/>
        <v>40.960000000000008</v>
      </c>
      <c r="D84" s="4">
        <f t="shared" si="12"/>
        <v>-39.960000000000008</v>
      </c>
      <c r="E84" s="4">
        <f t="shared" si="13"/>
        <v>1650.5616000000007</v>
      </c>
      <c r="F84" s="4">
        <f t="shared" si="14"/>
        <v>40.984414062500008</v>
      </c>
    </row>
    <row r="85" spans="1:6" ht="15" customHeight="1">
      <c r="A85" s="4">
        <v>6.6</v>
      </c>
      <c r="B85" s="4">
        <f t="shared" si="10"/>
        <v>44.559999999999995</v>
      </c>
      <c r="C85" s="4">
        <f t="shared" si="11"/>
        <v>43.559999999999995</v>
      </c>
      <c r="D85" s="4">
        <f t="shared" si="12"/>
        <v>-42.559999999999995</v>
      </c>
      <c r="E85" s="4">
        <f t="shared" si="13"/>
        <v>1868.1135999999997</v>
      </c>
      <c r="F85" s="4">
        <f t="shared" si="14"/>
        <v>43.582956841138653</v>
      </c>
    </row>
    <row r="86" spans="1:6" ht="15" customHeight="1">
      <c r="A86" s="4">
        <v>6.8</v>
      </c>
      <c r="B86" s="4">
        <f t="shared" si="10"/>
        <v>47.239999999999995</v>
      </c>
      <c r="C86" s="4">
        <f t="shared" si="11"/>
        <v>46.239999999999995</v>
      </c>
      <c r="D86" s="4">
        <f t="shared" si="12"/>
        <v>-45.239999999999995</v>
      </c>
      <c r="E86" s="4">
        <f t="shared" si="13"/>
        <v>2106.4975999999997</v>
      </c>
      <c r="F86" s="4">
        <f t="shared" si="14"/>
        <v>46.261626297577848</v>
      </c>
    </row>
    <row r="87" spans="1:6" ht="15" customHeight="1">
      <c r="A87" s="4">
        <v>7</v>
      </c>
      <c r="B87" s="4">
        <f t="shared" si="10"/>
        <v>50</v>
      </c>
      <c r="C87" s="4">
        <f t="shared" si="11"/>
        <v>49</v>
      </c>
      <c r="D87" s="4">
        <f t="shared" si="12"/>
        <v>-48</v>
      </c>
      <c r="E87" s="4">
        <f t="shared" si="13"/>
        <v>2367</v>
      </c>
      <c r="F87" s="4">
        <f t="shared" si="14"/>
        <v>49.020408163265309</v>
      </c>
    </row>
    <row r="88" spans="1:6" ht="15" customHeight="1">
      <c r="A88" s="4">
        <v>7.2</v>
      </c>
      <c r="B88" s="4">
        <f t="shared" si="10"/>
        <v>52.84</v>
      </c>
      <c r="C88" s="4">
        <f t="shared" si="11"/>
        <v>51.84</v>
      </c>
      <c r="D88" s="4">
        <f t="shared" si="12"/>
        <v>-50.84</v>
      </c>
      <c r="E88" s="4">
        <f t="shared" si="13"/>
        <v>2650.9456000000005</v>
      </c>
      <c r="F88" s="4">
        <f t="shared" si="14"/>
        <v>51.859290123456795</v>
      </c>
    </row>
    <row r="89" spans="1:6" ht="15" customHeight="1">
      <c r="A89" s="4">
        <v>7.4</v>
      </c>
      <c r="B89" s="4">
        <f t="shared" si="10"/>
        <v>55.760000000000005</v>
      </c>
      <c r="C89" s="4">
        <f t="shared" si="11"/>
        <v>54.760000000000005</v>
      </c>
      <c r="D89" s="4">
        <f t="shared" si="12"/>
        <v>-53.760000000000005</v>
      </c>
      <c r="E89" s="4">
        <f t="shared" si="13"/>
        <v>2959.6976000000004</v>
      </c>
      <c r="F89" s="4">
        <f t="shared" si="14"/>
        <v>54.778261504747995</v>
      </c>
    </row>
    <row r="90" spans="1:6" ht="15" customHeight="1">
      <c r="A90" s="4">
        <v>7.6</v>
      </c>
      <c r="B90" s="4">
        <f t="shared" si="10"/>
        <v>58.76</v>
      </c>
      <c r="C90" s="4">
        <f t="shared" si="11"/>
        <v>57.76</v>
      </c>
      <c r="D90" s="4">
        <f t="shared" si="12"/>
        <v>-56.76</v>
      </c>
      <c r="E90" s="4">
        <f t="shared" si="13"/>
        <v>3294.6575999999995</v>
      </c>
      <c r="F90" s="4">
        <f t="shared" si="14"/>
        <v>57.777313019390583</v>
      </c>
    </row>
    <row r="91" spans="1:6" ht="15" customHeight="1">
      <c r="A91" s="4">
        <v>7.8</v>
      </c>
      <c r="B91" s="4">
        <f t="shared" si="10"/>
        <v>61.839999999999996</v>
      </c>
      <c r="C91" s="4">
        <f t="shared" si="11"/>
        <v>60.839999999999996</v>
      </c>
      <c r="D91" s="4">
        <f t="shared" si="12"/>
        <v>-59.839999999999996</v>
      </c>
      <c r="E91" s="4">
        <f t="shared" si="13"/>
        <v>3657.2655999999993</v>
      </c>
      <c r="F91" s="4">
        <f t="shared" si="14"/>
        <v>60.856436554898089</v>
      </c>
    </row>
    <row r="92" spans="1:6" ht="15" customHeight="1">
      <c r="A92" s="4">
        <v>8</v>
      </c>
      <c r="B92" s="4">
        <f t="shared" si="10"/>
        <v>65</v>
      </c>
      <c r="C92" s="4">
        <f t="shared" si="11"/>
        <v>64</v>
      </c>
      <c r="D92" s="4">
        <f t="shared" si="12"/>
        <v>-63</v>
      </c>
      <c r="E92" s="4">
        <f t="shared" si="13"/>
        <v>4049</v>
      </c>
      <c r="F92" s="4">
        <f t="shared" si="14"/>
        <v>64.015625</v>
      </c>
    </row>
    <row r="93" spans="1:6" ht="15" customHeight="1">
      <c r="A93" s="4">
        <v>8.1999999999999993</v>
      </c>
      <c r="B93" s="4">
        <f t="shared" si="10"/>
        <v>68.239999999999995</v>
      </c>
      <c r="C93" s="4">
        <f t="shared" si="11"/>
        <v>67.239999999999995</v>
      </c>
      <c r="D93" s="4">
        <f t="shared" si="12"/>
        <v>-66.239999999999995</v>
      </c>
      <c r="E93" s="4">
        <f t="shared" si="13"/>
        <v>4471.3775999999989</v>
      </c>
      <c r="F93" s="4">
        <f t="shared" si="14"/>
        <v>67.254872099940513</v>
      </c>
    </row>
    <row r="94" spans="1:6" ht="15" customHeight="1">
      <c r="A94" s="4">
        <v>8.4</v>
      </c>
      <c r="B94" s="4">
        <f t="shared" si="10"/>
        <v>71.56</v>
      </c>
      <c r="C94" s="4">
        <f t="shared" si="11"/>
        <v>70.56</v>
      </c>
      <c r="D94" s="4">
        <f t="shared" si="12"/>
        <v>-69.56</v>
      </c>
      <c r="E94" s="4">
        <f t="shared" si="13"/>
        <v>4925.9535999999998</v>
      </c>
      <c r="F94" s="4">
        <f t="shared" si="14"/>
        <v>70.574172335600906</v>
      </c>
    </row>
    <row r="95" spans="1:6" ht="15" customHeight="1">
      <c r="A95" s="4">
        <v>8.6</v>
      </c>
      <c r="B95" s="4">
        <f t="shared" si="10"/>
        <v>74.959999999999994</v>
      </c>
      <c r="C95" s="4">
        <f t="shared" si="11"/>
        <v>73.959999999999994</v>
      </c>
      <c r="D95" s="4">
        <f t="shared" si="12"/>
        <v>-72.959999999999994</v>
      </c>
      <c r="E95" s="4">
        <f t="shared" si="13"/>
        <v>5414.3215999999993</v>
      </c>
      <c r="F95" s="4">
        <f t="shared" si="14"/>
        <v>73.973520822065979</v>
      </c>
    </row>
    <row r="96" spans="1:6" ht="15" customHeight="1">
      <c r="A96" s="4">
        <v>8.8000000000000007</v>
      </c>
      <c r="B96" s="4">
        <f t="shared" si="10"/>
        <v>78.440000000000012</v>
      </c>
      <c r="C96" s="4">
        <f t="shared" si="11"/>
        <v>77.440000000000012</v>
      </c>
      <c r="D96" s="4">
        <f t="shared" si="12"/>
        <v>-76.440000000000012</v>
      </c>
      <c r="E96" s="4">
        <f t="shared" si="13"/>
        <v>5938.1136000000024</v>
      </c>
      <c r="F96" s="4">
        <f t="shared" si="14"/>
        <v>77.452913223140513</v>
      </c>
    </row>
    <row r="97" spans="1:6" ht="15" customHeight="1">
      <c r="A97" s="4">
        <v>9</v>
      </c>
      <c r="B97" s="4">
        <f t="shared" si="10"/>
        <v>82</v>
      </c>
      <c r="C97" s="4">
        <f t="shared" si="11"/>
        <v>81</v>
      </c>
      <c r="D97" s="4">
        <f t="shared" si="12"/>
        <v>-80</v>
      </c>
      <c r="E97" s="4">
        <f t="shared" si="13"/>
        <v>6499</v>
      </c>
      <c r="F97" s="4">
        <f t="shared" si="14"/>
        <v>81.012345679012341</v>
      </c>
    </row>
    <row r="98" spans="1:6" ht="15" customHeight="1">
      <c r="A98" s="4">
        <v>9.1999999999999993</v>
      </c>
      <c r="B98" s="4">
        <f t="shared" ref="B98:B102" si="15">IF(A98&lt;5,ABS(A98),1+A98^2)</f>
        <v>85.639999999999986</v>
      </c>
      <c r="C98" s="4">
        <f t="shared" si="11"/>
        <v>84.639999999999986</v>
      </c>
      <c r="D98" s="4">
        <f t="shared" si="12"/>
        <v>-83.639999999999986</v>
      </c>
      <c r="E98" s="4">
        <f t="shared" si="13"/>
        <v>7098.689599999997</v>
      </c>
      <c r="F98" s="4">
        <f t="shared" si="14"/>
        <v>84.651814744801499</v>
      </c>
    </row>
    <row r="99" spans="1:6" ht="15" customHeight="1">
      <c r="A99" s="4">
        <v>9.4</v>
      </c>
      <c r="B99" s="4">
        <f t="shared" si="15"/>
        <v>89.360000000000014</v>
      </c>
      <c r="C99" s="4">
        <f t="shared" si="11"/>
        <v>88.360000000000014</v>
      </c>
      <c r="D99" s="4">
        <f t="shared" si="12"/>
        <v>-87.360000000000014</v>
      </c>
      <c r="E99" s="4">
        <f t="shared" si="13"/>
        <v>7738.9296000000031</v>
      </c>
      <c r="F99" s="4">
        <f t="shared" si="14"/>
        <v>88.371317338162072</v>
      </c>
    </row>
    <row r="100" spans="1:6" ht="15" customHeight="1">
      <c r="A100" s="4">
        <v>9.6</v>
      </c>
      <c r="B100" s="4">
        <f t="shared" si="15"/>
        <v>93.16</v>
      </c>
      <c r="C100" s="4">
        <f t="shared" si="11"/>
        <v>92.16</v>
      </c>
      <c r="D100" s="4">
        <f t="shared" si="12"/>
        <v>-91.16</v>
      </c>
      <c r="E100" s="4">
        <f t="shared" si="13"/>
        <v>8421.5056000000004</v>
      </c>
      <c r="F100" s="4">
        <f t="shared" si="14"/>
        <v>92.170850694444439</v>
      </c>
    </row>
    <row r="101" spans="1:6" ht="15" customHeight="1">
      <c r="A101" s="4">
        <v>9.8000000000000007</v>
      </c>
      <c r="B101" s="4">
        <f t="shared" si="15"/>
        <v>97.04000000000002</v>
      </c>
      <c r="C101" s="4">
        <f t="shared" si="11"/>
        <v>96.04000000000002</v>
      </c>
      <c r="D101" s="4">
        <f t="shared" si="12"/>
        <v>-95.04000000000002</v>
      </c>
      <c r="E101" s="4">
        <f t="shared" si="13"/>
        <v>9148.241600000003</v>
      </c>
      <c r="F101" s="4">
        <f t="shared" si="14"/>
        <v>96.0504123281966</v>
      </c>
    </row>
    <row r="102" spans="1:6" ht="15" customHeight="1">
      <c r="A102" s="4">
        <v>10</v>
      </c>
      <c r="B102" s="4">
        <f t="shared" si="15"/>
        <v>101</v>
      </c>
      <c r="C102" s="4">
        <f t="shared" si="11"/>
        <v>100</v>
      </c>
      <c r="D102" s="4">
        <f t="shared" si="12"/>
        <v>-99</v>
      </c>
      <c r="E102" s="4">
        <f t="shared" si="13"/>
        <v>9921</v>
      </c>
      <c r="F102" s="4">
        <f t="shared" si="14"/>
        <v>100.01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7"/>
  <dimension ref="A1:B102"/>
  <sheetViews>
    <sheetView zoomScaleNormal="100" workbookViewId="0">
      <selection activeCell="G3" sqref="G3"/>
    </sheetView>
  </sheetViews>
  <sheetFormatPr defaultColWidth="8.7109375" defaultRowHeight="15"/>
  <cols>
    <col min="1" max="1" width="8" customWidth="1"/>
    <col min="2" max="2" width="17.5703125" customWidth="1"/>
  </cols>
  <sheetData>
    <row r="1" spans="1:2" ht="15" customHeight="1">
      <c r="A1" s="3" t="s">
        <v>3</v>
      </c>
      <c r="B1" s="3" t="s">
        <v>9</v>
      </c>
    </row>
    <row r="2" spans="1:2" ht="15" customHeight="1">
      <c r="A2" s="4">
        <v>-10</v>
      </c>
      <c r="B2" s="4">
        <f t="shared" ref="B2:B33" si="0">IF(A2&lt;5,ABS(A2),1+A2^2)</f>
        <v>10</v>
      </c>
    </row>
    <row r="3" spans="1:2" ht="15" customHeight="1">
      <c r="A3" s="4">
        <v>-9.8000000000000007</v>
      </c>
      <c r="B3" s="4">
        <f t="shared" si="0"/>
        <v>9.8000000000000007</v>
      </c>
    </row>
    <row r="4" spans="1:2" ht="15" customHeight="1">
      <c r="A4" s="4">
        <v>-9.6</v>
      </c>
      <c r="B4" s="4">
        <f t="shared" si="0"/>
        <v>9.6</v>
      </c>
    </row>
    <row r="5" spans="1:2" ht="15" customHeight="1">
      <c r="A5" s="4">
        <v>-9.4</v>
      </c>
      <c r="B5" s="4">
        <f t="shared" si="0"/>
        <v>9.4</v>
      </c>
    </row>
    <row r="6" spans="1:2" ht="15" customHeight="1">
      <c r="A6" s="4">
        <v>-9.1999999999999993</v>
      </c>
      <c r="B6" s="4">
        <f t="shared" si="0"/>
        <v>9.1999999999999993</v>
      </c>
    </row>
    <row r="7" spans="1:2" ht="15" customHeight="1">
      <c r="A7" s="4">
        <v>-9</v>
      </c>
      <c r="B7" s="4">
        <f t="shared" si="0"/>
        <v>9</v>
      </c>
    </row>
    <row r="8" spans="1:2" ht="15" customHeight="1">
      <c r="A8" s="4">
        <v>-8.8000000000000007</v>
      </c>
      <c r="B8" s="4">
        <f t="shared" si="0"/>
        <v>8.8000000000000007</v>
      </c>
    </row>
    <row r="9" spans="1:2" ht="15" customHeight="1">
      <c r="A9" s="4">
        <v>-8.6</v>
      </c>
      <c r="B9" s="4">
        <f t="shared" si="0"/>
        <v>8.6</v>
      </c>
    </row>
    <row r="10" spans="1:2" ht="15" customHeight="1">
      <c r="A10" s="4">
        <v>-8.4</v>
      </c>
      <c r="B10" s="4">
        <f t="shared" si="0"/>
        <v>8.4</v>
      </c>
    </row>
    <row r="11" spans="1:2" ht="15" customHeight="1">
      <c r="A11" s="4">
        <v>-8.1999999999999993</v>
      </c>
      <c r="B11" s="4">
        <f t="shared" si="0"/>
        <v>8.1999999999999993</v>
      </c>
    </row>
    <row r="12" spans="1:2" ht="15" customHeight="1">
      <c r="A12" s="4">
        <v>-8</v>
      </c>
      <c r="B12" s="4">
        <f t="shared" si="0"/>
        <v>8</v>
      </c>
    </row>
    <row r="13" spans="1:2" ht="15" customHeight="1">
      <c r="A13" s="4">
        <v>-7.8</v>
      </c>
      <c r="B13" s="4">
        <f t="shared" si="0"/>
        <v>7.8</v>
      </c>
    </row>
    <row r="14" spans="1:2" ht="15" customHeight="1">
      <c r="A14" s="4">
        <v>-7.6</v>
      </c>
      <c r="B14" s="4">
        <f t="shared" si="0"/>
        <v>7.6</v>
      </c>
    </row>
    <row r="15" spans="1:2" ht="15" customHeight="1">
      <c r="A15" s="4">
        <v>-7.4</v>
      </c>
      <c r="B15" s="4">
        <f t="shared" si="0"/>
        <v>7.4</v>
      </c>
    </row>
    <row r="16" spans="1:2" ht="15" customHeight="1">
      <c r="A16" s="4">
        <v>-7.2</v>
      </c>
      <c r="B16" s="4">
        <f t="shared" si="0"/>
        <v>7.2</v>
      </c>
    </row>
    <row r="17" spans="1:2" ht="15" customHeight="1">
      <c r="A17" s="4">
        <v>-7</v>
      </c>
      <c r="B17" s="4">
        <f t="shared" si="0"/>
        <v>7</v>
      </c>
    </row>
    <row r="18" spans="1:2" ht="15" customHeight="1">
      <c r="A18" s="4">
        <v>-6.8</v>
      </c>
      <c r="B18" s="4">
        <f t="shared" si="0"/>
        <v>6.8</v>
      </c>
    </row>
    <row r="19" spans="1:2" ht="15" customHeight="1">
      <c r="A19" s="4">
        <v>-6.6</v>
      </c>
      <c r="B19" s="4">
        <f t="shared" si="0"/>
        <v>6.6</v>
      </c>
    </row>
    <row r="20" spans="1:2" ht="15" customHeight="1">
      <c r="A20" s="4">
        <v>-6.4</v>
      </c>
      <c r="B20" s="4">
        <f t="shared" si="0"/>
        <v>6.4</v>
      </c>
    </row>
    <row r="21" spans="1:2" ht="15" customHeight="1">
      <c r="A21" s="4">
        <v>-6.2</v>
      </c>
      <c r="B21" s="4">
        <f t="shared" si="0"/>
        <v>6.2</v>
      </c>
    </row>
    <row r="22" spans="1:2" ht="15" customHeight="1">
      <c r="A22" s="4">
        <v>-6</v>
      </c>
      <c r="B22" s="4">
        <f t="shared" si="0"/>
        <v>6</v>
      </c>
    </row>
    <row r="23" spans="1:2" ht="15" customHeight="1">
      <c r="A23" s="4">
        <v>-5.8</v>
      </c>
      <c r="B23" s="4">
        <f t="shared" si="0"/>
        <v>5.8</v>
      </c>
    </row>
    <row r="24" spans="1:2" ht="15" customHeight="1">
      <c r="A24" s="4">
        <v>-5.6</v>
      </c>
      <c r="B24" s="4">
        <f t="shared" si="0"/>
        <v>5.6</v>
      </c>
    </row>
    <row r="25" spans="1:2" ht="15" customHeight="1">
      <c r="A25" s="4">
        <v>-5.4</v>
      </c>
      <c r="B25" s="4">
        <f t="shared" si="0"/>
        <v>5.4</v>
      </c>
    </row>
    <row r="26" spans="1:2" ht="15" customHeight="1">
      <c r="A26" s="4">
        <v>-5.2</v>
      </c>
      <c r="B26" s="4">
        <f t="shared" si="0"/>
        <v>5.2</v>
      </c>
    </row>
    <row r="27" spans="1:2" ht="15" customHeight="1">
      <c r="A27" s="4">
        <v>-5</v>
      </c>
      <c r="B27" s="4">
        <f t="shared" si="0"/>
        <v>5</v>
      </c>
    </row>
    <row r="28" spans="1:2" ht="15" customHeight="1">
      <c r="A28" s="4">
        <v>-4.8</v>
      </c>
      <c r="B28" s="4">
        <f t="shared" si="0"/>
        <v>4.8</v>
      </c>
    </row>
    <row r="29" spans="1:2" ht="15" customHeight="1">
      <c r="A29" s="4">
        <v>-4.5999999999999996</v>
      </c>
      <c r="B29" s="4">
        <f t="shared" si="0"/>
        <v>4.5999999999999996</v>
      </c>
    </row>
    <row r="30" spans="1:2" ht="15" customHeight="1">
      <c r="A30" s="4">
        <v>-4.4000000000000004</v>
      </c>
      <c r="B30" s="4">
        <f t="shared" si="0"/>
        <v>4.4000000000000004</v>
      </c>
    </row>
    <row r="31" spans="1:2" ht="15" customHeight="1">
      <c r="A31" s="4">
        <v>-4.2</v>
      </c>
      <c r="B31" s="4">
        <f t="shared" si="0"/>
        <v>4.2</v>
      </c>
    </row>
    <row r="32" spans="1:2" ht="15" customHeight="1">
      <c r="A32" s="4">
        <v>-4</v>
      </c>
      <c r="B32" s="4">
        <f t="shared" si="0"/>
        <v>4</v>
      </c>
    </row>
    <row r="33" spans="1:2" ht="15" customHeight="1">
      <c r="A33" s="4">
        <v>-3.8</v>
      </c>
      <c r="B33" s="4">
        <f t="shared" si="0"/>
        <v>3.8</v>
      </c>
    </row>
    <row r="34" spans="1:2" ht="15" customHeight="1">
      <c r="A34" s="4">
        <v>-3.6</v>
      </c>
      <c r="B34" s="4">
        <f t="shared" ref="B34:B65" si="1">IF(A34&lt;5,ABS(A34),1+A34^2)</f>
        <v>3.6</v>
      </c>
    </row>
    <row r="35" spans="1:2" ht="15" customHeight="1">
      <c r="A35" s="4">
        <v>-3.4</v>
      </c>
      <c r="B35" s="4">
        <f t="shared" si="1"/>
        <v>3.4</v>
      </c>
    </row>
    <row r="36" spans="1:2" ht="15" customHeight="1">
      <c r="A36" s="4">
        <v>-3.2</v>
      </c>
      <c r="B36" s="4">
        <f t="shared" si="1"/>
        <v>3.2</v>
      </c>
    </row>
    <row r="37" spans="1:2" ht="15" customHeight="1">
      <c r="A37" s="4">
        <v>-3</v>
      </c>
      <c r="B37" s="4">
        <f t="shared" si="1"/>
        <v>3</v>
      </c>
    </row>
    <row r="38" spans="1:2" ht="15" customHeight="1">
      <c r="A38" s="4">
        <v>-2.8</v>
      </c>
      <c r="B38" s="4">
        <f t="shared" si="1"/>
        <v>2.8</v>
      </c>
    </row>
    <row r="39" spans="1:2" ht="15" customHeight="1">
      <c r="A39" s="4">
        <v>-2.6</v>
      </c>
      <c r="B39" s="4">
        <f t="shared" si="1"/>
        <v>2.6</v>
      </c>
    </row>
    <row r="40" spans="1:2" ht="15" customHeight="1">
      <c r="A40" s="4">
        <v>-2.4</v>
      </c>
      <c r="B40" s="4">
        <f t="shared" si="1"/>
        <v>2.4</v>
      </c>
    </row>
    <row r="41" spans="1:2" ht="15" customHeight="1">
      <c r="A41" s="4">
        <v>-2.2000000000000002</v>
      </c>
      <c r="B41" s="4">
        <f t="shared" si="1"/>
        <v>2.2000000000000002</v>
      </c>
    </row>
    <row r="42" spans="1:2" ht="15" customHeight="1">
      <c r="A42" s="4">
        <v>-2</v>
      </c>
      <c r="B42" s="4">
        <f t="shared" si="1"/>
        <v>2</v>
      </c>
    </row>
    <row r="43" spans="1:2" ht="15" customHeight="1">
      <c r="A43" s="4">
        <v>-1.8</v>
      </c>
      <c r="B43" s="4">
        <f t="shared" si="1"/>
        <v>1.8</v>
      </c>
    </row>
    <row r="44" spans="1:2" ht="15" customHeight="1">
      <c r="A44" s="4">
        <v>-1.6</v>
      </c>
      <c r="B44" s="4">
        <f t="shared" si="1"/>
        <v>1.6</v>
      </c>
    </row>
    <row r="45" spans="1:2" ht="15" customHeight="1">
      <c r="A45" s="4">
        <v>-1.4</v>
      </c>
      <c r="B45" s="4">
        <f t="shared" si="1"/>
        <v>1.4</v>
      </c>
    </row>
    <row r="46" spans="1:2" ht="15" customHeight="1">
      <c r="A46" s="4">
        <v>-1.2</v>
      </c>
      <c r="B46" s="4">
        <f t="shared" si="1"/>
        <v>1.2</v>
      </c>
    </row>
    <row r="47" spans="1:2" ht="15" customHeight="1">
      <c r="A47" s="4">
        <v>-1</v>
      </c>
      <c r="B47" s="4">
        <f t="shared" si="1"/>
        <v>1</v>
      </c>
    </row>
    <row r="48" spans="1:2" ht="15" customHeight="1">
      <c r="A48" s="4">
        <v>-0.8</v>
      </c>
      <c r="B48" s="4">
        <f t="shared" si="1"/>
        <v>0.8</v>
      </c>
    </row>
    <row r="49" spans="1:2" ht="15" customHeight="1">
      <c r="A49" s="4">
        <v>-0.6</v>
      </c>
      <c r="B49" s="4">
        <f t="shared" si="1"/>
        <v>0.6</v>
      </c>
    </row>
    <row r="50" spans="1:2" ht="15" customHeight="1">
      <c r="A50" s="4">
        <v>-0.4</v>
      </c>
      <c r="B50" s="4">
        <f t="shared" si="1"/>
        <v>0.4</v>
      </c>
    </row>
    <row r="51" spans="1:2" ht="15" customHeight="1">
      <c r="A51" s="4">
        <v>-0.2</v>
      </c>
      <c r="B51" s="4">
        <f t="shared" si="1"/>
        <v>0.2</v>
      </c>
    </row>
    <row r="52" spans="1:2" ht="15" customHeight="1">
      <c r="A52" s="4">
        <v>0</v>
      </c>
      <c r="B52" s="4">
        <f t="shared" si="1"/>
        <v>0</v>
      </c>
    </row>
    <row r="53" spans="1:2" ht="15" customHeight="1">
      <c r="A53" s="4">
        <v>0.2</v>
      </c>
      <c r="B53" s="4">
        <f t="shared" si="1"/>
        <v>0.2</v>
      </c>
    </row>
    <row r="54" spans="1:2" ht="15" customHeight="1">
      <c r="A54" s="4">
        <v>0.4</v>
      </c>
      <c r="B54" s="4">
        <f t="shared" si="1"/>
        <v>0.4</v>
      </c>
    </row>
    <row r="55" spans="1:2" ht="15" customHeight="1">
      <c r="A55" s="4">
        <v>0.6</v>
      </c>
      <c r="B55" s="4">
        <f t="shared" si="1"/>
        <v>0.6</v>
      </c>
    </row>
    <row r="56" spans="1:2" ht="15" customHeight="1">
      <c r="A56" s="4">
        <v>0.8</v>
      </c>
      <c r="B56" s="4">
        <f t="shared" si="1"/>
        <v>0.8</v>
      </c>
    </row>
    <row r="57" spans="1:2" ht="15" customHeight="1">
      <c r="A57" s="4">
        <v>1</v>
      </c>
      <c r="B57" s="4">
        <f t="shared" si="1"/>
        <v>1</v>
      </c>
    </row>
    <row r="58" spans="1:2" ht="15" customHeight="1">
      <c r="A58" s="4">
        <v>1.2</v>
      </c>
      <c r="B58" s="4">
        <f t="shared" si="1"/>
        <v>1.2</v>
      </c>
    </row>
    <row r="59" spans="1:2" ht="15" customHeight="1">
      <c r="A59" s="4">
        <v>1.4</v>
      </c>
      <c r="B59" s="4">
        <f t="shared" si="1"/>
        <v>1.4</v>
      </c>
    </row>
    <row r="60" spans="1:2" ht="15" customHeight="1">
      <c r="A60" s="4">
        <v>1.6</v>
      </c>
      <c r="B60" s="4">
        <f t="shared" si="1"/>
        <v>1.6</v>
      </c>
    </row>
    <row r="61" spans="1:2" ht="15" customHeight="1">
      <c r="A61" s="4">
        <v>1.8</v>
      </c>
      <c r="B61" s="4">
        <f t="shared" si="1"/>
        <v>1.8</v>
      </c>
    </row>
    <row r="62" spans="1:2" ht="15" customHeight="1">
      <c r="A62" s="4">
        <v>2</v>
      </c>
      <c r="B62" s="4">
        <f t="shared" si="1"/>
        <v>2</v>
      </c>
    </row>
    <row r="63" spans="1:2" ht="15" customHeight="1">
      <c r="A63" s="4">
        <v>2.2000000000000002</v>
      </c>
      <c r="B63" s="4">
        <f t="shared" si="1"/>
        <v>2.2000000000000002</v>
      </c>
    </row>
    <row r="64" spans="1:2" ht="15" customHeight="1">
      <c r="A64" s="4">
        <v>2.4</v>
      </c>
      <c r="B64" s="4">
        <f t="shared" si="1"/>
        <v>2.4</v>
      </c>
    </row>
    <row r="65" spans="1:2" ht="15" customHeight="1">
      <c r="A65" s="4">
        <v>2.6</v>
      </c>
      <c r="B65" s="4">
        <f t="shared" si="1"/>
        <v>2.6</v>
      </c>
    </row>
    <row r="66" spans="1:2" ht="15" customHeight="1">
      <c r="A66" s="4">
        <v>2.8</v>
      </c>
      <c r="B66" s="4">
        <f t="shared" ref="B66:B97" si="2">IF(A66&lt;5,ABS(A66),1+A66^2)</f>
        <v>2.8</v>
      </c>
    </row>
    <row r="67" spans="1:2" ht="15" customHeight="1">
      <c r="A67" s="4">
        <v>3</v>
      </c>
      <c r="B67" s="4">
        <f t="shared" si="2"/>
        <v>3</v>
      </c>
    </row>
    <row r="68" spans="1:2" ht="15" customHeight="1">
      <c r="A68" s="4">
        <v>3.2</v>
      </c>
      <c r="B68" s="4">
        <f t="shared" si="2"/>
        <v>3.2</v>
      </c>
    </row>
    <row r="69" spans="1:2" ht="15" customHeight="1">
      <c r="A69" s="4">
        <v>3.4</v>
      </c>
      <c r="B69" s="4">
        <f t="shared" si="2"/>
        <v>3.4</v>
      </c>
    </row>
    <row r="70" spans="1:2" ht="15" customHeight="1">
      <c r="A70" s="4">
        <v>3.6</v>
      </c>
      <c r="B70" s="4">
        <f t="shared" si="2"/>
        <v>3.6</v>
      </c>
    </row>
    <row r="71" spans="1:2" ht="15" customHeight="1">
      <c r="A71" s="4">
        <v>3.8</v>
      </c>
      <c r="B71" s="4">
        <f t="shared" si="2"/>
        <v>3.8</v>
      </c>
    </row>
    <row r="72" spans="1:2" ht="15" customHeight="1">
      <c r="A72" s="4">
        <v>4</v>
      </c>
      <c r="B72" s="4">
        <f t="shared" si="2"/>
        <v>4</v>
      </c>
    </row>
    <row r="73" spans="1:2" ht="15" customHeight="1">
      <c r="A73" s="4">
        <v>4.2</v>
      </c>
      <c r="B73" s="4">
        <f t="shared" si="2"/>
        <v>4.2</v>
      </c>
    </row>
    <row r="74" spans="1:2" ht="15" customHeight="1">
      <c r="A74" s="4">
        <v>4.4000000000000004</v>
      </c>
      <c r="B74" s="4">
        <f t="shared" si="2"/>
        <v>4.4000000000000004</v>
      </c>
    </row>
    <row r="75" spans="1:2" ht="15" customHeight="1">
      <c r="A75" s="4">
        <v>4.5999999999999996</v>
      </c>
      <c r="B75" s="4">
        <f t="shared" si="2"/>
        <v>4.5999999999999996</v>
      </c>
    </row>
    <row r="76" spans="1:2" ht="15" customHeight="1">
      <c r="A76" s="4">
        <v>4.8</v>
      </c>
      <c r="B76" s="4">
        <f t="shared" si="2"/>
        <v>4.8</v>
      </c>
    </row>
    <row r="77" spans="1:2" ht="15" customHeight="1">
      <c r="A77" s="4">
        <v>5</v>
      </c>
      <c r="B77" s="4">
        <f t="shared" si="2"/>
        <v>26</v>
      </c>
    </row>
    <row r="78" spans="1:2" ht="15" customHeight="1">
      <c r="A78" s="4">
        <v>5.2</v>
      </c>
      <c r="B78" s="4">
        <f t="shared" si="2"/>
        <v>28.040000000000003</v>
      </c>
    </row>
    <row r="79" spans="1:2" ht="15" customHeight="1">
      <c r="A79" s="4">
        <v>5.4</v>
      </c>
      <c r="B79" s="4">
        <f t="shared" si="2"/>
        <v>30.160000000000004</v>
      </c>
    </row>
    <row r="80" spans="1:2" ht="15" customHeight="1">
      <c r="A80" s="4">
        <v>5.6</v>
      </c>
      <c r="B80" s="4">
        <f t="shared" si="2"/>
        <v>32.36</v>
      </c>
    </row>
    <row r="81" spans="1:2" ht="15" customHeight="1">
      <c r="A81" s="4">
        <v>5.8</v>
      </c>
      <c r="B81" s="4">
        <f t="shared" si="2"/>
        <v>34.64</v>
      </c>
    </row>
    <row r="82" spans="1:2" ht="15" customHeight="1">
      <c r="A82" s="4">
        <v>6</v>
      </c>
      <c r="B82" s="4">
        <f t="shared" si="2"/>
        <v>37</v>
      </c>
    </row>
    <row r="83" spans="1:2" ht="15" customHeight="1">
      <c r="A83" s="4">
        <v>6.2</v>
      </c>
      <c r="B83" s="4">
        <f t="shared" si="2"/>
        <v>39.440000000000005</v>
      </c>
    </row>
    <row r="84" spans="1:2" ht="15" customHeight="1">
      <c r="A84" s="4">
        <v>6.4</v>
      </c>
      <c r="B84" s="4">
        <f t="shared" si="2"/>
        <v>41.960000000000008</v>
      </c>
    </row>
    <row r="85" spans="1:2" ht="15" customHeight="1">
      <c r="A85" s="4">
        <v>6.6</v>
      </c>
      <c r="B85" s="4">
        <f t="shared" si="2"/>
        <v>44.559999999999995</v>
      </c>
    </row>
    <row r="86" spans="1:2" ht="15" customHeight="1">
      <c r="A86" s="4">
        <v>6.8</v>
      </c>
      <c r="B86" s="4">
        <f t="shared" si="2"/>
        <v>47.239999999999995</v>
      </c>
    </row>
    <row r="87" spans="1:2" ht="15" customHeight="1">
      <c r="A87" s="4">
        <v>7</v>
      </c>
      <c r="B87" s="4">
        <f t="shared" si="2"/>
        <v>50</v>
      </c>
    </row>
    <row r="88" spans="1:2" ht="15" customHeight="1">
      <c r="A88" s="4">
        <v>7.2</v>
      </c>
      <c r="B88" s="4">
        <f t="shared" si="2"/>
        <v>52.84</v>
      </c>
    </row>
    <row r="89" spans="1:2" ht="15" customHeight="1">
      <c r="A89" s="4">
        <v>7.4</v>
      </c>
      <c r="B89" s="4">
        <f t="shared" si="2"/>
        <v>55.760000000000005</v>
      </c>
    </row>
    <row r="90" spans="1:2" ht="15" customHeight="1">
      <c r="A90" s="4">
        <v>7.6</v>
      </c>
      <c r="B90" s="4">
        <f t="shared" si="2"/>
        <v>58.76</v>
      </c>
    </row>
    <row r="91" spans="1:2" ht="15" customHeight="1">
      <c r="A91" s="4">
        <v>7.8</v>
      </c>
      <c r="B91" s="4">
        <f t="shared" si="2"/>
        <v>61.839999999999996</v>
      </c>
    </row>
    <row r="92" spans="1:2" ht="15" customHeight="1">
      <c r="A92" s="4">
        <v>8</v>
      </c>
      <c r="B92" s="4">
        <f t="shared" si="2"/>
        <v>65</v>
      </c>
    </row>
    <row r="93" spans="1:2" ht="15" customHeight="1">
      <c r="A93" s="4">
        <v>8.1999999999999993</v>
      </c>
      <c r="B93" s="4">
        <f t="shared" si="2"/>
        <v>68.239999999999995</v>
      </c>
    </row>
    <row r="94" spans="1:2" ht="15" customHeight="1">
      <c r="A94" s="4">
        <v>8.4</v>
      </c>
      <c r="B94" s="4">
        <f t="shared" si="2"/>
        <v>71.56</v>
      </c>
    </row>
    <row r="95" spans="1:2" ht="15" customHeight="1">
      <c r="A95" s="4">
        <v>8.6</v>
      </c>
      <c r="B95" s="4">
        <f t="shared" si="2"/>
        <v>74.959999999999994</v>
      </c>
    </row>
    <row r="96" spans="1:2" ht="15" customHeight="1">
      <c r="A96" s="4">
        <v>8.8000000000000007</v>
      </c>
      <c r="B96" s="4">
        <f t="shared" si="2"/>
        <v>78.440000000000012</v>
      </c>
    </row>
    <row r="97" spans="1:2" ht="15" customHeight="1">
      <c r="A97" s="4">
        <v>9</v>
      </c>
      <c r="B97" s="4">
        <f t="shared" si="2"/>
        <v>82</v>
      </c>
    </row>
    <row r="98" spans="1:2" ht="15" customHeight="1">
      <c r="A98" s="4">
        <v>9.1999999999999993</v>
      </c>
      <c r="B98" s="4">
        <f t="shared" ref="B98:B102" si="3">IF(A98&lt;5,ABS(A98),1+A98^2)</f>
        <v>85.639999999999986</v>
      </c>
    </row>
    <row r="99" spans="1:2" ht="15" customHeight="1">
      <c r="A99" s="4">
        <v>9.4</v>
      </c>
      <c r="B99" s="4">
        <f t="shared" si="3"/>
        <v>89.360000000000014</v>
      </c>
    </row>
    <row r="100" spans="1:2" ht="15" customHeight="1">
      <c r="A100" s="4">
        <v>9.6</v>
      </c>
      <c r="B100" s="4">
        <f t="shared" si="3"/>
        <v>93.16</v>
      </c>
    </row>
    <row r="101" spans="1:2" ht="15" customHeight="1">
      <c r="A101" s="4">
        <v>9.8000000000000007</v>
      </c>
      <c r="B101" s="4">
        <f t="shared" si="3"/>
        <v>97.04000000000002</v>
      </c>
    </row>
    <row r="102" spans="1:2" ht="15" customHeight="1">
      <c r="A102" s="4">
        <v>10</v>
      </c>
      <c r="B102" s="4">
        <f t="shared" si="3"/>
        <v>101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9"/>
  <dimension ref="A1:B102"/>
  <sheetViews>
    <sheetView zoomScaleNormal="100" workbookViewId="0">
      <selection activeCell="L9" sqref="L9"/>
    </sheetView>
  </sheetViews>
  <sheetFormatPr defaultColWidth="8.7109375" defaultRowHeight="15"/>
  <cols>
    <col min="1" max="1" width="8" customWidth="1"/>
    <col min="2" max="2" width="30" customWidth="1"/>
  </cols>
  <sheetData>
    <row r="1" spans="1:2" ht="15" customHeight="1">
      <c r="A1" s="3" t="s">
        <v>3</v>
      </c>
      <c r="B1" s="3" t="s">
        <v>10</v>
      </c>
    </row>
    <row r="2" spans="1:2" ht="15" customHeight="1">
      <c r="A2" s="4">
        <v>-10</v>
      </c>
      <c r="B2" s="4">
        <f t="shared" ref="B2:B33" si="0">IFERROR(IF(A2&lt;1,ABS(A2/(A2+1)),A2^2), "")</f>
        <v>1.1111111111111112</v>
      </c>
    </row>
    <row r="3" spans="1:2" ht="15" customHeight="1">
      <c r="A3" s="4">
        <v>-9.8000000000000007</v>
      </c>
      <c r="B3" s="4">
        <f t="shared" si="0"/>
        <v>1.1136363636363635</v>
      </c>
    </row>
    <row r="4" spans="1:2" ht="15" customHeight="1">
      <c r="A4" s="4">
        <v>-9.6</v>
      </c>
      <c r="B4" s="4">
        <f t="shared" si="0"/>
        <v>1.1162790697674418</v>
      </c>
    </row>
    <row r="5" spans="1:2" ht="15" customHeight="1">
      <c r="A5" s="4">
        <v>-9.4</v>
      </c>
      <c r="B5" s="4">
        <f t="shared" si="0"/>
        <v>1.1190476190476191</v>
      </c>
    </row>
    <row r="6" spans="1:2" ht="15" customHeight="1">
      <c r="A6" s="4">
        <v>-9.1999999999999993</v>
      </c>
      <c r="B6" s="4">
        <f t="shared" si="0"/>
        <v>1.1219512195121952</v>
      </c>
    </row>
    <row r="7" spans="1:2" ht="15" customHeight="1">
      <c r="A7" s="4">
        <v>-9</v>
      </c>
      <c r="B7" s="4">
        <f t="shared" si="0"/>
        <v>1.125</v>
      </c>
    </row>
    <row r="8" spans="1:2" ht="15" customHeight="1">
      <c r="A8" s="4">
        <v>-8.8000000000000007</v>
      </c>
      <c r="B8" s="4">
        <f t="shared" si="0"/>
        <v>1.1282051282051282</v>
      </c>
    </row>
    <row r="9" spans="1:2" ht="15" customHeight="1">
      <c r="A9" s="4">
        <v>-8.6</v>
      </c>
      <c r="B9" s="4">
        <f t="shared" si="0"/>
        <v>1.131578947368421</v>
      </c>
    </row>
    <row r="10" spans="1:2" ht="15" customHeight="1">
      <c r="A10" s="4">
        <v>-8.4</v>
      </c>
      <c r="B10" s="4">
        <f t="shared" si="0"/>
        <v>1.1351351351351351</v>
      </c>
    </row>
    <row r="11" spans="1:2" ht="15" customHeight="1">
      <c r="A11" s="4">
        <v>-8.1999999999999993</v>
      </c>
      <c r="B11" s="4">
        <f t="shared" si="0"/>
        <v>1.1388888888888888</v>
      </c>
    </row>
    <row r="12" spans="1:2" ht="15" customHeight="1">
      <c r="A12" s="4">
        <v>-8</v>
      </c>
      <c r="B12" s="4">
        <f t="shared" si="0"/>
        <v>1.1428571428571428</v>
      </c>
    </row>
    <row r="13" spans="1:2" ht="15" customHeight="1">
      <c r="A13" s="4">
        <v>-7.8</v>
      </c>
      <c r="B13" s="4">
        <f t="shared" si="0"/>
        <v>1.1470588235294117</v>
      </c>
    </row>
    <row r="14" spans="1:2" ht="15" customHeight="1">
      <c r="A14" s="4">
        <v>-7.6</v>
      </c>
      <c r="B14" s="4">
        <f t="shared" si="0"/>
        <v>1.1515151515151516</v>
      </c>
    </row>
    <row r="15" spans="1:2" ht="15" customHeight="1">
      <c r="A15" s="4">
        <v>-7.4</v>
      </c>
      <c r="B15" s="4">
        <f t="shared" si="0"/>
        <v>1.15625</v>
      </c>
    </row>
    <row r="16" spans="1:2" ht="15" customHeight="1">
      <c r="A16" s="4">
        <v>-7.2</v>
      </c>
      <c r="B16" s="4">
        <f t="shared" si="0"/>
        <v>1.1612903225806452</v>
      </c>
    </row>
    <row r="17" spans="1:2" ht="15" customHeight="1">
      <c r="A17" s="4">
        <v>-7</v>
      </c>
      <c r="B17" s="4">
        <f t="shared" si="0"/>
        <v>1.1666666666666667</v>
      </c>
    </row>
    <row r="18" spans="1:2" ht="15" customHeight="1">
      <c r="A18" s="4">
        <v>-6.8</v>
      </c>
      <c r="B18" s="4">
        <f t="shared" si="0"/>
        <v>1.1724137931034482</v>
      </c>
    </row>
    <row r="19" spans="1:2" ht="15" customHeight="1">
      <c r="A19" s="4">
        <v>-6.6</v>
      </c>
      <c r="B19" s="4">
        <f t="shared" si="0"/>
        <v>1.1785714285714286</v>
      </c>
    </row>
    <row r="20" spans="1:2" ht="15" customHeight="1">
      <c r="A20" s="4">
        <v>-6.4</v>
      </c>
      <c r="B20" s="4">
        <f t="shared" si="0"/>
        <v>1.1851851851851851</v>
      </c>
    </row>
    <row r="21" spans="1:2" ht="15" customHeight="1">
      <c r="A21" s="4">
        <v>-6.2</v>
      </c>
      <c r="B21" s="4">
        <f t="shared" si="0"/>
        <v>1.1923076923076923</v>
      </c>
    </row>
    <row r="22" spans="1:2" ht="15" customHeight="1">
      <c r="A22" s="4">
        <v>-6</v>
      </c>
      <c r="B22" s="4">
        <f t="shared" si="0"/>
        <v>1.2</v>
      </c>
    </row>
    <row r="23" spans="1:2" ht="15" customHeight="1">
      <c r="A23" s="4">
        <v>-5.8</v>
      </c>
      <c r="B23" s="4">
        <f t="shared" si="0"/>
        <v>1.2083333333333333</v>
      </c>
    </row>
    <row r="24" spans="1:2" ht="15" customHeight="1">
      <c r="A24" s="4">
        <v>-5.6</v>
      </c>
      <c r="B24" s="4">
        <f t="shared" si="0"/>
        <v>1.2173913043478262</v>
      </c>
    </row>
    <row r="25" spans="1:2" ht="15" customHeight="1">
      <c r="A25" s="4">
        <v>-5.4</v>
      </c>
      <c r="B25" s="4">
        <f t="shared" si="0"/>
        <v>1.2272727272727273</v>
      </c>
    </row>
    <row r="26" spans="1:2" ht="15" customHeight="1">
      <c r="A26" s="4">
        <v>-5.2</v>
      </c>
      <c r="B26" s="4">
        <f t="shared" si="0"/>
        <v>1.2380952380952381</v>
      </c>
    </row>
    <row r="27" spans="1:2" ht="15" customHeight="1">
      <c r="A27" s="4">
        <v>-5</v>
      </c>
      <c r="B27" s="4">
        <f t="shared" si="0"/>
        <v>1.25</v>
      </c>
    </row>
    <row r="28" spans="1:2" ht="15" customHeight="1">
      <c r="A28" s="4">
        <v>-4.8</v>
      </c>
      <c r="B28" s="4">
        <f t="shared" si="0"/>
        <v>1.263157894736842</v>
      </c>
    </row>
    <row r="29" spans="1:2" ht="15" customHeight="1">
      <c r="A29" s="4">
        <v>-4.5999999999999996</v>
      </c>
      <c r="B29" s="4">
        <f t="shared" si="0"/>
        <v>1.2777777777777779</v>
      </c>
    </row>
    <row r="30" spans="1:2" ht="15" customHeight="1">
      <c r="A30" s="4">
        <v>-4.4000000000000004</v>
      </c>
      <c r="B30" s="4">
        <f t="shared" si="0"/>
        <v>1.2941176470588236</v>
      </c>
    </row>
    <row r="31" spans="1:2" ht="15" customHeight="1">
      <c r="A31" s="4">
        <v>-4.2</v>
      </c>
      <c r="B31" s="4">
        <f t="shared" si="0"/>
        <v>1.3125</v>
      </c>
    </row>
    <row r="32" spans="1:2" ht="15" customHeight="1">
      <c r="A32" s="4">
        <v>-4</v>
      </c>
      <c r="B32" s="4">
        <f t="shared" si="0"/>
        <v>1.3333333333333333</v>
      </c>
    </row>
    <row r="33" spans="1:2" ht="15" customHeight="1">
      <c r="A33" s="4">
        <v>-3.8</v>
      </c>
      <c r="B33" s="4">
        <f t="shared" si="0"/>
        <v>1.3571428571428572</v>
      </c>
    </row>
    <row r="34" spans="1:2" ht="15" customHeight="1">
      <c r="A34" s="4">
        <v>-3.6</v>
      </c>
      <c r="B34" s="4">
        <f t="shared" ref="B34:B65" si="1">IFERROR(IF(A34&lt;1,ABS(A34/(A34+1)),A34^2), "")</f>
        <v>1.3846153846153846</v>
      </c>
    </row>
    <row r="35" spans="1:2" ht="15" customHeight="1">
      <c r="A35" s="4">
        <v>-3.4</v>
      </c>
      <c r="B35" s="4">
        <f t="shared" si="1"/>
        <v>1.4166666666666667</v>
      </c>
    </row>
    <row r="36" spans="1:2" ht="15" customHeight="1">
      <c r="A36" s="4">
        <v>-3.2</v>
      </c>
      <c r="B36" s="4">
        <f t="shared" si="1"/>
        <v>1.4545454545454546</v>
      </c>
    </row>
    <row r="37" spans="1:2" ht="15" customHeight="1">
      <c r="A37" s="4">
        <v>-3</v>
      </c>
      <c r="B37" s="4">
        <f t="shared" si="1"/>
        <v>1.5</v>
      </c>
    </row>
    <row r="38" spans="1:2" ht="15" customHeight="1">
      <c r="A38" s="4">
        <v>-2.8</v>
      </c>
      <c r="B38" s="4">
        <f t="shared" si="1"/>
        <v>1.5555555555555556</v>
      </c>
    </row>
    <row r="39" spans="1:2" ht="15" customHeight="1">
      <c r="A39" s="4">
        <v>-2.6</v>
      </c>
      <c r="B39" s="4">
        <f t="shared" si="1"/>
        <v>1.625</v>
      </c>
    </row>
    <row r="40" spans="1:2" ht="15" customHeight="1">
      <c r="A40" s="4">
        <v>-2.4</v>
      </c>
      <c r="B40" s="4">
        <f t="shared" si="1"/>
        <v>1.7142857142857144</v>
      </c>
    </row>
    <row r="41" spans="1:2" ht="15" customHeight="1">
      <c r="A41" s="4">
        <v>-2.2000000000000002</v>
      </c>
      <c r="B41" s="4">
        <f t="shared" si="1"/>
        <v>1.8333333333333333</v>
      </c>
    </row>
    <row r="42" spans="1:2" ht="15" customHeight="1">
      <c r="A42" s="4">
        <v>-2</v>
      </c>
      <c r="B42" s="4">
        <f t="shared" si="1"/>
        <v>2</v>
      </c>
    </row>
    <row r="43" spans="1:2" ht="15" customHeight="1">
      <c r="A43" s="4">
        <v>-1.8</v>
      </c>
      <c r="B43" s="4">
        <f t="shared" si="1"/>
        <v>2.25</v>
      </c>
    </row>
    <row r="44" spans="1:2" ht="15" customHeight="1">
      <c r="A44" s="4">
        <v>-1.6</v>
      </c>
      <c r="B44" s="4">
        <f t="shared" si="1"/>
        <v>2.6666666666666665</v>
      </c>
    </row>
    <row r="45" spans="1:2" ht="15" customHeight="1">
      <c r="A45" s="4">
        <v>-1.4</v>
      </c>
      <c r="B45" s="4">
        <f t="shared" si="1"/>
        <v>3.5000000000000004</v>
      </c>
    </row>
    <row r="46" spans="1:2" ht="15" customHeight="1">
      <c r="A46" s="4">
        <v>-1.2</v>
      </c>
      <c r="B46" s="4">
        <f t="shared" si="1"/>
        <v>6.0000000000000009</v>
      </c>
    </row>
    <row r="47" spans="1:2" ht="15" customHeight="1">
      <c r="A47" s="4">
        <v>-1</v>
      </c>
      <c r="B47" s="4" t="str">
        <f t="shared" si="1"/>
        <v/>
      </c>
    </row>
    <row r="48" spans="1:2" ht="15" customHeight="1">
      <c r="A48" s="4">
        <v>-0.8</v>
      </c>
      <c r="B48" s="4">
        <f t="shared" si="1"/>
        <v>4.0000000000000009</v>
      </c>
    </row>
    <row r="49" spans="1:2" ht="15" customHeight="1">
      <c r="A49" s="4">
        <v>-0.6</v>
      </c>
      <c r="B49" s="4">
        <f t="shared" si="1"/>
        <v>1.4999999999999998</v>
      </c>
    </row>
    <row r="50" spans="1:2" ht="15" customHeight="1">
      <c r="A50" s="4">
        <v>-0.4</v>
      </c>
      <c r="B50" s="4">
        <f t="shared" si="1"/>
        <v>0.66666666666666674</v>
      </c>
    </row>
    <row r="51" spans="1:2" ht="15" customHeight="1">
      <c r="A51" s="4">
        <v>-0.2</v>
      </c>
      <c r="B51" s="4">
        <f t="shared" si="1"/>
        <v>0.25</v>
      </c>
    </row>
    <row r="52" spans="1:2" ht="15" customHeight="1">
      <c r="A52" s="4">
        <v>0</v>
      </c>
      <c r="B52" s="4">
        <f t="shared" si="1"/>
        <v>0</v>
      </c>
    </row>
    <row r="53" spans="1:2" ht="15" customHeight="1">
      <c r="A53" s="4">
        <v>0.2</v>
      </c>
      <c r="B53" s="4">
        <f t="shared" si="1"/>
        <v>0.16666666666666669</v>
      </c>
    </row>
    <row r="54" spans="1:2" ht="15" customHeight="1">
      <c r="A54" s="4">
        <v>0.4</v>
      </c>
      <c r="B54" s="4">
        <f t="shared" si="1"/>
        <v>0.28571428571428575</v>
      </c>
    </row>
    <row r="55" spans="1:2" ht="15" customHeight="1">
      <c r="A55" s="4">
        <v>0.6</v>
      </c>
      <c r="B55" s="4">
        <f t="shared" si="1"/>
        <v>0.37499999999999994</v>
      </c>
    </row>
    <row r="56" spans="1:2" ht="15" customHeight="1">
      <c r="A56" s="4">
        <v>0.8</v>
      </c>
      <c r="B56" s="4">
        <f t="shared" si="1"/>
        <v>0.44444444444444448</v>
      </c>
    </row>
    <row r="57" spans="1:2" ht="15" customHeight="1">
      <c r="A57" s="4">
        <v>1</v>
      </c>
      <c r="B57" s="4">
        <f t="shared" si="1"/>
        <v>1</v>
      </c>
    </row>
    <row r="58" spans="1:2" ht="15" customHeight="1">
      <c r="A58" s="4">
        <v>1.2</v>
      </c>
      <c r="B58" s="4">
        <f t="shared" si="1"/>
        <v>1.44</v>
      </c>
    </row>
    <row r="59" spans="1:2" ht="15" customHeight="1">
      <c r="A59" s="4">
        <v>1.4</v>
      </c>
      <c r="B59" s="4">
        <f t="shared" si="1"/>
        <v>1.9599999999999997</v>
      </c>
    </row>
    <row r="60" spans="1:2" ht="15" customHeight="1">
      <c r="A60" s="4">
        <v>1.6</v>
      </c>
      <c r="B60" s="4">
        <f t="shared" si="1"/>
        <v>2.5600000000000005</v>
      </c>
    </row>
    <row r="61" spans="1:2" ht="15" customHeight="1">
      <c r="A61" s="4">
        <v>1.8</v>
      </c>
      <c r="B61" s="4">
        <f t="shared" si="1"/>
        <v>3.24</v>
      </c>
    </row>
    <row r="62" spans="1:2" ht="15" customHeight="1">
      <c r="A62" s="4">
        <v>2</v>
      </c>
      <c r="B62" s="4">
        <f t="shared" si="1"/>
        <v>4</v>
      </c>
    </row>
    <row r="63" spans="1:2" ht="15" customHeight="1">
      <c r="A63" s="4">
        <v>2.2000000000000002</v>
      </c>
      <c r="B63" s="4">
        <f t="shared" si="1"/>
        <v>4.8400000000000007</v>
      </c>
    </row>
    <row r="64" spans="1:2" ht="15" customHeight="1">
      <c r="A64" s="4">
        <v>2.4</v>
      </c>
      <c r="B64" s="4">
        <f t="shared" si="1"/>
        <v>5.76</v>
      </c>
    </row>
    <row r="65" spans="1:2" ht="15" customHeight="1">
      <c r="A65" s="4">
        <v>2.6</v>
      </c>
      <c r="B65" s="4">
        <f t="shared" si="1"/>
        <v>6.7600000000000007</v>
      </c>
    </row>
    <row r="66" spans="1:2" ht="15" customHeight="1">
      <c r="A66" s="4">
        <v>2.8</v>
      </c>
      <c r="B66" s="4">
        <f t="shared" ref="B66:B97" si="2">IFERROR(IF(A66&lt;1,ABS(A66/(A66+1)),A66^2), "")</f>
        <v>7.839999999999999</v>
      </c>
    </row>
    <row r="67" spans="1:2" ht="15" customHeight="1">
      <c r="A67" s="4">
        <v>3</v>
      </c>
      <c r="B67" s="4">
        <f t="shared" si="2"/>
        <v>9</v>
      </c>
    </row>
    <row r="68" spans="1:2" ht="15" customHeight="1">
      <c r="A68" s="4">
        <v>3.2</v>
      </c>
      <c r="B68" s="4">
        <f t="shared" si="2"/>
        <v>10.240000000000002</v>
      </c>
    </row>
    <row r="69" spans="1:2" ht="15" customHeight="1">
      <c r="A69" s="4">
        <v>3.4</v>
      </c>
      <c r="B69" s="4">
        <f t="shared" si="2"/>
        <v>11.559999999999999</v>
      </c>
    </row>
    <row r="70" spans="1:2" ht="15" customHeight="1">
      <c r="A70" s="4">
        <v>3.6</v>
      </c>
      <c r="B70" s="4">
        <f t="shared" si="2"/>
        <v>12.96</v>
      </c>
    </row>
    <row r="71" spans="1:2" ht="15" customHeight="1">
      <c r="A71" s="4">
        <v>3.8</v>
      </c>
      <c r="B71" s="4">
        <f t="shared" si="2"/>
        <v>14.44</v>
      </c>
    </row>
    <row r="72" spans="1:2" ht="15" customHeight="1">
      <c r="A72" s="4">
        <v>4</v>
      </c>
      <c r="B72" s="4">
        <f t="shared" si="2"/>
        <v>16</v>
      </c>
    </row>
    <row r="73" spans="1:2" ht="15" customHeight="1">
      <c r="A73" s="4">
        <v>4.2</v>
      </c>
      <c r="B73" s="4">
        <f t="shared" si="2"/>
        <v>17.64</v>
      </c>
    </row>
    <row r="74" spans="1:2" ht="15" customHeight="1">
      <c r="A74" s="4">
        <v>4.4000000000000004</v>
      </c>
      <c r="B74" s="4">
        <f t="shared" si="2"/>
        <v>19.360000000000003</v>
      </c>
    </row>
    <row r="75" spans="1:2" ht="15" customHeight="1">
      <c r="A75" s="4">
        <v>4.5999999999999996</v>
      </c>
      <c r="B75" s="4">
        <f t="shared" si="2"/>
        <v>21.159999999999997</v>
      </c>
    </row>
    <row r="76" spans="1:2" ht="15" customHeight="1">
      <c r="A76" s="4">
        <v>4.8</v>
      </c>
      <c r="B76" s="4">
        <f t="shared" si="2"/>
        <v>23.04</v>
      </c>
    </row>
    <row r="77" spans="1:2" ht="15" customHeight="1">
      <c r="A77" s="4">
        <v>5</v>
      </c>
      <c r="B77" s="4">
        <f t="shared" si="2"/>
        <v>25</v>
      </c>
    </row>
    <row r="78" spans="1:2" ht="15" customHeight="1">
      <c r="A78" s="4">
        <v>5.2</v>
      </c>
      <c r="B78" s="4">
        <f t="shared" si="2"/>
        <v>27.040000000000003</v>
      </c>
    </row>
    <row r="79" spans="1:2" ht="15" customHeight="1">
      <c r="A79" s="4">
        <v>5.4</v>
      </c>
      <c r="B79" s="4">
        <f t="shared" si="2"/>
        <v>29.160000000000004</v>
      </c>
    </row>
    <row r="80" spans="1:2" ht="15" customHeight="1">
      <c r="A80" s="4">
        <v>5.6</v>
      </c>
      <c r="B80" s="4">
        <f t="shared" si="2"/>
        <v>31.359999999999996</v>
      </c>
    </row>
    <row r="81" spans="1:2" ht="15" customHeight="1">
      <c r="A81" s="4">
        <v>5.8</v>
      </c>
      <c r="B81" s="4">
        <f t="shared" si="2"/>
        <v>33.64</v>
      </c>
    </row>
    <row r="82" spans="1:2" ht="15" customHeight="1">
      <c r="A82" s="4">
        <v>6</v>
      </c>
      <c r="B82" s="4">
        <f t="shared" si="2"/>
        <v>36</v>
      </c>
    </row>
    <row r="83" spans="1:2" ht="15" customHeight="1">
      <c r="A83" s="4">
        <v>6.2</v>
      </c>
      <c r="B83" s="4">
        <f t="shared" si="2"/>
        <v>38.440000000000005</v>
      </c>
    </row>
    <row r="84" spans="1:2" ht="15" customHeight="1">
      <c r="A84" s="4">
        <v>6.4</v>
      </c>
      <c r="B84" s="4">
        <f t="shared" si="2"/>
        <v>40.960000000000008</v>
      </c>
    </row>
    <row r="85" spans="1:2" ht="15" customHeight="1">
      <c r="A85" s="4">
        <v>6.6</v>
      </c>
      <c r="B85" s="4">
        <f t="shared" si="2"/>
        <v>43.559999999999995</v>
      </c>
    </row>
    <row r="86" spans="1:2" ht="15" customHeight="1">
      <c r="A86" s="4">
        <v>6.8</v>
      </c>
      <c r="B86" s="4">
        <f t="shared" si="2"/>
        <v>46.239999999999995</v>
      </c>
    </row>
    <row r="87" spans="1:2" ht="15" customHeight="1">
      <c r="A87" s="4">
        <v>7</v>
      </c>
      <c r="B87" s="4">
        <f t="shared" si="2"/>
        <v>49</v>
      </c>
    </row>
    <row r="88" spans="1:2" ht="15" customHeight="1">
      <c r="A88" s="4">
        <v>7.2</v>
      </c>
      <c r="B88" s="4">
        <f t="shared" si="2"/>
        <v>51.84</v>
      </c>
    </row>
    <row r="89" spans="1:2" ht="15" customHeight="1">
      <c r="A89" s="4">
        <v>7.4</v>
      </c>
      <c r="B89" s="4">
        <f t="shared" si="2"/>
        <v>54.760000000000005</v>
      </c>
    </row>
    <row r="90" spans="1:2" ht="15" customHeight="1">
      <c r="A90" s="4">
        <v>7.6</v>
      </c>
      <c r="B90" s="4">
        <f t="shared" si="2"/>
        <v>57.76</v>
      </c>
    </row>
    <row r="91" spans="1:2" ht="15" customHeight="1">
      <c r="A91" s="4">
        <v>7.8</v>
      </c>
      <c r="B91" s="4">
        <f t="shared" si="2"/>
        <v>60.839999999999996</v>
      </c>
    </row>
    <row r="92" spans="1:2" ht="15" customHeight="1">
      <c r="A92" s="4">
        <v>8</v>
      </c>
      <c r="B92" s="4">
        <f t="shared" si="2"/>
        <v>64</v>
      </c>
    </row>
    <row r="93" spans="1:2" ht="15" customHeight="1">
      <c r="A93" s="4">
        <v>8.1999999999999993</v>
      </c>
      <c r="B93" s="4">
        <f t="shared" si="2"/>
        <v>67.239999999999995</v>
      </c>
    </row>
    <row r="94" spans="1:2" ht="15" customHeight="1">
      <c r="A94" s="4">
        <v>8.4</v>
      </c>
      <c r="B94" s="4">
        <f t="shared" si="2"/>
        <v>70.56</v>
      </c>
    </row>
    <row r="95" spans="1:2" ht="15" customHeight="1">
      <c r="A95" s="4">
        <v>8.6</v>
      </c>
      <c r="B95" s="4">
        <f t="shared" si="2"/>
        <v>73.959999999999994</v>
      </c>
    </row>
    <row r="96" spans="1:2" ht="15" customHeight="1">
      <c r="A96" s="4">
        <v>8.8000000000000007</v>
      </c>
      <c r="B96" s="4">
        <f t="shared" si="2"/>
        <v>77.440000000000012</v>
      </c>
    </row>
    <row r="97" spans="1:2" ht="15" customHeight="1">
      <c r="A97" s="4">
        <v>9</v>
      </c>
      <c r="B97" s="4">
        <f t="shared" si="2"/>
        <v>81</v>
      </c>
    </row>
    <row r="98" spans="1:2" ht="15" customHeight="1">
      <c r="A98" s="4">
        <v>9.1999999999999993</v>
      </c>
      <c r="B98" s="4">
        <f t="shared" ref="B98:B102" si="3">IFERROR(IF(A98&lt;1,ABS(A98/(A98+1)),A98^2), "")</f>
        <v>84.639999999999986</v>
      </c>
    </row>
    <row r="99" spans="1:2" ht="15" customHeight="1">
      <c r="A99" s="4">
        <v>9.4</v>
      </c>
      <c r="B99" s="4">
        <f t="shared" si="3"/>
        <v>88.360000000000014</v>
      </c>
    </row>
    <row r="100" spans="1:2" ht="15" customHeight="1">
      <c r="A100" s="4">
        <v>9.6</v>
      </c>
      <c r="B100" s="4">
        <f t="shared" si="3"/>
        <v>92.16</v>
      </c>
    </row>
    <row r="101" spans="1:2" ht="15" customHeight="1">
      <c r="A101" s="4">
        <v>9.8000000000000007</v>
      </c>
      <c r="B101" s="4">
        <f t="shared" si="3"/>
        <v>96.04000000000002</v>
      </c>
    </row>
    <row r="102" spans="1:2" ht="15" customHeight="1">
      <c r="A102" s="4">
        <v>10</v>
      </c>
      <c r="B102" s="4">
        <f t="shared" si="3"/>
        <v>100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21"/>
  <dimension ref="A1:B102"/>
  <sheetViews>
    <sheetView zoomScaleNormal="100" workbookViewId="0"/>
  </sheetViews>
  <sheetFormatPr defaultColWidth="8.7109375" defaultRowHeight="15"/>
  <cols>
    <col min="1" max="1" width="8" customWidth="1"/>
    <col min="2" max="2" width="30" customWidth="1"/>
  </cols>
  <sheetData>
    <row r="1" spans="1:2" ht="15" customHeight="1">
      <c r="A1" s="3" t="s">
        <v>3</v>
      </c>
      <c r="B1" s="3" t="s">
        <v>11</v>
      </c>
    </row>
    <row r="2" spans="1:2" ht="15" customHeight="1">
      <c r="A2" s="4">
        <v>-10</v>
      </c>
      <c r="B2" s="4">
        <f t="shared" ref="B2:B33" si="0">IFERROR(IF(A2&lt;1,ABS(SQRT(ABS(A2))/(A2+1)),1-A2^2), "")</f>
        <v>0.35136418446315326</v>
      </c>
    </row>
    <row r="3" spans="1:2" ht="15" customHeight="1">
      <c r="A3" s="4">
        <v>-9.8000000000000007</v>
      </c>
      <c r="B3" s="4">
        <f t="shared" si="0"/>
        <v>0.35573808732951195</v>
      </c>
    </row>
    <row r="4" spans="1:2" ht="15" customHeight="1">
      <c r="A4" s="4">
        <v>-9.6</v>
      </c>
      <c r="B4" s="4">
        <f t="shared" si="0"/>
        <v>0.36027752057743417</v>
      </c>
    </row>
    <row r="5" spans="1:2" ht="15" customHeight="1">
      <c r="A5" s="4">
        <v>-9.4</v>
      </c>
      <c r="B5" s="4">
        <f t="shared" si="0"/>
        <v>0.36499308849418788</v>
      </c>
    </row>
    <row r="6" spans="1:2" ht="15" customHeight="1">
      <c r="A6" s="4">
        <v>-9.1999999999999993</v>
      </c>
      <c r="B6" s="4">
        <f t="shared" si="0"/>
        <v>0.36989636312446589</v>
      </c>
    </row>
    <row r="7" spans="1:2" ht="15" customHeight="1">
      <c r="A7" s="4">
        <v>-9</v>
      </c>
      <c r="B7" s="4">
        <f t="shared" si="0"/>
        <v>0.375</v>
      </c>
    </row>
    <row r="8" spans="1:2" ht="15" customHeight="1">
      <c r="A8" s="4">
        <v>-8.8000000000000007</v>
      </c>
      <c r="B8" s="4">
        <f t="shared" si="0"/>
        <v>0.38031787113311089</v>
      </c>
    </row>
    <row r="9" spans="1:2" ht="15" customHeight="1">
      <c r="A9" s="4">
        <v>-8.6</v>
      </c>
      <c r="B9" s="4">
        <f t="shared" si="0"/>
        <v>0.38586521838461002</v>
      </c>
    </row>
    <row r="10" spans="1:2" ht="15" customHeight="1">
      <c r="A10" s="4">
        <v>-8.4</v>
      </c>
      <c r="B10" s="4">
        <f t="shared" si="0"/>
        <v>0.39165883097809295</v>
      </c>
    </row>
    <row r="11" spans="1:2" ht="15" customHeight="1">
      <c r="A11" s="4">
        <v>-8.1999999999999993</v>
      </c>
      <c r="B11" s="4">
        <f t="shared" si="0"/>
        <v>0.39771725175767647</v>
      </c>
    </row>
    <row r="12" spans="1:2" ht="15" customHeight="1">
      <c r="A12" s="4">
        <v>-8</v>
      </c>
      <c r="B12" s="4">
        <f t="shared" si="0"/>
        <v>0.40406101782088433</v>
      </c>
    </row>
    <row r="13" spans="1:2" ht="15" customHeight="1">
      <c r="A13" s="4">
        <v>-7.8</v>
      </c>
      <c r="B13" s="4">
        <f t="shared" si="0"/>
        <v>0.41071294246379236</v>
      </c>
    </row>
    <row r="14" spans="1:2" ht="15" customHeight="1">
      <c r="A14" s="4">
        <v>-7.6</v>
      </c>
      <c r="B14" s="4">
        <f t="shared" si="0"/>
        <v>0.41769844703303705</v>
      </c>
    </row>
    <row r="15" spans="1:2" ht="15" customHeight="1">
      <c r="A15" s="4">
        <v>-7.4</v>
      </c>
      <c r="B15" s="4">
        <f t="shared" si="0"/>
        <v>0.42504595339798257</v>
      </c>
    </row>
    <row r="16" spans="1:2" ht="15" customHeight="1">
      <c r="A16" s="4">
        <v>-7.2</v>
      </c>
      <c r="B16" s="4">
        <f t="shared" si="0"/>
        <v>0.43278735048383027</v>
      </c>
    </row>
    <row r="17" spans="1:2" ht="15" customHeight="1">
      <c r="A17" s="4">
        <v>-7</v>
      </c>
      <c r="B17" s="4">
        <f t="shared" si="0"/>
        <v>0.44095855184409843</v>
      </c>
    </row>
    <row r="18" spans="1:2" ht="15" customHeight="1">
      <c r="A18" s="4">
        <v>-6.8</v>
      </c>
      <c r="B18" s="4">
        <f t="shared" si="0"/>
        <v>0.44960016587604473</v>
      </c>
    </row>
    <row r="19" spans="1:2" ht="15" customHeight="1">
      <c r="A19" s="4">
        <v>-6.6</v>
      </c>
      <c r="B19" s="4">
        <f t="shared" si="0"/>
        <v>0.45875830638089748</v>
      </c>
    </row>
    <row r="20" spans="1:2" ht="15" customHeight="1">
      <c r="A20" s="4">
        <v>-6.4</v>
      </c>
      <c r="B20" s="4">
        <f t="shared" si="0"/>
        <v>0.46848557928420431</v>
      </c>
    </row>
    <row r="21" spans="1:2" ht="15" customHeight="1">
      <c r="A21" s="4">
        <v>-6.2</v>
      </c>
      <c r="B21" s="4">
        <f t="shared" si="0"/>
        <v>0.47884229223033581</v>
      </c>
    </row>
    <row r="22" spans="1:2" ht="15" customHeight="1">
      <c r="A22" s="4">
        <v>-6</v>
      </c>
      <c r="B22" s="4">
        <f t="shared" si="0"/>
        <v>0.4898979485566356</v>
      </c>
    </row>
    <row r="23" spans="1:2" ht="15" customHeight="1">
      <c r="A23" s="4">
        <v>-5.8</v>
      </c>
      <c r="B23" s="4">
        <f t="shared" si="0"/>
        <v>0.50173310744967903</v>
      </c>
    </row>
    <row r="24" spans="1:2" ht="15" customHeight="1">
      <c r="A24" s="4">
        <v>-5.6</v>
      </c>
      <c r="B24" s="4">
        <f t="shared" si="0"/>
        <v>0.51444172026953183</v>
      </c>
    </row>
    <row r="25" spans="1:2" ht="15" customHeight="1">
      <c r="A25" s="4">
        <v>-5.4</v>
      </c>
      <c r="B25" s="4">
        <f t="shared" si="0"/>
        <v>0.52813409266464773</v>
      </c>
    </row>
    <row r="26" spans="1:2" ht="15" customHeight="1">
      <c r="A26" s="4">
        <v>-5.2</v>
      </c>
      <c r="B26" s="4">
        <f t="shared" si="0"/>
        <v>0.54294067861863715</v>
      </c>
    </row>
    <row r="27" spans="1:2" ht="15" customHeight="1">
      <c r="A27" s="4">
        <v>-5</v>
      </c>
      <c r="B27" s="4">
        <f t="shared" si="0"/>
        <v>0.55901699437494745</v>
      </c>
    </row>
    <row r="28" spans="1:2" ht="15" customHeight="1">
      <c r="A28" s="4">
        <v>-4.8</v>
      </c>
      <c r="B28" s="4">
        <f t="shared" si="0"/>
        <v>0.57655006053175384</v>
      </c>
    </row>
    <row r="29" spans="1:2" ht="15" customHeight="1">
      <c r="A29" s="4">
        <v>-4.5999999999999996</v>
      </c>
      <c r="B29" s="4">
        <f t="shared" si="0"/>
        <v>0.59576696082020053</v>
      </c>
    </row>
    <row r="30" spans="1:2" ht="15" customHeight="1">
      <c r="A30" s="4">
        <v>-4.4000000000000004</v>
      </c>
      <c r="B30" s="4">
        <f t="shared" si="0"/>
        <v>0.61694638127655976</v>
      </c>
    </row>
    <row r="31" spans="1:2" ht="15" customHeight="1">
      <c r="A31" s="4">
        <v>-4.2</v>
      </c>
      <c r="B31" s="4">
        <f t="shared" si="0"/>
        <v>0.64043442287247487</v>
      </c>
    </row>
    <row r="32" spans="1:2" ht="15" customHeight="1">
      <c r="A32" s="4">
        <v>-4</v>
      </c>
      <c r="B32" s="4">
        <f t="shared" si="0"/>
        <v>0.66666666666666663</v>
      </c>
    </row>
    <row r="33" spans="1:2" ht="15" customHeight="1">
      <c r="A33" s="4">
        <v>-3.8</v>
      </c>
      <c r="B33" s="4">
        <f t="shared" si="0"/>
        <v>0.69619959605778314</v>
      </c>
    </row>
    <row r="34" spans="1:2" ht="15" customHeight="1">
      <c r="A34" s="4">
        <v>-3.6</v>
      </c>
      <c r="B34" s="4">
        <f t="shared" ref="B34:B65" si="1">IFERROR(IF(A34&lt;1,ABS(SQRT(ABS(A34))/(A34+1)),1-A34^2), "")</f>
        <v>0.72975638311577984</v>
      </c>
    </row>
    <row r="35" spans="1:2" ht="15" customHeight="1">
      <c r="A35" s="4">
        <v>-3.4</v>
      </c>
      <c r="B35" s="4">
        <f t="shared" si="1"/>
        <v>0.76829537144107396</v>
      </c>
    </row>
    <row r="36" spans="1:2" ht="15" customHeight="1">
      <c r="A36" s="4">
        <v>-3.2</v>
      </c>
      <c r="B36" s="4">
        <f t="shared" si="1"/>
        <v>0.81311562818174166</v>
      </c>
    </row>
    <row r="37" spans="1:2" ht="15" customHeight="1">
      <c r="A37" s="4">
        <v>-3</v>
      </c>
      <c r="B37" s="4">
        <f t="shared" si="1"/>
        <v>0.8660254037844386</v>
      </c>
    </row>
    <row r="38" spans="1:2" ht="15" customHeight="1">
      <c r="A38" s="4">
        <v>-2.8</v>
      </c>
      <c r="B38" s="4">
        <f t="shared" si="1"/>
        <v>0.9296222517045285</v>
      </c>
    </row>
    <row r="39" spans="1:2" ht="15" customHeight="1">
      <c r="A39" s="4">
        <v>-2.6</v>
      </c>
      <c r="B39" s="4">
        <f t="shared" si="1"/>
        <v>1.0077822185373186</v>
      </c>
    </row>
    <row r="40" spans="1:2" ht="15" customHeight="1">
      <c r="A40" s="4">
        <v>-2.4</v>
      </c>
      <c r="B40" s="4">
        <f t="shared" si="1"/>
        <v>1.1065666703449764</v>
      </c>
    </row>
    <row r="41" spans="1:2" ht="15" customHeight="1">
      <c r="A41" s="4">
        <v>-2.2000000000000002</v>
      </c>
      <c r="B41" s="4">
        <f t="shared" si="1"/>
        <v>1.2360330811826103</v>
      </c>
    </row>
    <row r="42" spans="1:2" ht="15" customHeight="1">
      <c r="A42" s="4">
        <v>-2</v>
      </c>
      <c r="B42" s="4">
        <f t="shared" si="1"/>
        <v>1.4142135623730951</v>
      </c>
    </row>
    <row r="43" spans="1:2" ht="15" customHeight="1">
      <c r="A43" s="4">
        <v>-1.8</v>
      </c>
      <c r="B43" s="4">
        <f t="shared" si="1"/>
        <v>1.6770509831248421</v>
      </c>
    </row>
    <row r="44" spans="1:2" ht="15" customHeight="1">
      <c r="A44" s="4">
        <v>-1.6</v>
      </c>
      <c r="B44" s="4">
        <f t="shared" si="1"/>
        <v>2.1081851067789192</v>
      </c>
    </row>
    <row r="45" spans="1:2" ht="15" customHeight="1">
      <c r="A45" s="4">
        <v>-1.4</v>
      </c>
      <c r="B45" s="4">
        <f t="shared" si="1"/>
        <v>2.9580398915498085</v>
      </c>
    </row>
    <row r="46" spans="1:2" ht="15" customHeight="1">
      <c r="A46" s="4">
        <v>-1.2</v>
      </c>
      <c r="B46" s="4">
        <f t="shared" si="1"/>
        <v>5.4772255750516621</v>
      </c>
    </row>
    <row r="47" spans="1:2" ht="15" customHeight="1">
      <c r="A47" s="4">
        <v>-1</v>
      </c>
      <c r="B47" s="4" t="str">
        <f t="shared" si="1"/>
        <v/>
      </c>
    </row>
    <row r="48" spans="1:2" ht="15" customHeight="1">
      <c r="A48" s="4">
        <v>-0.8</v>
      </c>
      <c r="B48" s="4">
        <f t="shared" si="1"/>
        <v>4.4721359549995805</v>
      </c>
    </row>
    <row r="49" spans="1:2" ht="15" customHeight="1">
      <c r="A49" s="4">
        <v>-0.6</v>
      </c>
      <c r="B49" s="4">
        <f t="shared" si="1"/>
        <v>1.9364916731037085</v>
      </c>
    </row>
    <row r="50" spans="1:2" ht="15" customHeight="1">
      <c r="A50" s="4">
        <v>-0.4</v>
      </c>
      <c r="B50" s="4">
        <f t="shared" si="1"/>
        <v>1.0540925533894598</v>
      </c>
    </row>
    <row r="51" spans="1:2" ht="15" customHeight="1">
      <c r="A51" s="4">
        <v>-0.2</v>
      </c>
      <c r="B51" s="4">
        <f t="shared" si="1"/>
        <v>0.55901699437494734</v>
      </c>
    </row>
    <row r="52" spans="1:2" ht="15" customHeight="1">
      <c r="A52" s="4">
        <v>0</v>
      </c>
      <c r="B52" s="4">
        <f t="shared" si="1"/>
        <v>0</v>
      </c>
    </row>
    <row r="53" spans="1:2" ht="15" customHeight="1">
      <c r="A53" s="4">
        <v>0.2</v>
      </c>
      <c r="B53" s="4">
        <f t="shared" si="1"/>
        <v>0.37267799624996495</v>
      </c>
    </row>
    <row r="54" spans="1:2" ht="15" customHeight="1">
      <c r="A54" s="4">
        <v>0.4</v>
      </c>
      <c r="B54" s="4">
        <f t="shared" si="1"/>
        <v>0.45175395145262565</v>
      </c>
    </row>
    <row r="55" spans="1:2" ht="15" customHeight="1">
      <c r="A55" s="4">
        <v>0.6</v>
      </c>
      <c r="B55" s="4">
        <f t="shared" si="1"/>
        <v>0.48412291827592713</v>
      </c>
    </row>
    <row r="56" spans="1:2" ht="15" customHeight="1">
      <c r="A56" s="4">
        <v>0.8</v>
      </c>
      <c r="B56" s="4">
        <f t="shared" si="1"/>
        <v>0.49690399499995325</v>
      </c>
    </row>
    <row r="57" spans="1:2" ht="15" customHeight="1">
      <c r="A57" s="4">
        <v>1</v>
      </c>
      <c r="B57" s="4">
        <f t="shared" si="1"/>
        <v>0</v>
      </c>
    </row>
    <row r="58" spans="1:2" ht="15" customHeight="1">
      <c r="A58" s="4">
        <v>1.2</v>
      </c>
      <c r="B58" s="4">
        <f t="shared" si="1"/>
        <v>-0.43999999999999995</v>
      </c>
    </row>
    <row r="59" spans="1:2" ht="15" customHeight="1">
      <c r="A59" s="4">
        <v>1.4</v>
      </c>
      <c r="B59" s="4">
        <f t="shared" si="1"/>
        <v>-0.95999999999999974</v>
      </c>
    </row>
    <row r="60" spans="1:2" ht="15" customHeight="1">
      <c r="A60" s="4">
        <v>1.6</v>
      </c>
      <c r="B60" s="4">
        <f t="shared" si="1"/>
        <v>-1.5600000000000005</v>
      </c>
    </row>
    <row r="61" spans="1:2" ht="15" customHeight="1">
      <c r="A61" s="4">
        <v>1.8</v>
      </c>
      <c r="B61" s="4">
        <f t="shared" si="1"/>
        <v>-2.2400000000000002</v>
      </c>
    </row>
    <row r="62" spans="1:2" ht="15" customHeight="1">
      <c r="A62" s="4">
        <v>2</v>
      </c>
      <c r="B62" s="4">
        <f t="shared" si="1"/>
        <v>-3</v>
      </c>
    </row>
    <row r="63" spans="1:2" ht="15" customHeight="1">
      <c r="A63" s="4">
        <v>2.2000000000000002</v>
      </c>
      <c r="B63" s="4">
        <f t="shared" si="1"/>
        <v>-3.8400000000000007</v>
      </c>
    </row>
    <row r="64" spans="1:2" ht="15" customHeight="1">
      <c r="A64" s="4">
        <v>2.4</v>
      </c>
      <c r="B64" s="4">
        <f t="shared" si="1"/>
        <v>-4.76</v>
      </c>
    </row>
    <row r="65" spans="1:2" ht="15" customHeight="1">
      <c r="A65" s="4">
        <v>2.6</v>
      </c>
      <c r="B65" s="4">
        <f t="shared" si="1"/>
        <v>-5.7600000000000007</v>
      </c>
    </row>
    <row r="66" spans="1:2" ht="15" customHeight="1">
      <c r="A66" s="4">
        <v>2.8</v>
      </c>
      <c r="B66" s="4">
        <f t="shared" ref="B66:B97" si="2">IFERROR(IF(A66&lt;1,ABS(SQRT(ABS(A66))/(A66+1)),1-A66^2), "")</f>
        <v>-6.839999999999999</v>
      </c>
    </row>
    <row r="67" spans="1:2" ht="15" customHeight="1">
      <c r="A67" s="4">
        <v>3</v>
      </c>
      <c r="B67" s="4">
        <f t="shared" si="2"/>
        <v>-8</v>
      </c>
    </row>
    <row r="68" spans="1:2" ht="15" customHeight="1">
      <c r="A68" s="4">
        <v>3.2</v>
      </c>
      <c r="B68" s="4">
        <f t="shared" si="2"/>
        <v>-9.240000000000002</v>
      </c>
    </row>
    <row r="69" spans="1:2" ht="15" customHeight="1">
      <c r="A69" s="4">
        <v>3.4</v>
      </c>
      <c r="B69" s="4">
        <f t="shared" si="2"/>
        <v>-10.559999999999999</v>
      </c>
    </row>
    <row r="70" spans="1:2" ht="15" customHeight="1">
      <c r="A70" s="4">
        <v>3.6</v>
      </c>
      <c r="B70" s="4">
        <f t="shared" si="2"/>
        <v>-11.96</v>
      </c>
    </row>
    <row r="71" spans="1:2" ht="15" customHeight="1">
      <c r="A71" s="4">
        <v>3.8</v>
      </c>
      <c r="B71" s="4">
        <f t="shared" si="2"/>
        <v>-13.44</v>
      </c>
    </row>
    <row r="72" spans="1:2" ht="15" customHeight="1">
      <c r="A72" s="4">
        <v>4</v>
      </c>
      <c r="B72" s="4">
        <f t="shared" si="2"/>
        <v>-15</v>
      </c>
    </row>
    <row r="73" spans="1:2" ht="15" customHeight="1">
      <c r="A73" s="4">
        <v>4.2</v>
      </c>
      <c r="B73" s="4">
        <f t="shared" si="2"/>
        <v>-16.64</v>
      </c>
    </row>
    <row r="74" spans="1:2" ht="15" customHeight="1">
      <c r="A74" s="4">
        <v>4.4000000000000004</v>
      </c>
      <c r="B74" s="4">
        <f t="shared" si="2"/>
        <v>-18.360000000000003</v>
      </c>
    </row>
    <row r="75" spans="1:2" ht="15" customHeight="1">
      <c r="A75" s="4">
        <v>4.5999999999999996</v>
      </c>
      <c r="B75" s="4">
        <f t="shared" si="2"/>
        <v>-20.159999999999997</v>
      </c>
    </row>
    <row r="76" spans="1:2" ht="15" customHeight="1">
      <c r="A76" s="4">
        <v>4.8</v>
      </c>
      <c r="B76" s="4">
        <f t="shared" si="2"/>
        <v>-22.04</v>
      </c>
    </row>
    <row r="77" spans="1:2" ht="15" customHeight="1">
      <c r="A77" s="4">
        <v>5</v>
      </c>
      <c r="B77" s="4">
        <f t="shared" si="2"/>
        <v>-24</v>
      </c>
    </row>
    <row r="78" spans="1:2" ht="15" customHeight="1">
      <c r="A78" s="4">
        <v>5.2</v>
      </c>
      <c r="B78" s="4">
        <f t="shared" si="2"/>
        <v>-26.040000000000003</v>
      </c>
    </row>
    <row r="79" spans="1:2" ht="15" customHeight="1">
      <c r="A79" s="4">
        <v>5.4</v>
      </c>
      <c r="B79" s="4">
        <f t="shared" si="2"/>
        <v>-28.160000000000004</v>
      </c>
    </row>
    <row r="80" spans="1:2" ht="15" customHeight="1">
      <c r="A80" s="4">
        <v>5.6</v>
      </c>
      <c r="B80" s="4">
        <f t="shared" si="2"/>
        <v>-30.359999999999996</v>
      </c>
    </row>
    <row r="81" spans="1:2" ht="15" customHeight="1">
      <c r="A81" s="4">
        <v>5.8</v>
      </c>
      <c r="B81" s="4">
        <f t="shared" si="2"/>
        <v>-32.64</v>
      </c>
    </row>
    <row r="82" spans="1:2" ht="15" customHeight="1">
      <c r="A82" s="4">
        <v>6</v>
      </c>
      <c r="B82" s="4">
        <f t="shared" si="2"/>
        <v>-35</v>
      </c>
    </row>
    <row r="83" spans="1:2" ht="15" customHeight="1">
      <c r="A83" s="4">
        <v>6.2</v>
      </c>
      <c r="B83" s="4">
        <f t="shared" si="2"/>
        <v>-37.440000000000005</v>
      </c>
    </row>
    <row r="84" spans="1:2" ht="15" customHeight="1">
      <c r="A84" s="4">
        <v>6.4</v>
      </c>
      <c r="B84" s="4">
        <f t="shared" si="2"/>
        <v>-39.960000000000008</v>
      </c>
    </row>
    <row r="85" spans="1:2" ht="15" customHeight="1">
      <c r="A85" s="4">
        <v>6.6</v>
      </c>
      <c r="B85" s="4">
        <f t="shared" si="2"/>
        <v>-42.559999999999995</v>
      </c>
    </row>
    <row r="86" spans="1:2" ht="15" customHeight="1">
      <c r="A86" s="4">
        <v>6.8</v>
      </c>
      <c r="B86" s="4">
        <f t="shared" si="2"/>
        <v>-45.239999999999995</v>
      </c>
    </row>
    <row r="87" spans="1:2" ht="15" customHeight="1">
      <c r="A87" s="4">
        <v>7</v>
      </c>
      <c r="B87" s="4">
        <f t="shared" si="2"/>
        <v>-48</v>
      </c>
    </row>
    <row r="88" spans="1:2" ht="15" customHeight="1">
      <c r="A88" s="4">
        <v>7.2</v>
      </c>
      <c r="B88" s="4">
        <f t="shared" si="2"/>
        <v>-50.84</v>
      </c>
    </row>
    <row r="89" spans="1:2" ht="15" customHeight="1">
      <c r="A89" s="4">
        <v>7.4</v>
      </c>
      <c r="B89" s="4">
        <f t="shared" si="2"/>
        <v>-53.760000000000005</v>
      </c>
    </row>
    <row r="90" spans="1:2" ht="15" customHeight="1">
      <c r="A90" s="4">
        <v>7.6</v>
      </c>
      <c r="B90" s="4">
        <f t="shared" si="2"/>
        <v>-56.76</v>
      </c>
    </row>
    <row r="91" spans="1:2" ht="15" customHeight="1">
      <c r="A91" s="4">
        <v>7.8</v>
      </c>
      <c r="B91" s="4">
        <f t="shared" si="2"/>
        <v>-59.839999999999996</v>
      </c>
    </row>
    <row r="92" spans="1:2" ht="15" customHeight="1">
      <c r="A92" s="4">
        <v>8</v>
      </c>
      <c r="B92" s="4">
        <f t="shared" si="2"/>
        <v>-63</v>
      </c>
    </row>
    <row r="93" spans="1:2" ht="15" customHeight="1">
      <c r="A93" s="4">
        <v>8.1999999999999993</v>
      </c>
      <c r="B93" s="4">
        <f t="shared" si="2"/>
        <v>-66.239999999999995</v>
      </c>
    </row>
    <row r="94" spans="1:2" ht="15" customHeight="1">
      <c r="A94" s="4">
        <v>8.4</v>
      </c>
      <c r="B94" s="4">
        <f t="shared" si="2"/>
        <v>-69.56</v>
      </c>
    </row>
    <row r="95" spans="1:2" ht="15" customHeight="1">
      <c r="A95" s="4">
        <v>8.6</v>
      </c>
      <c r="B95" s="4">
        <f t="shared" si="2"/>
        <v>-72.959999999999994</v>
      </c>
    </row>
    <row r="96" spans="1:2" ht="15" customHeight="1">
      <c r="A96" s="4">
        <v>8.8000000000000007</v>
      </c>
      <c r="B96" s="4">
        <f t="shared" si="2"/>
        <v>-76.440000000000012</v>
      </c>
    </row>
    <row r="97" spans="1:2" ht="15" customHeight="1">
      <c r="A97" s="4">
        <v>9</v>
      </c>
      <c r="B97" s="4">
        <f t="shared" si="2"/>
        <v>-80</v>
      </c>
    </row>
    <row r="98" spans="1:2" ht="15" customHeight="1">
      <c r="A98" s="4">
        <v>9.1999999999999993</v>
      </c>
      <c r="B98" s="4">
        <f t="shared" ref="B98:B102" si="3">IFERROR(IF(A98&lt;1,ABS(SQRT(ABS(A98))/(A98+1)),1-A98^2), "")</f>
        <v>-83.639999999999986</v>
      </c>
    </row>
    <row r="99" spans="1:2" ht="15" customHeight="1">
      <c r="A99" s="4">
        <v>9.4</v>
      </c>
      <c r="B99" s="4">
        <f t="shared" si="3"/>
        <v>-87.360000000000014</v>
      </c>
    </row>
    <row r="100" spans="1:2" ht="15" customHeight="1">
      <c r="A100" s="4">
        <v>9.6</v>
      </c>
      <c r="B100" s="4">
        <f t="shared" si="3"/>
        <v>-91.16</v>
      </c>
    </row>
    <row r="101" spans="1:2" ht="15" customHeight="1">
      <c r="A101" s="4">
        <v>9.8000000000000007</v>
      </c>
      <c r="B101" s="4">
        <f t="shared" si="3"/>
        <v>-95.04000000000002</v>
      </c>
    </row>
    <row r="102" spans="1:2" ht="15" customHeight="1">
      <c r="A102" s="4">
        <v>10</v>
      </c>
      <c r="B102" s="4">
        <f t="shared" si="3"/>
        <v>-99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23"/>
  <dimension ref="A1:B102"/>
  <sheetViews>
    <sheetView zoomScaleNormal="100" workbookViewId="0"/>
  </sheetViews>
  <sheetFormatPr defaultColWidth="8.7109375" defaultRowHeight="15"/>
  <cols>
    <col min="1" max="1" width="8" customWidth="1"/>
    <col min="2" max="2" width="30" customWidth="1"/>
  </cols>
  <sheetData>
    <row r="1" spans="1:2" ht="15" customHeight="1">
      <c r="A1" s="3" t="s">
        <v>3</v>
      </c>
      <c r="B1" s="3" t="s">
        <v>12</v>
      </c>
    </row>
    <row r="2" spans="1:2" ht="15" customHeight="1">
      <c r="A2" s="4">
        <v>-10</v>
      </c>
      <c r="B2" s="4">
        <f t="shared" ref="B2:B33" si="0">IF(A2&lt;1,ABS(A2-A2^2),A2^4-A2^2+2*A2+1)</f>
        <v>110</v>
      </c>
    </row>
    <row r="3" spans="1:2" ht="15" customHeight="1">
      <c r="A3" s="4">
        <v>-9.8000000000000007</v>
      </c>
      <c r="B3" s="4">
        <f t="shared" si="0"/>
        <v>105.84000000000002</v>
      </c>
    </row>
    <row r="4" spans="1:2" ht="15" customHeight="1">
      <c r="A4" s="4">
        <v>-9.6</v>
      </c>
      <c r="B4" s="4">
        <f t="shared" si="0"/>
        <v>101.75999999999999</v>
      </c>
    </row>
    <row r="5" spans="1:2" ht="15" customHeight="1">
      <c r="A5" s="4">
        <v>-9.4</v>
      </c>
      <c r="B5" s="4">
        <f t="shared" si="0"/>
        <v>97.760000000000019</v>
      </c>
    </row>
    <row r="6" spans="1:2" ht="15" customHeight="1">
      <c r="A6" s="4">
        <v>-9.1999999999999993</v>
      </c>
      <c r="B6" s="4">
        <f t="shared" si="0"/>
        <v>93.839999999999989</v>
      </c>
    </row>
    <row r="7" spans="1:2" ht="15" customHeight="1">
      <c r="A7" s="4">
        <v>-9</v>
      </c>
      <c r="B7" s="4">
        <f t="shared" si="0"/>
        <v>90</v>
      </c>
    </row>
    <row r="8" spans="1:2" ht="15" customHeight="1">
      <c r="A8" s="4">
        <v>-8.8000000000000007</v>
      </c>
      <c r="B8" s="4">
        <f t="shared" si="0"/>
        <v>86.240000000000009</v>
      </c>
    </row>
    <row r="9" spans="1:2" ht="15" customHeight="1">
      <c r="A9" s="4">
        <v>-8.6</v>
      </c>
      <c r="B9" s="4">
        <f t="shared" si="0"/>
        <v>82.559999999999988</v>
      </c>
    </row>
    <row r="10" spans="1:2" ht="15" customHeight="1">
      <c r="A10" s="4">
        <v>-8.4</v>
      </c>
      <c r="B10" s="4">
        <f t="shared" si="0"/>
        <v>78.960000000000008</v>
      </c>
    </row>
    <row r="11" spans="1:2" ht="15" customHeight="1">
      <c r="A11" s="4">
        <v>-8.1999999999999993</v>
      </c>
      <c r="B11" s="4">
        <f t="shared" si="0"/>
        <v>75.44</v>
      </c>
    </row>
    <row r="12" spans="1:2" ht="15" customHeight="1">
      <c r="A12" s="4">
        <v>-8</v>
      </c>
      <c r="B12" s="4">
        <f t="shared" si="0"/>
        <v>72</v>
      </c>
    </row>
    <row r="13" spans="1:2" ht="15" customHeight="1">
      <c r="A13" s="4">
        <v>-7.8</v>
      </c>
      <c r="B13" s="4">
        <f t="shared" si="0"/>
        <v>68.64</v>
      </c>
    </row>
    <row r="14" spans="1:2" ht="15" customHeight="1">
      <c r="A14" s="4">
        <v>-7.6</v>
      </c>
      <c r="B14" s="4">
        <f t="shared" si="0"/>
        <v>65.36</v>
      </c>
    </row>
    <row r="15" spans="1:2" ht="15" customHeight="1">
      <c r="A15" s="4">
        <v>-7.4</v>
      </c>
      <c r="B15" s="4">
        <f t="shared" si="0"/>
        <v>62.160000000000004</v>
      </c>
    </row>
    <row r="16" spans="1:2" ht="15" customHeight="1">
      <c r="A16" s="4">
        <v>-7.2</v>
      </c>
      <c r="B16" s="4">
        <f t="shared" si="0"/>
        <v>59.040000000000006</v>
      </c>
    </row>
    <row r="17" spans="1:2" ht="15" customHeight="1">
      <c r="A17" s="4">
        <v>-7</v>
      </c>
      <c r="B17" s="4">
        <f t="shared" si="0"/>
        <v>56</v>
      </c>
    </row>
    <row r="18" spans="1:2" ht="15" customHeight="1">
      <c r="A18" s="4">
        <v>-6.8</v>
      </c>
      <c r="B18" s="4">
        <f t="shared" si="0"/>
        <v>53.039999999999992</v>
      </c>
    </row>
    <row r="19" spans="1:2" ht="15" customHeight="1">
      <c r="A19" s="4">
        <v>-6.6</v>
      </c>
      <c r="B19" s="4">
        <f t="shared" si="0"/>
        <v>50.16</v>
      </c>
    </row>
    <row r="20" spans="1:2" ht="15" customHeight="1">
      <c r="A20" s="4">
        <v>-6.4</v>
      </c>
      <c r="B20" s="4">
        <f t="shared" si="0"/>
        <v>47.360000000000007</v>
      </c>
    </row>
    <row r="21" spans="1:2" ht="15" customHeight="1">
      <c r="A21" s="4">
        <v>-6.2</v>
      </c>
      <c r="B21" s="4">
        <f t="shared" si="0"/>
        <v>44.640000000000008</v>
      </c>
    </row>
    <row r="22" spans="1:2" ht="15" customHeight="1">
      <c r="A22" s="4">
        <v>-6</v>
      </c>
      <c r="B22" s="4">
        <f t="shared" si="0"/>
        <v>42</v>
      </c>
    </row>
    <row r="23" spans="1:2" ht="15" customHeight="1">
      <c r="A23" s="4">
        <v>-5.8</v>
      </c>
      <c r="B23" s="4">
        <f t="shared" si="0"/>
        <v>39.44</v>
      </c>
    </row>
    <row r="24" spans="1:2" ht="15" customHeight="1">
      <c r="A24" s="4">
        <v>-5.6</v>
      </c>
      <c r="B24" s="4">
        <f t="shared" si="0"/>
        <v>36.959999999999994</v>
      </c>
    </row>
    <row r="25" spans="1:2" ht="15" customHeight="1">
      <c r="A25" s="4">
        <v>-5.4</v>
      </c>
      <c r="B25" s="4">
        <f t="shared" si="0"/>
        <v>34.56</v>
      </c>
    </row>
    <row r="26" spans="1:2" ht="15" customHeight="1">
      <c r="A26" s="4">
        <v>-5.2</v>
      </c>
      <c r="B26" s="4">
        <f t="shared" si="0"/>
        <v>32.24</v>
      </c>
    </row>
    <row r="27" spans="1:2" ht="15" customHeight="1">
      <c r="A27" s="4">
        <v>-5</v>
      </c>
      <c r="B27" s="4">
        <f t="shared" si="0"/>
        <v>30</v>
      </c>
    </row>
    <row r="28" spans="1:2" ht="15" customHeight="1">
      <c r="A28" s="4">
        <v>-4.8</v>
      </c>
      <c r="B28" s="4">
        <f t="shared" si="0"/>
        <v>27.84</v>
      </c>
    </row>
    <row r="29" spans="1:2" ht="15" customHeight="1">
      <c r="A29" s="4">
        <v>-4.5999999999999996</v>
      </c>
      <c r="B29" s="4">
        <f t="shared" si="0"/>
        <v>25.759999999999998</v>
      </c>
    </row>
    <row r="30" spans="1:2" ht="15" customHeight="1">
      <c r="A30" s="4">
        <v>-4.4000000000000004</v>
      </c>
      <c r="B30" s="4">
        <f t="shared" si="0"/>
        <v>23.760000000000005</v>
      </c>
    </row>
    <row r="31" spans="1:2" ht="15" customHeight="1">
      <c r="A31" s="4">
        <v>-4.2</v>
      </c>
      <c r="B31" s="4">
        <f t="shared" si="0"/>
        <v>21.84</v>
      </c>
    </row>
    <row r="32" spans="1:2" ht="15" customHeight="1">
      <c r="A32" s="4">
        <v>-4</v>
      </c>
      <c r="B32" s="4">
        <f t="shared" si="0"/>
        <v>20</v>
      </c>
    </row>
    <row r="33" spans="1:2" ht="15" customHeight="1">
      <c r="A33" s="4">
        <v>-3.8</v>
      </c>
      <c r="B33" s="4">
        <f t="shared" si="0"/>
        <v>18.239999999999998</v>
      </c>
    </row>
    <row r="34" spans="1:2" ht="15" customHeight="1">
      <c r="A34" s="4">
        <v>-3.6</v>
      </c>
      <c r="B34" s="4">
        <f t="shared" ref="B34:B65" si="1">IF(A34&lt;1,ABS(A34-A34^2),A34^4-A34^2+2*A34+1)</f>
        <v>16.560000000000002</v>
      </c>
    </row>
    <row r="35" spans="1:2" ht="15" customHeight="1">
      <c r="A35" s="4">
        <v>-3.4</v>
      </c>
      <c r="B35" s="4">
        <f t="shared" si="1"/>
        <v>14.959999999999999</v>
      </c>
    </row>
    <row r="36" spans="1:2" ht="15" customHeight="1">
      <c r="A36" s="4">
        <v>-3.2</v>
      </c>
      <c r="B36" s="4">
        <f t="shared" si="1"/>
        <v>13.440000000000001</v>
      </c>
    </row>
    <row r="37" spans="1:2" ht="15" customHeight="1">
      <c r="A37" s="4">
        <v>-3</v>
      </c>
      <c r="B37" s="4">
        <f t="shared" si="1"/>
        <v>12</v>
      </c>
    </row>
    <row r="38" spans="1:2" ht="15" customHeight="1">
      <c r="A38" s="4">
        <v>-2.8</v>
      </c>
      <c r="B38" s="4">
        <f t="shared" si="1"/>
        <v>10.639999999999999</v>
      </c>
    </row>
    <row r="39" spans="1:2" ht="15" customHeight="1">
      <c r="A39" s="4">
        <v>-2.6</v>
      </c>
      <c r="B39" s="4">
        <f t="shared" si="1"/>
        <v>9.3600000000000012</v>
      </c>
    </row>
    <row r="40" spans="1:2" ht="15" customHeight="1">
      <c r="A40" s="4">
        <v>-2.4</v>
      </c>
      <c r="B40" s="4">
        <f t="shared" si="1"/>
        <v>8.16</v>
      </c>
    </row>
    <row r="41" spans="1:2" ht="15" customHeight="1">
      <c r="A41" s="4">
        <v>-2.2000000000000002</v>
      </c>
      <c r="B41" s="4">
        <f t="shared" si="1"/>
        <v>7.0400000000000009</v>
      </c>
    </row>
    <row r="42" spans="1:2" ht="15" customHeight="1">
      <c r="A42" s="4">
        <v>-2</v>
      </c>
      <c r="B42" s="4">
        <f t="shared" si="1"/>
        <v>6</v>
      </c>
    </row>
    <row r="43" spans="1:2" ht="15" customHeight="1">
      <c r="A43" s="4">
        <v>-1.8</v>
      </c>
      <c r="B43" s="4">
        <f t="shared" si="1"/>
        <v>5.04</v>
      </c>
    </row>
    <row r="44" spans="1:2" ht="15" customHeight="1">
      <c r="A44" s="4">
        <v>-1.6</v>
      </c>
      <c r="B44" s="4">
        <f t="shared" si="1"/>
        <v>4.16</v>
      </c>
    </row>
    <row r="45" spans="1:2" ht="15" customHeight="1">
      <c r="A45" s="4">
        <v>-1.4</v>
      </c>
      <c r="B45" s="4">
        <f t="shared" si="1"/>
        <v>3.3599999999999994</v>
      </c>
    </row>
    <row r="46" spans="1:2" ht="15" customHeight="1">
      <c r="A46" s="4">
        <v>-1.2</v>
      </c>
      <c r="B46" s="4">
        <f t="shared" si="1"/>
        <v>2.6399999999999997</v>
      </c>
    </row>
    <row r="47" spans="1:2" ht="15" customHeight="1">
      <c r="A47" s="4">
        <v>-1</v>
      </c>
      <c r="B47" s="4">
        <f t="shared" si="1"/>
        <v>2</v>
      </c>
    </row>
    <row r="48" spans="1:2" ht="15" customHeight="1">
      <c r="A48" s="4">
        <v>-0.8</v>
      </c>
      <c r="B48" s="4">
        <f t="shared" si="1"/>
        <v>1.4400000000000002</v>
      </c>
    </row>
    <row r="49" spans="1:2" ht="15" customHeight="1">
      <c r="A49" s="4">
        <v>-0.6</v>
      </c>
      <c r="B49" s="4">
        <f t="shared" si="1"/>
        <v>0.96</v>
      </c>
    </row>
    <row r="50" spans="1:2" ht="15" customHeight="1">
      <c r="A50" s="4">
        <v>-0.4</v>
      </c>
      <c r="B50" s="4">
        <f t="shared" si="1"/>
        <v>0.56000000000000005</v>
      </c>
    </row>
    <row r="51" spans="1:2" ht="15" customHeight="1">
      <c r="A51" s="4">
        <v>-0.2</v>
      </c>
      <c r="B51" s="4">
        <f t="shared" si="1"/>
        <v>0.24000000000000002</v>
      </c>
    </row>
    <row r="52" spans="1:2" ht="15" customHeight="1">
      <c r="A52" s="4">
        <v>0</v>
      </c>
      <c r="B52" s="4">
        <f t="shared" si="1"/>
        <v>0</v>
      </c>
    </row>
    <row r="53" spans="1:2" ht="15" customHeight="1">
      <c r="A53" s="4">
        <v>0.2</v>
      </c>
      <c r="B53" s="4">
        <f t="shared" si="1"/>
        <v>0.16</v>
      </c>
    </row>
    <row r="54" spans="1:2" ht="15" customHeight="1">
      <c r="A54" s="4">
        <v>0.4</v>
      </c>
      <c r="B54" s="4">
        <f t="shared" si="1"/>
        <v>0.24</v>
      </c>
    </row>
    <row r="55" spans="1:2" ht="15" customHeight="1">
      <c r="A55" s="4">
        <v>0.6</v>
      </c>
      <c r="B55" s="4">
        <f t="shared" si="1"/>
        <v>0.24</v>
      </c>
    </row>
    <row r="56" spans="1:2" ht="15" customHeight="1">
      <c r="A56" s="4">
        <v>0.8</v>
      </c>
      <c r="B56" s="4">
        <f t="shared" si="1"/>
        <v>0.15999999999999992</v>
      </c>
    </row>
    <row r="57" spans="1:2" ht="15" customHeight="1">
      <c r="A57" s="4">
        <v>1</v>
      </c>
      <c r="B57" s="4">
        <f t="shared" si="1"/>
        <v>3</v>
      </c>
    </row>
    <row r="58" spans="1:2" ht="15" customHeight="1">
      <c r="A58" s="4">
        <v>1.2</v>
      </c>
      <c r="B58" s="4">
        <f t="shared" si="1"/>
        <v>4.0335999999999999</v>
      </c>
    </row>
    <row r="59" spans="1:2" ht="15" customHeight="1">
      <c r="A59" s="4">
        <v>1.4</v>
      </c>
      <c r="B59" s="4">
        <f t="shared" si="1"/>
        <v>5.6815999999999987</v>
      </c>
    </row>
    <row r="60" spans="1:2" ht="15" customHeight="1">
      <c r="A60" s="4">
        <v>1.6</v>
      </c>
      <c r="B60" s="4">
        <f t="shared" si="1"/>
        <v>8.1936000000000035</v>
      </c>
    </row>
    <row r="61" spans="1:2" ht="15" customHeight="1">
      <c r="A61" s="4">
        <v>1.8</v>
      </c>
      <c r="B61" s="4">
        <f t="shared" si="1"/>
        <v>11.857600000000001</v>
      </c>
    </row>
    <row r="62" spans="1:2" ht="15" customHeight="1">
      <c r="A62" s="4">
        <v>2</v>
      </c>
      <c r="B62" s="4">
        <f t="shared" si="1"/>
        <v>17</v>
      </c>
    </row>
    <row r="63" spans="1:2" ht="15" customHeight="1">
      <c r="A63" s="4">
        <v>2.2000000000000002</v>
      </c>
      <c r="B63" s="4">
        <f t="shared" si="1"/>
        <v>23.985600000000005</v>
      </c>
    </row>
    <row r="64" spans="1:2" ht="15" customHeight="1">
      <c r="A64" s="4">
        <v>2.4</v>
      </c>
      <c r="B64" s="4">
        <f t="shared" si="1"/>
        <v>33.217599999999997</v>
      </c>
    </row>
    <row r="65" spans="1:2" ht="15" customHeight="1">
      <c r="A65" s="4">
        <v>2.6</v>
      </c>
      <c r="B65" s="4">
        <f t="shared" si="1"/>
        <v>45.137600000000013</v>
      </c>
    </row>
    <row r="66" spans="1:2" ht="15" customHeight="1">
      <c r="A66" s="4">
        <v>2.8</v>
      </c>
      <c r="B66" s="4">
        <f t="shared" ref="B66:B97" si="2">IF(A66&lt;1,ABS(A66-A66^2),A66^4-A66^2+2*A66+1)</f>
        <v>60.225599999999986</v>
      </c>
    </row>
    <row r="67" spans="1:2" ht="15" customHeight="1">
      <c r="A67" s="4">
        <v>3</v>
      </c>
      <c r="B67" s="4">
        <f t="shared" si="2"/>
        <v>79</v>
      </c>
    </row>
    <row r="68" spans="1:2" ht="15" customHeight="1">
      <c r="A68" s="4">
        <v>3.2</v>
      </c>
      <c r="B68" s="4">
        <f t="shared" si="2"/>
        <v>102.01760000000004</v>
      </c>
    </row>
    <row r="69" spans="1:2" ht="15" customHeight="1">
      <c r="A69" s="4">
        <v>3.4</v>
      </c>
      <c r="B69" s="4">
        <f t="shared" si="2"/>
        <v>129.87359999999998</v>
      </c>
    </row>
    <row r="70" spans="1:2" ht="15" customHeight="1">
      <c r="A70" s="4">
        <v>3.6</v>
      </c>
      <c r="B70" s="4">
        <f t="shared" si="2"/>
        <v>163.20160000000001</v>
      </c>
    </row>
    <row r="71" spans="1:2" ht="15" customHeight="1">
      <c r="A71" s="4">
        <v>3.8</v>
      </c>
      <c r="B71" s="4">
        <f t="shared" si="2"/>
        <v>202.67359999999999</v>
      </c>
    </row>
    <row r="72" spans="1:2" ht="15" customHeight="1">
      <c r="A72" s="4">
        <v>4</v>
      </c>
      <c r="B72" s="4">
        <f t="shared" si="2"/>
        <v>249</v>
      </c>
    </row>
    <row r="73" spans="1:2" ht="15" customHeight="1">
      <c r="A73" s="4">
        <v>4.2</v>
      </c>
      <c r="B73" s="4">
        <f t="shared" si="2"/>
        <v>302.92959999999999</v>
      </c>
    </row>
    <row r="74" spans="1:2" ht="15" customHeight="1">
      <c r="A74" s="4">
        <v>4.4000000000000004</v>
      </c>
      <c r="B74" s="4">
        <f t="shared" si="2"/>
        <v>365.2496000000001</v>
      </c>
    </row>
    <row r="75" spans="1:2" ht="15" customHeight="1">
      <c r="A75" s="4">
        <v>4.5999999999999996</v>
      </c>
      <c r="B75" s="4">
        <f t="shared" si="2"/>
        <v>436.78559999999987</v>
      </c>
    </row>
    <row r="76" spans="1:2" ht="15" customHeight="1">
      <c r="A76" s="4">
        <v>4.8</v>
      </c>
      <c r="B76" s="4">
        <f t="shared" si="2"/>
        <v>518.40159999999992</v>
      </c>
    </row>
    <row r="77" spans="1:2" ht="15" customHeight="1">
      <c r="A77" s="4">
        <v>5</v>
      </c>
      <c r="B77" s="4">
        <f t="shared" si="2"/>
        <v>611</v>
      </c>
    </row>
    <row r="78" spans="1:2" ht="15" customHeight="1">
      <c r="A78" s="4">
        <v>5.2</v>
      </c>
      <c r="B78" s="4">
        <f t="shared" si="2"/>
        <v>715.52160000000015</v>
      </c>
    </row>
    <row r="79" spans="1:2" ht="15" customHeight="1">
      <c r="A79" s="4">
        <v>5.4</v>
      </c>
      <c r="B79" s="4">
        <f t="shared" si="2"/>
        <v>832.94560000000024</v>
      </c>
    </row>
    <row r="80" spans="1:2" ht="15" customHeight="1">
      <c r="A80" s="4">
        <v>5.6</v>
      </c>
      <c r="B80" s="4">
        <f t="shared" si="2"/>
        <v>964.28959999999972</v>
      </c>
    </row>
    <row r="81" spans="1:2" ht="15" customHeight="1">
      <c r="A81" s="4">
        <v>5.8</v>
      </c>
      <c r="B81" s="4">
        <f t="shared" si="2"/>
        <v>1110.6095999999998</v>
      </c>
    </row>
    <row r="82" spans="1:2" ht="15" customHeight="1">
      <c r="A82" s="4">
        <v>6</v>
      </c>
      <c r="B82" s="4">
        <f t="shared" si="2"/>
        <v>1273</v>
      </c>
    </row>
    <row r="83" spans="1:2" ht="15" customHeight="1">
      <c r="A83" s="4">
        <v>6.2</v>
      </c>
      <c r="B83" s="4">
        <f t="shared" si="2"/>
        <v>1452.5936000000004</v>
      </c>
    </row>
    <row r="84" spans="1:2" ht="15" customHeight="1">
      <c r="A84" s="4">
        <v>6.4</v>
      </c>
      <c r="B84" s="4">
        <f t="shared" si="2"/>
        <v>1650.5616000000007</v>
      </c>
    </row>
    <row r="85" spans="1:2" ht="15" customHeight="1">
      <c r="A85" s="4">
        <v>6.6</v>
      </c>
      <c r="B85" s="4">
        <f t="shared" si="2"/>
        <v>1868.1135999999997</v>
      </c>
    </row>
    <row r="86" spans="1:2" ht="15" customHeight="1">
      <c r="A86" s="4">
        <v>6.8</v>
      </c>
      <c r="B86" s="4">
        <f t="shared" si="2"/>
        <v>2106.4975999999997</v>
      </c>
    </row>
    <row r="87" spans="1:2" ht="15" customHeight="1">
      <c r="A87" s="4">
        <v>7</v>
      </c>
      <c r="B87" s="4">
        <f t="shared" si="2"/>
        <v>2367</v>
      </c>
    </row>
    <row r="88" spans="1:2" ht="15" customHeight="1">
      <c r="A88" s="4">
        <v>7.2</v>
      </c>
      <c r="B88" s="4">
        <f t="shared" si="2"/>
        <v>2650.9456000000005</v>
      </c>
    </row>
    <row r="89" spans="1:2" ht="15" customHeight="1">
      <c r="A89" s="4">
        <v>7.4</v>
      </c>
      <c r="B89" s="4">
        <f t="shared" si="2"/>
        <v>2959.6976000000004</v>
      </c>
    </row>
    <row r="90" spans="1:2" ht="15" customHeight="1">
      <c r="A90" s="4">
        <v>7.6</v>
      </c>
      <c r="B90" s="4">
        <f t="shared" si="2"/>
        <v>3294.6575999999995</v>
      </c>
    </row>
    <row r="91" spans="1:2" ht="15" customHeight="1">
      <c r="A91" s="4">
        <v>7.8</v>
      </c>
      <c r="B91" s="4">
        <f t="shared" si="2"/>
        <v>3657.2655999999993</v>
      </c>
    </row>
    <row r="92" spans="1:2" ht="15" customHeight="1">
      <c r="A92" s="4">
        <v>8</v>
      </c>
      <c r="B92" s="4">
        <f t="shared" si="2"/>
        <v>4049</v>
      </c>
    </row>
    <row r="93" spans="1:2" ht="15" customHeight="1">
      <c r="A93" s="4">
        <v>8.1999999999999993</v>
      </c>
      <c r="B93" s="4">
        <f t="shared" si="2"/>
        <v>4471.3775999999989</v>
      </c>
    </row>
    <row r="94" spans="1:2" ht="15" customHeight="1">
      <c r="A94" s="4">
        <v>8.4</v>
      </c>
      <c r="B94" s="4">
        <f t="shared" si="2"/>
        <v>4925.9535999999998</v>
      </c>
    </row>
    <row r="95" spans="1:2" ht="15" customHeight="1">
      <c r="A95" s="4">
        <v>8.6</v>
      </c>
      <c r="B95" s="4">
        <f t="shared" si="2"/>
        <v>5414.3215999999993</v>
      </c>
    </row>
    <row r="96" spans="1:2" ht="15" customHeight="1">
      <c r="A96" s="4">
        <v>8.8000000000000007</v>
      </c>
      <c r="B96" s="4">
        <f t="shared" si="2"/>
        <v>5938.1136000000024</v>
      </c>
    </row>
    <row r="97" spans="1:2" ht="15" customHeight="1">
      <c r="A97" s="4">
        <v>9</v>
      </c>
      <c r="B97" s="4">
        <f t="shared" si="2"/>
        <v>6499</v>
      </c>
    </row>
    <row r="98" spans="1:2" ht="15" customHeight="1">
      <c r="A98" s="4">
        <v>9.1999999999999993</v>
      </c>
      <c r="B98" s="4">
        <f t="shared" ref="B98:B102" si="3">IF(A98&lt;1,ABS(A98-A98^2),A98^4-A98^2+2*A98+1)</f>
        <v>7098.689599999997</v>
      </c>
    </row>
    <row r="99" spans="1:2" ht="15" customHeight="1">
      <c r="A99" s="4">
        <v>9.4</v>
      </c>
      <c r="B99" s="4">
        <f t="shared" si="3"/>
        <v>7738.9296000000031</v>
      </c>
    </row>
    <row r="100" spans="1:2" ht="15" customHeight="1">
      <c r="A100" s="4">
        <v>9.6</v>
      </c>
      <c r="B100" s="4">
        <f t="shared" si="3"/>
        <v>8421.5056000000004</v>
      </c>
    </row>
    <row r="101" spans="1:2" ht="15" customHeight="1">
      <c r="A101" s="4">
        <v>9.8000000000000007</v>
      </c>
      <c r="B101" s="4">
        <f t="shared" si="3"/>
        <v>9148.241600000003</v>
      </c>
    </row>
    <row r="102" spans="1:2" ht="15" customHeight="1">
      <c r="A102" s="4">
        <v>10</v>
      </c>
      <c r="B102" s="4">
        <f t="shared" si="3"/>
        <v>9921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25"/>
  <dimension ref="A1:B102"/>
  <sheetViews>
    <sheetView zoomScaleNormal="100" workbookViewId="0">
      <selection activeCell="F20" sqref="F20"/>
    </sheetView>
  </sheetViews>
  <sheetFormatPr defaultColWidth="8.7109375" defaultRowHeight="15"/>
  <cols>
    <col min="1" max="1" width="8" customWidth="1"/>
    <col min="2" max="2" width="30" customWidth="1"/>
  </cols>
  <sheetData>
    <row r="1" spans="1:2" ht="15" customHeight="1">
      <c r="A1" s="3" t="s">
        <v>3</v>
      </c>
      <c r="B1" s="3" t="s">
        <v>13</v>
      </c>
    </row>
    <row r="2" spans="1:2" ht="15" customHeight="1">
      <c r="A2" s="4">
        <v>-10</v>
      </c>
      <c r="B2" s="4">
        <f t="shared" ref="B2:B33" si="0">IFERROR(IF(A2&lt;0,ABS(3*A2-5)+3*A2^3,A2^2+1/A2^2), "")</f>
        <v>-2965</v>
      </c>
    </row>
    <row r="3" spans="1:2" ht="15" customHeight="1">
      <c r="A3" s="4">
        <v>-9.8000000000000007</v>
      </c>
      <c r="B3" s="4">
        <f t="shared" si="0"/>
        <v>-2789.1760000000008</v>
      </c>
    </row>
    <row r="4" spans="1:2" ht="15" customHeight="1">
      <c r="A4" s="4">
        <v>-9.6</v>
      </c>
      <c r="B4" s="4">
        <f t="shared" si="0"/>
        <v>-2620.4079999999999</v>
      </c>
    </row>
    <row r="5" spans="1:2" ht="15" customHeight="1">
      <c r="A5" s="4">
        <v>-9.4</v>
      </c>
      <c r="B5" s="4">
        <f t="shared" si="0"/>
        <v>-2458.5520000000006</v>
      </c>
    </row>
    <row r="6" spans="1:2" ht="15" customHeight="1">
      <c r="A6" s="4">
        <v>-9.1999999999999993</v>
      </c>
      <c r="B6" s="4">
        <f t="shared" si="0"/>
        <v>-2303.4639999999995</v>
      </c>
    </row>
    <row r="7" spans="1:2" ht="15" customHeight="1">
      <c r="A7" s="4">
        <v>-9</v>
      </c>
      <c r="B7" s="4">
        <f t="shared" si="0"/>
        <v>-2155</v>
      </c>
    </row>
    <row r="8" spans="1:2" ht="15" customHeight="1">
      <c r="A8" s="4">
        <v>-8.8000000000000007</v>
      </c>
      <c r="B8" s="4">
        <f t="shared" si="0"/>
        <v>-2013.0160000000005</v>
      </c>
    </row>
    <row r="9" spans="1:2" ht="15" customHeight="1">
      <c r="A9" s="4">
        <v>-8.6</v>
      </c>
      <c r="B9" s="4">
        <f t="shared" si="0"/>
        <v>-1877.3679999999997</v>
      </c>
    </row>
    <row r="10" spans="1:2" ht="15" customHeight="1">
      <c r="A10" s="4">
        <v>-8.4</v>
      </c>
      <c r="B10" s="4">
        <f t="shared" si="0"/>
        <v>-1747.912</v>
      </c>
    </row>
    <row r="11" spans="1:2" ht="15" customHeight="1">
      <c r="A11" s="4">
        <v>-8.1999999999999993</v>
      </c>
      <c r="B11" s="4">
        <f t="shared" si="0"/>
        <v>-1624.5039999999999</v>
      </c>
    </row>
    <row r="12" spans="1:2" ht="15" customHeight="1">
      <c r="A12" s="4">
        <v>-8</v>
      </c>
      <c r="B12" s="4">
        <f t="shared" si="0"/>
        <v>-1507</v>
      </c>
    </row>
    <row r="13" spans="1:2" ht="15" customHeight="1">
      <c r="A13" s="4">
        <v>-7.8</v>
      </c>
      <c r="B13" s="4">
        <f t="shared" si="0"/>
        <v>-1395.2559999999999</v>
      </c>
    </row>
    <row r="14" spans="1:2" ht="15" customHeight="1">
      <c r="A14" s="4">
        <v>-7.6</v>
      </c>
      <c r="B14" s="4">
        <f t="shared" si="0"/>
        <v>-1289.1279999999999</v>
      </c>
    </row>
    <row r="15" spans="1:2" ht="15" customHeight="1">
      <c r="A15" s="4">
        <v>-7.4</v>
      </c>
      <c r="B15" s="4">
        <f t="shared" si="0"/>
        <v>-1188.472</v>
      </c>
    </row>
    <row r="16" spans="1:2" ht="15" customHeight="1">
      <c r="A16" s="4">
        <v>-7.2</v>
      </c>
      <c r="B16" s="4">
        <f t="shared" si="0"/>
        <v>-1093.1440000000002</v>
      </c>
    </row>
    <row r="17" spans="1:2" ht="15" customHeight="1">
      <c r="A17" s="4">
        <v>-7</v>
      </c>
      <c r="B17" s="4">
        <f t="shared" si="0"/>
        <v>-1003</v>
      </c>
    </row>
    <row r="18" spans="1:2" ht="15" customHeight="1">
      <c r="A18" s="4">
        <v>-6.8</v>
      </c>
      <c r="B18" s="4">
        <f t="shared" si="0"/>
        <v>-917.89599999999984</v>
      </c>
    </row>
    <row r="19" spans="1:2" ht="15" customHeight="1">
      <c r="A19" s="4">
        <v>-6.6</v>
      </c>
      <c r="B19" s="4">
        <f t="shared" si="0"/>
        <v>-837.68799999999999</v>
      </c>
    </row>
    <row r="20" spans="1:2" ht="15" customHeight="1">
      <c r="A20" s="4">
        <v>-6.4</v>
      </c>
      <c r="B20" s="4">
        <f t="shared" si="0"/>
        <v>-762.2320000000002</v>
      </c>
    </row>
    <row r="21" spans="1:2" ht="15" customHeight="1">
      <c r="A21" s="4">
        <v>-6.2</v>
      </c>
      <c r="B21" s="4">
        <f t="shared" si="0"/>
        <v>-691.38400000000013</v>
      </c>
    </row>
    <row r="22" spans="1:2" ht="15" customHeight="1">
      <c r="A22" s="4">
        <v>-6</v>
      </c>
      <c r="B22" s="4">
        <f t="shared" si="0"/>
        <v>-625</v>
      </c>
    </row>
    <row r="23" spans="1:2" ht="15" customHeight="1">
      <c r="A23" s="4">
        <v>-5.8</v>
      </c>
      <c r="B23" s="4">
        <f t="shared" si="0"/>
        <v>-562.93600000000004</v>
      </c>
    </row>
    <row r="24" spans="1:2" ht="15" customHeight="1">
      <c r="A24" s="4">
        <v>-5.6</v>
      </c>
      <c r="B24" s="4">
        <f t="shared" si="0"/>
        <v>-505.04799999999983</v>
      </c>
    </row>
    <row r="25" spans="1:2" ht="15" customHeight="1">
      <c r="A25" s="4">
        <v>-5.4</v>
      </c>
      <c r="B25" s="4">
        <f t="shared" si="0"/>
        <v>-451.19200000000006</v>
      </c>
    </row>
    <row r="26" spans="1:2" ht="15" customHeight="1">
      <c r="A26" s="4">
        <v>-5.2</v>
      </c>
      <c r="B26" s="4">
        <f t="shared" si="0"/>
        <v>-401.22400000000005</v>
      </c>
    </row>
    <row r="27" spans="1:2" ht="15" customHeight="1">
      <c r="A27" s="4">
        <v>-5</v>
      </c>
      <c r="B27" s="4">
        <f t="shared" si="0"/>
        <v>-355</v>
      </c>
    </row>
    <row r="28" spans="1:2" ht="15" customHeight="1">
      <c r="A28" s="4">
        <v>-4.8</v>
      </c>
      <c r="B28" s="4">
        <f t="shared" si="0"/>
        <v>-312.37600000000003</v>
      </c>
    </row>
    <row r="29" spans="1:2" ht="15" customHeight="1">
      <c r="A29" s="4">
        <v>-4.5999999999999996</v>
      </c>
      <c r="B29" s="4">
        <f t="shared" si="0"/>
        <v>-273.20799999999991</v>
      </c>
    </row>
    <row r="30" spans="1:2" ht="15" customHeight="1">
      <c r="A30" s="4">
        <v>-4.4000000000000004</v>
      </c>
      <c r="B30" s="4">
        <f t="shared" si="0"/>
        <v>-237.35200000000009</v>
      </c>
    </row>
    <row r="31" spans="1:2" ht="15" customHeight="1">
      <c r="A31" s="4">
        <v>-4.2</v>
      </c>
      <c r="B31" s="4">
        <f t="shared" si="0"/>
        <v>-204.66400000000002</v>
      </c>
    </row>
    <row r="32" spans="1:2" ht="15" customHeight="1">
      <c r="A32" s="4">
        <v>-4</v>
      </c>
      <c r="B32" s="4">
        <f t="shared" si="0"/>
        <v>-175</v>
      </c>
    </row>
    <row r="33" spans="1:2" ht="15" customHeight="1">
      <c r="A33" s="4">
        <v>-3.8</v>
      </c>
      <c r="B33" s="4">
        <f t="shared" si="0"/>
        <v>-148.21599999999998</v>
      </c>
    </row>
    <row r="34" spans="1:2" ht="15" customHeight="1">
      <c r="A34" s="4">
        <v>-3.6</v>
      </c>
      <c r="B34" s="4">
        <f t="shared" ref="B34:B65" si="1">IFERROR(IF(A34&lt;0,ABS(3*A34-5)+3*A34^3,A34^2+1/A34^2), "")</f>
        <v>-124.16800000000002</v>
      </c>
    </row>
    <row r="35" spans="1:2" ht="15" customHeight="1">
      <c r="A35" s="4">
        <v>-3.4</v>
      </c>
      <c r="B35" s="4">
        <f t="shared" si="1"/>
        <v>-102.71199999999997</v>
      </c>
    </row>
    <row r="36" spans="1:2" ht="15" customHeight="1">
      <c r="A36" s="4">
        <v>-3.2</v>
      </c>
      <c r="B36" s="4">
        <f t="shared" si="1"/>
        <v>-83.704000000000036</v>
      </c>
    </row>
    <row r="37" spans="1:2" ht="15" customHeight="1">
      <c r="A37" s="4">
        <v>-3</v>
      </c>
      <c r="B37" s="4">
        <f t="shared" si="1"/>
        <v>-67</v>
      </c>
    </row>
    <row r="38" spans="1:2" ht="15" customHeight="1">
      <c r="A38" s="4">
        <v>-2.8</v>
      </c>
      <c r="B38" s="4">
        <f t="shared" si="1"/>
        <v>-52.455999999999982</v>
      </c>
    </row>
    <row r="39" spans="1:2" ht="15" customHeight="1">
      <c r="A39" s="4">
        <v>-2.6</v>
      </c>
      <c r="B39" s="4">
        <f t="shared" si="1"/>
        <v>-39.928000000000011</v>
      </c>
    </row>
    <row r="40" spans="1:2" ht="15" customHeight="1">
      <c r="A40" s="4">
        <v>-2.4</v>
      </c>
      <c r="B40" s="4">
        <f t="shared" si="1"/>
        <v>-29.272000000000002</v>
      </c>
    </row>
    <row r="41" spans="1:2" ht="15" customHeight="1">
      <c r="A41" s="4">
        <v>-2.2000000000000002</v>
      </c>
      <c r="B41" s="4">
        <f t="shared" si="1"/>
        <v>-20.344000000000008</v>
      </c>
    </row>
    <row r="42" spans="1:2" ht="15" customHeight="1">
      <c r="A42" s="4">
        <v>-2</v>
      </c>
      <c r="B42" s="4">
        <f t="shared" si="1"/>
        <v>-13</v>
      </c>
    </row>
    <row r="43" spans="1:2" ht="15" customHeight="1">
      <c r="A43" s="4">
        <v>-1.8</v>
      </c>
      <c r="B43" s="4">
        <f t="shared" si="1"/>
        <v>-7.0960000000000019</v>
      </c>
    </row>
    <row r="44" spans="1:2" ht="15" customHeight="1">
      <c r="A44" s="4">
        <v>-1.6</v>
      </c>
      <c r="B44" s="4">
        <f t="shared" si="1"/>
        <v>-2.4880000000000031</v>
      </c>
    </row>
    <row r="45" spans="1:2" ht="15" customHeight="1">
      <c r="A45" s="4">
        <v>-1.4</v>
      </c>
      <c r="B45" s="4">
        <f t="shared" si="1"/>
        <v>0.96800000000000175</v>
      </c>
    </row>
    <row r="46" spans="1:2" ht="15" customHeight="1">
      <c r="A46" s="4">
        <v>-1.2</v>
      </c>
      <c r="B46" s="4">
        <f t="shared" si="1"/>
        <v>3.4159999999999995</v>
      </c>
    </row>
    <row r="47" spans="1:2" ht="15" customHeight="1">
      <c r="A47" s="4">
        <v>-1</v>
      </c>
      <c r="B47" s="4">
        <f t="shared" si="1"/>
        <v>5</v>
      </c>
    </row>
    <row r="48" spans="1:2" ht="15" customHeight="1">
      <c r="A48" s="4">
        <v>-0.8</v>
      </c>
      <c r="B48" s="4">
        <f t="shared" si="1"/>
        <v>5.8639999999999999</v>
      </c>
    </row>
    <row r="49" spans="1:2" ht="15" customHeight="1">
      <c r="A49" s="4">
        <v>-0.6</v>
      </c>
      <c r="B49" s="4">
        <f t="shared" si="1"/>
        <v>6.1520000000000001</v>
      </c>
    </row>
    <row r="50" spans="1:2" ht="15" customHeight="1">
      <c r="A50" s="4">
        <v>-0.4</v>
      </c>
      <c r="B50" s="4">
        <f t="shared" si="1"/>
        <v>6.008</v>
      </c>
    </row>
    <row r="51" spans="1:2" ht="15" customHeight="1">
      <c r="A51" s="4">
        <v>-0.2</v>
      </c>
      <c r="B51" s="4">
        <f t="shared" si="1"/>
        <v>5.5759999999999996</v>
      </c>
    </row>
    <row r="52" spans="1:2" ht="15" customHeight="1">
      <c r="A52" s="4">
        <v>0</v>
      </c>
      <c r="B52" s="4" t="str">
        <f t="shared" si="1"/>
        <v/>
      </c>
    </row>
    <row r="53" spans="1:2" ht="15" customHeight="1">
      <c r="A53" s="4">
        <v>0.2</v>
      </c>
      <c r="B53" s="4">
        <f t="shared" si="1"/>
        <v>25.039999999999996</v>
      </c>
    </row>
    <row r="54" spans="1:2" ht="15" customHeight="1">
      <c r="A54" s="4">
        <v>0.4</v>
      </c>
      <c r="B54" s="4">
        <f t="shared" si="1"/>
        <v>6.4099999999999993</v>
      </c>
    </row>
    <row r="55" spans="1:2" ht="15" customHeight="1">
      <c r="A55" s="4">
        <v>0.6</v>
      </c>
      <c r="B55" s="4">
        <f t="shared" si="1"/>
        <v>3.1377777777777776</v>
      </c>
    </row>
    <row r="56" spans="1:2" ht="15" customHeight="1">
      <c r="A56" s="4">
        <v>0.8</v>
      </c>
      <c r="B56" s="4">
        <f t="shared" si="1"/>
        <v>2.2024999999999997</v>
      </c>
    </row>
    <row r="57" spans="1:2" ht="15" customHeight="1">
      <c r="A57" s="4">
        <v>1</v>
      </c>
      <c r="B57" s="4">
        <f t="shared" si="1"/>
        <v>2</v>
      </c>
    </row>
    <row r="58" spans="1:2" ht="15" customHeight="1">
      <c r="A58" s="4">
        <v>1.2</v>
      </c>
      <c r="B58" s="4">
        <f t="shared" si="1"/>
        <v>2.1344444444444441</v>
      </c>
    </row>
    <row r="59" spans="1:2" ht="15" customHeight="1">
      <c r="A59" s="4">
        <v>1.4</v>
      </c>
      <c r="B59" s="4">
        <f t="shared" si="1"/>
        <v>2.4702040816326529</v>
      </c>
    </row>
    <row r="60" spans="1:2" ht="15" customHeight="1">
      <c r="A60" s="4">
        <v>1.6</v>
      </c>
      <c r="B60" s="4">
        <f t="shared" si="1"/>
        <v>2.9506250000000005</v>
      </c>
    </row>
    <row r="61" spans="1:2" ht="15" customHeight="1">
      <c r="A61" s="4">
        <v>1.8</v>
      </c>
      <c r="B61" s="4">
        <f t="shared" si="1"/>
        <v>3.5486419753086422</v>
      </c>
    </row>
    <row r="62" spans="1:2" ht="15" customHeight="1">
      <c r="A62" s="4">
        <v>2</v>
      </c>
      <c r="B62" s="4">
        <f t="shared" si="1"/>
        <v>4.25</v>
      </c>
    </row>
    <row r="63" spans="1:2" ht="15" customHeight="1">
      <c r="A63" s="4">
        <v>2.2000000000000002</v>
      </c>
      <c r="B63" s="4">
        <f t="shared" si="1"/>
        <v>5.0466115702479346</v>
      </c>
    </row>
    <row r="64" spans="1:2" ht="15" customHeight="1">
      <c r="A64" s="4">
        <v>2.4</v>
      </c>
      <c r="B64" s="4">
        <f t="shared" si="1"/>
        <v>5.9336111111111105</v>
      </c>
    </row>
    <row r="65" spans="1:2" ht="15" customHeight="1">
      <c r="A65" s="4">
        <v>2.6</v>
      </c>
      <c r="B65" s="4">
        <f t="shared" si="1"/>
        <v>6.907928994082841</v>
      </c>
    </row>
    <row r="66" spans="1:2" ht="15" customHeight="1">
      <c r="A66" s="4">
        <v>2.8</v>
      </c>
      <c r="B66" s="4">
        <f t="shared" ref="B66:B97" si="2">IFERROR(IF(A66&lt;0,ABS(3*A66-5)+3*A66^3,A66^2+1/A66^2), "")</f>
        <v>7.9675510204081625</v>
      </c>
    </row>
    <row r="67" spans="1:2" ht="15" customHeight="1">
      <c r="A67" s="4">
        <v>3</v>
      </c>
      <c r="B67" s="4">
        <f t="shared" si="2"/>
        <v>9.1111111111111107</v>
      </c>
    </row>
    <row r="68" spans="1:2" ht="15" customHeight="1">
      <c r="A68" s="4">
        <v>3.2</v>
      </c>
      <c r="B68" s="4">
        <f t="shared" si="2"/>
        <v>10.337656250000002</v>
      </c>
    </row>
    <row r="69" spans="1:2" ht="15" customHeight="1">
      <c r="A69" s="4">
        <v>3.4</v>
      </c>
      <c r="B69" s="4">
        <f t="shared" si="2"/>
        <v>11.646505190311418</v>
      </c>
    </row>
    <row r="70" spans="1:2" ht="15" customHeight="1">
      <c r="A70" s="4">
        <v>3.6</v>
      </c>
      <c r="B70" s="4">
        <f t="shared" si="2"/>
        <v>13.037160493827161</v>
      </c>
    </row>
    <row r="71" spans="1:2" ht="15" customHeight="1">
      <c r="A71" s="4">
        <v>3.8</v>
      </c>
      <c r="B71" s="4">
        <f t="shared" si="2"/>
        <v>14.509252077562326</v>
      </c>
    </row>
    <row r="72" spans="1:2" ht="15" customHeight="1">
      <c r="A72" s="4">
        <v>4</v>
      </c>
      <c r="B72" s="4">
        <f t="shared" si="2"/>
        <v>16.0625</v>
      </c>
    </row>
    <row r="73" spans="1:2" ht="15" customHeight="1">
      <c r="A73" s="4">
        <v>4.2</v>
      </c>
      <c r="B73" s="4">
        <f t="shared" si="2"/>
        <v>17.69668934240363</v>
      </c>
    </row>
    <row r="74" spans="1:2" ht="15" customHeight="1">
      <c r="A74" s="4">
        <v>4.4000000000000004</v>
      </c>
      <c r="B74" s="4">
        <f t="shared" si="2"/>
        <v>19.411652892561985</v>
      </c>
    </row>
    <row r="75" spans="1:2" ht="15" customHeight="1">
      <c r="A75" s="4">
        <v>4.5999999999999996</v>
      </c>
      <c r="B75" s="4">
        <f t="shared" si="2"/>
        <v>21.207258979206046</v>
      </c>
    </row>
    <row r="76" spans="1:2" ht="15" customHeight="1">
      <c r="A76" s="4">
        <v>4.8</v>
      </c>
      <c r="B76" s="4">
        <f t="shared" si="2"/>
        <v>23.083402777777778</v>
      </c>
    </row>
    <row r="77" spans="1:2" ht="15" customHeight="1">
      <c r="A77" s="4">
        <v>5</v>
      </c>
      <c r="B77" s="4">
        <f t="shared" si="2"/>
        <v>25.04</v>
      </c>
    </row>
    <row r="78" spans="1:2" ht="15" customHeight="1">
      <c r="A78" s="4">
        <v>5.2</v>
      </c>
      <c r="B78" s="4">
        <f t="shared" si="2"/>
        <v>27.076982248520714</v>
      </c>
    </row>
    <row r="79" spans="1:2" ht="15" customHeight="1">
      <c r="A79" s="4">
        <v>5.4</v>
      </c>
      <c r="B79" s="4">
        <f t="shared" si="2"/>
        <v>29.194293552812074</v>
      </c>
    </row>
    <row r="80" spans="1:2" ht="15" customHeight="1">
      <c r="A80" s="4">
        <v>5.6</v>
      </c>
      <c r="B80" s="4">
        <f t="shared" si="2"/>
        <v>31.391887755102037</v>
      </c>
    </row>
    <row r="81" spans="1:2" ht="15" customHeight="1">
      <c r="A81" s="4">
        <v>5.8</v>
      </c>
      <c r="B81" s="4">
        <f t="shared" si="2"/>
        <v>33.669726516052322</v>
      </c>
    </row>
    <row r="82" spans="1:2" ht="15" customHeight="1">
      <c r="A82" s="4">
        <v>6</v>
      </c>
      <c r="B82" s="4">
        <f t="shared" si="2"/>
        <v>36.027777777777779</v>
      </c>
    </row>
    <row r="83" spans="1:2" ht="15" customHeight="1">
      <c r="A83" s="4">
        <v>6.2</v>
      </c>
      <c r="B83" s="4">
        <f t="shared" si="2"/>
        <v>38.466014568158172</v>
      </c>
    </row>
    <row r="84" spans="1:2" ht="15" customHeight="1">
      <c r="A84" s="4">
        <v>6.4</v>
      </c>
      <c r="B84" s="4">
        <f t="shared" si="2"/>
        <v>40.984414062500008</v>
      </c>
    </row>
    <row r="85" spans="1:2" ht="15" customHeight="1">
      <c r="A85" s="4">
        <v>6.6</v>
      </c>
      <c r="B85" s="4">
        <f t="shared" si="2"/>
        <v>43.582956841138653</v>
      </c>
    </row>
    <row r="86" spans="1:2" ht="15" customHeight="1">
      <c r="A86" s="4">
        <v>6.8</v>
      </c>
      <c r="B86" s="4">
        <f t="shared" si="2"/>
        <v>46.261626297577848</v>
      </c>
    </row>
    <row r="87" spans="1:2" ht="15" customHeight="1">
      <c r="A87" s="4">
        <v>7</v>
      </c>
      <c r="B87" s="4">
        <f t="shared" si="2"/>
        <v>49.020408163265309</v>
      </c>
    </row>
    <row r="88" spans="1:2" ht="15" customHeight="1">
      <c r="A88" s="4">
        <v>7.2</v>
      </c>
      <c r="B88" s="4">
        <f t="shared" si="2"/>
        <v>51.859290123456795</v>
      </c>
    </row>
    <row r="89" spans="1:2" ht="15" customHeight="1">
      <c r="A89" s="4">
        <v>7.4</v>
      </c>
      <c r="B89" s="4">
        <f t="shared" si="2"/>
        <v>54.778261504747995</v>
      </c>
    </row>
    <row r="90" spans="1:2" ht="15" customHeight="1">
      <c r="A90" s="4">
        <v>7.6</v>
      </c>
      <c r="B90" s="4">
        <f t="shared" si="2"/>
        <v>57.777313019390583</v>
      </c>
    </row>
    <row r="91" spans="1:2" ht="15" customHeight="1">
      <c r="A91" s="4">
        <v>7.8</v>
      </c>
      <c r="B91" s="4">
        <f t="shared" si="2"/>
        <v>60.856436554898089</v>
      </c>
    </row>
    <row r="92" spans="1:2" ht="15" customHeight="1">
      <c r="A92" s="4">
        <v>8</v>
      </c>
      <c r="B92" s="4">
        <f t="shared" si="2"/>
        <v>64.015625</v>
      </c>
    </row>
    <row r="93" spans="1:2" ht="15" customHeight="1">
      <c r="A93" s="4">
        <v>8.1999999999999993</v>
      </c>
      <c r="B93" s="4">
        <f t="shared" si="2"/>
        <v>67.254872099940513</v>
      </c>
    </row>
    <row r="94" spans="1:2" ht="15" customHeight="1">
      <c r="A94" s="4">
        <v>8.4</v>
      </c>
      <c r="B94" s="4">
        <f t="shared" si="2"/>
        <v>70.574172335600906</v>
      </c>
    </row>
    <row r="95" spans="1:2" ht="15" customHeight="1">
      <c r="A95" s="4">
        <v>8.6</v>
      </c>
      <c r="B95" s="4">
        <f t="shared" si="2"/>
        <v>73.973520822065979</v>
      </c>
    </row>
    <row r="96" spans="1:2" ht="15" customHeight="1">
      <c r="A96" s="4">
        <v>8.8000000000000007</v>
      </c>
      <c r="B96" s="4">
        <f t="shared" si="2"/>
        <v>77.452913223140513</v>
      </c>
    </row>
    <row r="97" spans="1:2" ht="15" customHeight="1">
      <c r="A97" s="4">
        <v>9</v>
      </c>
      <c r="B97" s="4">
        <f t="shared" si="2"/>
        <v>81.012345679012341</v>
      </c>
    </row>
    <row r="98" spans="1:2" ht="15" customHeight="1">
      <c r="A98" s="4">
        <v>9.1999999999999993</v>
      </c>
      <c r="B98" s="4">
        <f t="shared" ref="B98:B102" si="3">IFERROR(IF(A98&lt;0,ABS(3*A98-5)+3*A98^3,A98^2+1/A98^2), "")</f>
        <v>84.651814744801499</v>
      </c>
    </row>
    <row r="99" spans="1:2" ht="15" customHeight="1">
      <c r="A99" s="4">
        <v>9.4</v>
      </c>
      <c r="B99" s="4">
        <f t="shared" si="3"/>
        <v>88.371317338162072</v>
      </c>
    </row>
    <row r="100" spans="1:2" ht="15" customHeight="1">
      <c r="A100" s="4">
        <v>9.6</v>
      </c>
      <c r="B100" s="4">
        <f t="shared" si="3"/>
        <v>92.170850694444439</v>
      </c>
    </row>
    <row r="101" spans="1:2" ht="15" customHeight="1">
      <c r="A101" s="4">
        <v>9.8000000000000007</v>
      </c>
      <c r="B101" s="4">
        <f t="shared" si="3"/>
        <v>96.0504123281966</v>
      </c>
    </row>
    <row r="102" spans="1:2" ht="15" customHeight="1">
      <c r="A102" s="4">
        <v>10</v>
      </c>
      <c r="B102" s="4">
        <f t="shared" si="3"/>
        <v>100.01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27"/>
  <dimension ref="A1:G102"/>
  <sheetViews>
    <sheetView zoomScaleNormal="100" workbookViewId="0">
      <selection activeCell="G1" sqref="G1"/>
    </sheetView>
  </sheetViews>
  <sheetFormatPr defaultColWidth="8.7109375" defaultRowHeight="15"/>
  <cols>
    <col min="1" max="3" width="8" customWidth="1"/>
    <col min="4" max="7" width="22" customWidth="1"/>
  </cols>
  <sheetData>
    <row r="1" spans="1:7" ht="15" customHeight="1">
      <c r="A1" s="3" t="s">
        <v>3</v>
      </c>
      <c r="B1" s="3" t="s">
        <v>4</v>
      </c>
      <c r="C1" s="3" t="s">
        <v>2</v>
      </c>
      <c r="D1" s="3" t="s">
        <v>14</v>
      </c>
      <c r="E1" s="3" t="s">
        <v>15</v>
      </c>
      <c r="F1" s="3" t="s">
        <v>16</v>
      </c>
      <c r="G1" s="3" t="s">
        <v>17</v>
      </c>
    </row>
    <row r="2" spans="1:7" ht="15" customHeight="1">
      <c r="A2" s="4">
        <v>-10</v>
      </c>
      <c r="B2" s="4">
        <v>-8</v>
      </c>
      <c r="C2" s="4">
        <v>-6</v>
      </c>
      <c r="D2" s="4">
        <f t="shared" ref="D2:D33" si="0">IFERROR((A2^3+B2^3+C2^3)/(A2-B2-C2), "")</f>
        <v>-432</v>
      </c>
      <c r="E2" s="4">
        <f t="shared" ref="E2:E33" si="1">(SQRT(ABS(A2-B2-C2))-A2*B2*C2)*(1+C2^3)</f>
        <v>-103630</v>
      </c>
      <c r="F2" s="4">
        <f t="shared" ref="F2:F33" si="2">(5*C2)/(B2^3+A2^2+C2^3)-C2^2-1</f>
        <v>-36.952229299363054</v>
      </c>
      <c r="G2" s="4">
        <f t="shared" ref="G2:G33" si="3">IFERROR((1-A2^3*B2^3-A2^2-B2^2)/(A2^3+B2^3)*C2-(A2^3/B2^2)-(1/C2), "")</f>
        <v>-2016.6011904761901</v>
      </c>
    </row>
    <row r="3" spans="1:7" ht="15" customHeight="1">
      <c r="A3" s="4">
        <v>-9.8000000000000007</v>
      </c>
      <c r="B3" s="4">
        <v>-7.8</v>
      </c>
      <c r="C3" s="4">
        <v>-5.8</v>
      </c>
      <c r="D3" s="4">
        <f t="shared" si="0"/>
        <v>-423.9094736842107</v>
      </c>
      <c r="E3" s="4">
        <f t="shared" si="1"/>
        <v>-86438.337372771901</v>
      </c>
      <c r="F3" s="4">
        <f t="shared" si="2"/>
        <v>-34.58944423524818</v>
      </c>
      <c r="G3" s="4">
        <f t="shared" si="3"/>
        <v>-1814.8032994594842</v>
      </c>
    </row>
    <row r="4" spans="1:7" ht="15" customHeight="1">
      <c r="A4" s="4">
        <v>-9.6</v>
      </c>
      <c r="B4" s="4">
        <v>-7.6</v>
      </c>
      <c r="C4" s="4">
        <v>-5.6</v>
      </c>
      <c r="D4" s="4">
        <f t="shared" si="0"/>
        <v>-416.48</v>
      </c>
      <c r="E4" s="4">
        <f t="shared" si="1"/>
        <v>-71675.21738154476</v>
      </c>
      <c r="F4" s="4">
        <f t="shared" si="2"/>
        <v>-32.306404508146514</v>
      </c>
      <c r="G4" s="4">
        <f t="shared" si="3"/>
        <v>-1628.1772427443482</v>
      </c>
    </row>
    <row r="5" spans="1:7" ht="15" customHeight="1">
      <c r="A5" s="4">
        <v>-9.4</v>
      </c>
      <c r="B5" s="4">
        <v>-7.4</v>
      </c>
      <c r="C5" s="4">
        <v>-5.4</v>
      </c>
      <c r="D5" s="4">
        <f t="shared" si="0"/>
        <v>-409.7858823529412</v>
      </c>
      <c r="E5" s="4">
        <f t="shared" si="1"/>
        <v>-59060.138896793185</v>
      </c>
      <c r="F5" s="4">
        <f t="shared" si="2"/>
        <v>-30.103077364186809</v>
      </c>
      <c r="G5" s="4">
        <f t="shared" si="3"/>
        <v>-1455.9592551519468</v>
      </c>
    </row>
    <row r="6" spans="1:7" ht="15" customHeight="1">
      <c r="A6" s="4">
        <v>-9.1999999999999993</v>
      </c>
      <c r="B6" s="4">
        <v>-7.2</v>
      </c>
      <c r="C6" s="4">
        <v>-5.2</v>
      </c>
      <c r="D6" s="4">
        <f t="shared" si="0"/>
        <v>-403.91999999999973</v>
      </c>
      <c r="E6" s="4">
        <f t="shared" si="1"/>
        <v>-48337.434766562241</v>
      </c>
      <c r="F6" s="4">
        <f t="shared" si="2"/>
        <v>-27.979424438977116</v>
      </c>
      <c r="G6" s="4">
        <f t="shared" si="3"/>
        <v>-1297.4047119426655</v>
      </c>
    </row>
    <row r="7" spans="1:7" ht="15" customHeight="1">
      <c r="A7" s="4">
        <v>-9</v>
      </c>
      <c r="B7" s="4">
        <v>-7</v>
      </c>
      <c r="C7" s="4">
        <v>-5</v>
      </c>
      <c r="D7" s="4">
        <f t="shared" si="0"/>
        <v>-399</v>
      </c>
      <c r="E7" s="4">
        <f t="shared" si="1"/>
        <v>-39274.774300138546</v>
      </c>
      <c r="F7" s="4">
        <f t="shared" si="2"/>
        <v>-25.935400516795866</v>
      </c>
      <c r="G7" s="4">
        <f t="shared" si="3"/>
        <v>-1151.7881206213829</v>
      </c>
    </row>
    <row r="8" spans="1:7" ht="15" customHeight="1">
      <c r="A8" s="4">
        <v>-8.8000000000000007</v>
      </c>
      <c r="B8" s="4">
        <v>-6.8</v>
      </c>
      <c r="C8" s="4">
        <v>-4.8</v>
      </c>
      <c r="D8" s="4">
        <f t="shared" si="0"/>
        <v>-395.17714285714311</v>
      </c>
      <c r="E8" s="4">
        <f t="shared" si="1"/>
        <v>-31661.711835255846</v>
      </c>
      <c r="F8" s="4">
        <f t="shared" si="2"/>
        <v>-23.970951942552016</v>
      </c>
      <c r="G8" s="4">
        <f t="shared" si="3"/>
        <v>-1018.4031113059464</v>
      </c>
    </row>
    <row r="9" spans="1:7" ht="15" customHeight="1">
      <c r="A9" s="4">
        <v>-8.6</v>
      </c>
      <c r="B9" s="4">
        <v>-6.6</v>
      </c>
      <c r="C9" s="4">
        <v>-4.5999999999999996</v>
      </c>
      <c r="D9" s="4">
        <f t="shared" si="0"/>
        <v>-392.64923076923077</v>
      </c>
      <c r="E9" s="4">
        <f t="shared" si="1"/>
        <v>-25308.281388488009</v>
      </c>
      <c r="F9" s="4">
        <f t="shared" si="2"/>
        <v>-22.086014565480323</v>
      </c>
      <c r="G9" s="4">
        <f t="shared" si="3"/>
        <v>-896.5624253412509</v>
      </c>
    </row>
    <row r="10" spans="1:7" ht="15" customHeight="1">
      <c r="A10" s="4">
        <v>-8.4</v>
      </c>
      <c r="B10" s="4">
        <v>-6.4</v>
      </c>
      <c r="C10" s="4">
        <v>-4.4000000000000004</v>
      </c>
      <c r="D10" s="4">
        <f t="shared" si="0"/>
        <v>-391.68</v>
      </c>
      <c r="E10" s="4">
        <f t="shared" si="1"/>
        <v>-20043.63738800686</v>
      </c>
      <c r="F10" s="4">
        <f t="shared" si="2"/>
        <v>-20.280511041738933</v>
      </c>
      <c r="G10" s="4">
        <f t="shared" si="3"/>
        <v>-785.59790175333694</v>
      </c>
    </row>
    <row r="11" spans="1:7" ht="15" customHeight="1">
      <c r="A11" s="4">
        <v>-8.1999999999999993</v>
      </c>
      <c r="B11" s="4">
        <v>-6.2</v>
      </c>
      <c r="C11" s="4">
        <v>-4.2</v>
      </c>
      <c r="D11" s="4">
        <f t="shared" si="0"/>
        <v>-392.62909090909068</v>
      </c>
      <c r="E11" s="4">
        <f t="shared" si="1"/>
        <v>-15714.741487004971</v>
      </c>
      <c r="F11" s="4">
        <f t="shared" si="2"/>
        <v>-18.554347244428492</v>
      </c>
      <c r="G11" s="4">
        <f t="shared" si="3"/>
        <v>-684.86046101963234</v>
      </c>
    </row>
    <row r="12" spans="1:7" ht="15" customHeight="1">
      <c r="A12" s="4">
        <v>-8</v>
      </c>
      <c r="B12" s="4">
        <v>-6</v>
      </c>
      <c r="C12" s="4">
        <v>-4</v>
      </c>
      <c r="D12" s="4">
        <f t="shared" si="0"/>
        <v>-396</v>
      </c>
      <c r="E12" s="4">
        <f t="shared" si="1"/>
        <v>-12185.095454429505</v>
      </c>
      <c r="F12" s="4">
        <f t="shared" si="2"/>
        <v>-16.907407407407405</v>
      </c>
      <c r="G12" s="4">
        <f t="shared" si="3"/>
        <v>-593.72008547008556</v>
      </c>
    </row>
    <row r="13" spans="1:7" ht="15" customHeight="1">
      <c r="A13" s="4">
        <v>-7.8</v>
      </c>
      <c r="B13" s="4">
        <v>-5.8</v>
      </c>
      <c r="C13" s="4">
        <v>-3.8</v>
      </c>
      <c r="D13" s="4">
        <f t="shared" si="0"/>
        <v>-402.52</v>
      </c>
      <c r="E13" s="4">
        <f t="shared" si="1"/>
        <v>-9333.5201364503191</v>
      </c>
      <c r="F13" s="4">
        <f t="shared" si="2"/>
        <v>-15.339547434758702</v>
      </c>
      <c r="G13" s="4">
        <f t="shared" si="3"/>
        <v>-511.56579541004993</v>
      </c>
    </row>
    <row r="14" spans="1:7" ht="15" customHeight="1">
      <c r="A14" s="4">
        <v>-7.6</v>
      </c>
      <c r="B14" s="4">
        <v>-5.6</v>
      </c>
      <c r="C14" s="4">
        <v>-3.6</v>
      </c>
      <c r="D14" s="4">
        <f t="shared" si="0"/>
        <v>-413.27999999999986</v>
      </c>
      <c r="E14" s="4">
        <f t="shared" si="1"/>
        <v>-7052.9804755410587</v>
      </c>
      <c r="F14" s="4">
        <f t="shared" si="2"/>
        <v>-13.850585489204436</v>
      </c>
      <c r="G14" s="4">
        <f t="shared" si="3"/>
        <v>-437.80561973957964</v>
      </c>
    </row>
    <row r="15" spans="1:7" ht="15" customHeight="1">
      <c r="A15" s="4">
        <v>-7.4</v>
      </c>
      <c r="B15" s="4">
        <v>-5.4</v>
      </c>
      <c r="C15" s="4">
        <v>-3.4</v>
      </c>
      <c r="D15" s="4">
        <f t="shared" si="0"/>
        <v>-429.99428571428581</v>
      </c>
      <c r="E15" s="4">
        <f t="shared" si="1"/>
        <v>-5249.4565600023707</v>
      </c>
      <c r="F15" s="4">
        <f t="shared" si="2"/>
        <v>-12.440288434454395</v>
      </c>
      <c r="G15" s="4">
        <f t="shared" si="3"/>
        <v>-371.8665593879312</v>
      </c>
    </row>
    <row r="16" spans="1:7" ht="15" customHeight="1">
      <c r="A16" s="4">
        <v>-7.2</v>
      </c>
      <c r="B16" s="4">
        <v>-5.2</v>
      </c>
      <c r="C16" s="4">
        <v>-3.2</v>
      </c>
      <c r="D16" s="4">
        <f t="shared" si="0"/>
        <v>-455.52000000000004</v>
      </c>
      <c r="E16" s="4">
        <f t="shared" si="1"/>
        <v>-3840.8606444136499</v>
      </c>
      <c r="F16" s="4">
        <f t="shared" si="2"/>
        <v>-11.108351764086363</v>
      </c>
      <c r="G16" s="4">
        <f t="shared" si="3"/>
        <v>-313.19454120993356</v>
      </c>
    </row>
    <row r="17" spans="1:7" ht="15" customHeight="1">
      <c r="A17" s="4">
        <v>-7</v>
      </c>
      <c r="B17" s="4">
        <v>-5</v>
      </c>
      <c r="C17" s="4">
        <v>-3</v>
      </c>
      <c r="D17" s="4">
        <f t="shared" si="0"/>
        <v>-495</v>
      </c>
      <c r="E17" s="4">
        <f t="shared" si="1"/>
        <v>-2756</v>
      </c>
      <c r="F17" s="4">
        <f t="shared" si="2"/>
        <v>-9.8543689320388346</v>
      </c>
      <c r="G17" s="4">
        <f t="shared" si="3"/>
        <v>-261.25435897435898</v>
      </c>
    </row>
    <row r="18" spans="1:7" ht="15" customHeight="1">
      <c r="A18" s="4">
        <v>-6.8</v>
      </c>
      <c r="B18" s="4">
        <v>-4.8</v>
      </c>
      <c r="C18" s="4">
        <v>-2.8</v>
      </c>
      <c r="D18" s="4">
        <f t="shared" si="0"/>
        <v>-558.72</v>
      </c>
      <c r="E18" s="4">
        <f t="shared" si="1"/>
        <v>-1933.5852225058297</v>
      </c>
      <c r="F18" s="4">
        <f t="shared" si="2"/>
        <v>-8.677782721542453</v>
      </c>
      <c r="G18" s="4">
        <f t="shared" si="3"/>
        <v>-215.52959649268732</v>
      </c>
    </row>
    <row r="19" spans="1:7" ht="15" customHeight="1">
      <c r="A19" s="4">
        <v>-6.6</v>
      </c>
      <c r="B19" s="4">
        <v>-4.5999999999999996</v>
      </c>
      <c r="C19" s="4">
        <v>-2.6</v>
      </c>
      <c r="D19" s="4">
        <f t="shared" si="0"/>
        <v>-670.67999999999984</v>
      </c>
      <c r="E19" s="4">
        <f t="shared" si="1"/>
        <v>-1321.2828503893472</v>
      </c>
      <c r="F19" s="4">
        <f t="shared" si="2"/>
        <v>-7.5778046866240611</v>
      </c>
      <c r="G19" s="4">
        <f t="shared" si="3"/>
        <v>-175.52252539498718</v>
      </c>
    </row>
    <row r="20" spans="1:7" ht="15" customHeight="1">
      <c r="A20" s="4">
        <v>-6.4</v>
      </c>
      <c r="B20" s="4">
        <v>-4.4000000000000004</v>
      </c>
      <c r="C20" s="4">
        <v>-2.4</v>
      </c>
      <c r="D20" s="4">
        <f t="shared" si="0"/>
        <v>-902.88000000000045</v>
      </c>
      <c r="E20" s="4">
        <f t="shared" si="1"/>
        <v>-874.80782574279988</v>
      </c>
      <c r="F20" s="4">
        <f t="shared" si="2"/>
        <v>-6.5532745314222707</v>
      </c>
      <c r="G20" s="4">
        <f t="shared" si="3"/>
        <v>-140.75396582377374</v>
      </c>
    </row>
    <row r="21" spans="1:7" ht="15" customHeight="1">
      <c r="A21" s="4">
        <v>-6.2</v>
      </c>
      <c r="B21" s="4">
        <v>-4.2</v>
      </c>
      <c r="C21" s="4">
        <v>-2.2000000000000002</v>
      </c>
      <c r="D21" s="4">
        <f t="shared" si="0"/>
        <v>-1615.319999999999</v>
      </c>
      <c r="E21" s="4">
        <f t="shared" si="1"/>
        <v>-557.02934076938391</v>
      </c>
      <c r="F21" s="4">
        <f t="shared" si="2"/>
        <v>-5.6023984793502688</v>
      </c>
      <c r="G21" s="4">
        <f t="shared" si="3"/>
        <v>-110.76309095707201</v>
      </c>
    </row>
    <row r="22" spans="1:7" ht="15" customHeight="1">
      <c r="A22" s="4">
        <v>-6</v>
      </c>
      <c r="B22" s="4">
        <v>-4</v>
      </c>
      <c r="C22" s="4">
        <v>-2</v>
      </c>
      <c r="D22" s="4" t="str">
        <f t="shared" si="0"/>
        <v/>
      </c>
      <c r="E22" s="4">
        <f t="shared" si="1"/>
        <v>-336</v>
      </c>
      <c r="F22" s="4">
        <f t="shared" si="2"/>
        <v>-4.7222222222222223</v>
      </c>
      <c r="G22" s="4">
        <f t="shared" si="3"/>
        <v>-85.107142857142861</v>
      </c>
    </row>
    <row r="23" spans="1:7" ht="15" customHeight="1">
      <c r="A23" s="4">
        <v>-5.8</v>
      </c>
      <c r="B23" s="4">
        <v>-3.8</v>
      </c>
      <c r="C23" s="4">
        <v>-1.8</v>
      </c>
      <c r="D23" s="4">
        <f t="shared" si="0"/>
        <v>1279.0800000000002</v>
      </c>
      <c r="E23" s="4">
        <f t="shared" si="1"/>
        <v>-193.85604009345582</v>
      </c>
      <c r="F23" s="4">
        <f t="shared" si="2"/>
        <v>-3.9074549216671595</v>
      </c>
      <c r="G23" s="4">
        <f t="shared" si="3"/>
        <v>-63.361001289868696</v>
      </c>
    </row>
    <row r="24" spans="1:7" ht="15" customHeight="1">
      <c r="A24" s="4">
        <v>-5.6</v>
      </c>
      <c r="B24" s="4">
        <v>-3.6</v>
      </c>
      <c r="C24" s="4">
        <v>-1.6</v>
      </c>
      <c r="D24" s="4">
        <f t="shared" si="0"/>
        <v>565.92000000000064</v>
      </c>
      <c r="E24" s="4">
        <f t="shared" si="1"/>
        <v>-101.82265832717628</v>
      </c>
      <c r="F24" s="4">
        <f t="shared" si="2"/>
        <v>-3.1474587458745882</v>
      </c>
      <c r="G24" s="4">
        <f t="shared" si="3"/>
        <v>-45.116493974327533</v>
      </c>
    </row>
    <row r="25" spans="1:7" ht="15" customHeight="1">
      <c r="A25" s="4">
        <v>-5.4</v>
      </c>
      <c r="B25" s="4">
        <v>-3.4</v>
      </c>
      <c r="C25" s="4">
        <v>-1.4</v>
      </c>
      <c r="D25" s="4">
        <f t="shared" si="0"/>
        <v>332.51999999999975</v>
      </c>
      <c r="E25" s="4">
        <f t="shared" si="1"/>
        <v>-46.178672591157124</v>
      </c>
      <c r="F25" s="4">
        <f t="shared" si="2"/>
        <v>-2.4168590937306016</v>
      </c>
      <c r="G25" s="4">
        <f t="shared" si="3"/>
        <v>-29.981218422488418</v>
      </c>
    </row>
    <row r="26" spans="1:7" ht="15" customHeight="1">
      <c r="A26" s="4">
        <v>-5.2</v>
      </c>
      <c r="B26" s="4">
        <v>-3.2</v>
      </c>
      <c r="C26" s="4">
        <v>-1.2</v>
      </c>
      <c r="D26" s="4">
        <f t="shared" si="0"/>
        <v>218.88000000000005</v>
      </c>
      <c r="E26" s="4">
        <f t="shared" si="1"/>
        <v>-15.18784699504794</v>
      </c>
      <c r="F26" s="4">
        <f t="shared" si="2"/>
        <v>-1.635278969957082</v>
      </c>
      <c r="G26" s="4">
        <f t="shared" si="3"/>
        <v>-17.576356201550393</v>
      </c>
    </row>
    <row r="27" spans="1:7" ht="15" customHeight="1">
      <c r="A27" s="4">
        <v>-5</v>
      </c>
      <c r="B27" s="4">
        <v>-3</v>
      </c>
      <c r="C27" s="4">
        <v>-1</v>
      </c>
      <c r="D27" s="4">
        <f t="shared" si="0"/>
        <v>153</v>
      </c>
      <c r="E27" s="4">
        <f t="shared" si="1"/>
        <v>0</v>
      </c>
      <c r="F27" s="4">
        <f t="shared" si="2"/>
        <v>-0.33333333333333326</v>
      </c>
      <c r="G27" s="4">
        <f t="shared" si="3"/>
        <v>-7.5321637426900594</v>
      </c>
    </row>
    <row r="28" spans="1:7" ht="15" customHeight="1">
      <c r="A28" s="4">
        <v>-4.8</v>
      </c>
      <c r="B28" s="4">
        <v>-2.8</v>
      </c>
      <c r="C28" s="4">
        <v>-0.8</v>
      </c>
      <c r="D28" s="4">
        <f t="shared" si="0"/>
        <v>110.88</v>
      </c>
      <c r="E28" s="4">
        <f t="shared" si="1"/>
        <v>5.7815532161250411</v>
      </c>
      <c r="F28" s="4">
        <f t="shared" si="2"/>
        <v>-8.5844444444443919</v>
      </c>
      <c r="G28" s="4">
        <f t="shared" si="3"/>
        <v>0.52273529301629118</v>
      </c>
    </row>
    <row r="29" spans="1:7" ht="15" customHeight="1">
      <c r="A29" s="4">
        <v>-4.5999999999999996</v>
      </c>
      <c r="B29" s="4">
        <v>-2.6</v>
      </c>
      <c r="C29" s="4">
        <v>-0.6</v>
      </c>
      <c r="D29" s="4">
        <f t="shared" si="0"/>
        <v>82.234285714285718</v>
      </c>
      <c r="E29" s="4">
        <f t="shared" si="1"/>
        <v>6.5536253099900188</v>
      </c>
      <c r="F29" s="4">
        <f t="shared" si="2"/>
        <v>-2.2507363420427575</v>
      </c>
      <c r="G29" s="4">
        <f t="shared" si="3"/>
        <v>6.9922922572703881</v>
      </c>
    </row>
    <row r="30" spans="1:7" ht="15" customHeight="1">
      <c r="A30" s="4">
        <v>-4.4000000000000004</v>
      </c>
      <c r="B30" s="4">
        <v>-2.4</v>
      </c>
      <c r="C30" s="4">
        <v>-0.4</v>
      </c>
      <c r="D30" s="4">
        <f t="shared" si="0"/>
        <v>61.919999999999987</v>
      </c>
      <c r="E30" s="4">
        <f t="shared" si="1"/>
        <v>5.137620755967041</v>
      </c>
      <c r="F30" s="4">
        <f t="shared" si="2"/>
        <v>-1.5254970760233917</v>
      </c>
      <c r="G30" s="4">
        <f t="shared" si="3"/>
        <v>12.433913064713069</v>
      </c>
    </row>
    <row r="31" spans="1:7" ht="15" customHeight="1">
      <c r="A31" s="4">
        <v>-4.2</v>
      </c>
      <c r="B31" s="4">
        <v>-2.2000000000000002</v>
      </c>
      <c r="C31" s="4">
        <v>-0.2</v>
      </c>
      <c r="D31" s="4">
        <f t="shared" si="0"/>
        <v>47.080000000000005</v>
      </c>
      <c r="E31" s="4">
        <f t="shared" si="1"/>
        <v>3.1641236602078755</v>
      </c>
      <c r="F31" s="4">
        <f t="shared" si="2"/>
        <v>-1.183184421534937</v>
      </c>
      <c r="G31" s="4">
        <f t="shared" si="3"/>
        <v>18.394746777858231</v>
      </c>
    </row>
    <row r="32" spans="1:7" ht="15" customHeight="1">
      <c r="A32" s="4">
        <v>-4</v>
      </c>
      <c r="B32" s="4">
        <v>-2</v>
      </c>
      <c r="C32" s="4">
        <v>0</v>
      </c>
      <c r="D32" s="4">
        <f t="shared" si="0"/>
        <v>36</v>
      </c>
      <c r="E32" s="4">
        <f t="shared" si="1"/>
        <v>1.4142135623730951</v>
      </c>
      <c r="F32" s="4">
        <f t="shared" si="2"/>
        <v>-1</v>
      </c>
      <c r="G32" s="4" t="str">
        <f t="shared" si="3"/>
        <v/>
      </c>
    </row>
    <row r="33" spans="1:7" ht="15" customHeight="1">
      <c r="A33" s="4">
        <v>-3.8</v>
      </c>
      <c r="B33" s="4">
        <v>-1.8</v>
      </c>
      <c r="C33" s="4">
        <v>0.2</v>
      </c>
      <c r="D33" s="4">
        <f t="shared" si="0"/>
        <v>27.58909090909091</v>
      </c>
      <c r="E33" s="4">
        <f t="shared" si="1"/>
        <v>0.11616161499848537</v>
      </c>
      <c r="F33" s="4">
        <f t="shared" si="2"/>
        <v>-0.92393686165273903</v>
      </c>
      <c r="G33" s="4">
        <f t="shared" si="3"/>
        <v>13.045098410095207</v>
      </c>
    </row>
    <row r="34" spans="1:7" ht="15" customHeight="1">
      <c r="A34" s="4">
        <v>-3.6</v>
      </c>
      <c r="B34" s="4">
        <v>-1.6</v>
      </c>
      <c r="C34" s="4">
        <v>0.4</v>
      </c>
      <c r="D34" s="4">
        <f t="shared" ref="D34:D65" si="4">IFERROR((A34^3+B34^3+C34^3)/(A34-B34-C34), "")</f>
        <v>21.120000000000005</v>
      </c>
      <c r="E34" s="4">
        <f t="shared" ref="E34:E65" si="5">(SQRT(ABS(A34-B34-C34))-A34*B34*C34)*(1+C34^3)</f>
        <v>-0.80311428785412364</v>
      </c>
      <c r="F34" s="4">
        <f t="shared" ref="F34:F65" si="6">(5*C34)/(B34^3+A34^2+C34^3)-C34^2-1</f>
        <v>-0.93598566308243736</v>
      </c>
      <c r="G34" s="4">
        <f t="shared" ref="G34:G65" si="7">IFERROR((1-A34^3*B34^3-A34^2-B34^2)/(A34^3+B34^3)*C34-(A34^3/B34^2)-(1/C34), "")</f>
        <v>17.34560983606557</v>
      </c>
    </row>
    <row r="35" spans="1:7" ht="15" customHeight="1">
      <c r="A35" s="4">
        <v>-3.4</v>
      </c>
      <c r="B35" s="4">
        <v>-1.4</v>
      </c>
      <c r="C35" s="4">
        <v>0.6</v>
      </c>
      <c r="D35" s="4">
        <f t="shared" si="4"/>
        <v>16.089230769230767</v>
      </c>
      <c r="E35" s="4">
        <f t="shared" si="5"/>
        <v>-1.5121549156137923</v>
      </c>
      <c r="F35" s="4">
        <f t="shared" si="6"/>
        <v>-1.0278476527900797</v>
      </c>
      <c r="G35" s="4">
        <f t="shared" si="7"/>
        <v>20.104005516727238</v>
      </c>
    </row>
    <row r="36" spans="1:7" ht="15" customHeight="1">
      <c r="A36" s="4">
        <v>-3.2</v>
      </c>
      <c r="B36" s="4">
        <v>-1.2</v>
      </c>
      <c r="C36" s="4">
        <v>0.8</v>
      </c>
      <c r="D36" s="4">
        <f t="shared" si="4"/>
        <v>12.137142857142861</v>
      </c>
      <c r="E36" s="4">
        <f t="shared" si="5"/>
        <v>-2.1148040797609555</v>
      </c>
      <c r="F36" s="4">
        <f t="shared" si="6"/>
        <v>-1.1967375886524825</v>
      </c>
      <c r="G36" s="4">
        <f t="shared" si="7"/>
        <v>23.06638820861679</v>
      </c>
    </row>
    <row r="37" spans="1:7" ht="15" customHeight="1">
      <c r="A37" s="4">
        <v>-3</v>
      </c>
      <c r="B37" s="4">
        <v>-1</v>
      </c>
      <c r="C37" s="4">
        <v>1</v>
      </c>
      <c r="D37" s="4">
        <f t="shared" si="4"/>
        <v>9</v>
      </c>
      <c r="E37" s="4">
        <f t="shared" si="5"/>
        <v>-2.5358983848622456</v>
      </c>
      <c r="F37" s="4">
        <f t="shared" si="6"/>
        <v>-1.4444444444444444</v>
      </c>
      <c r="G37" s="4">
        <f t="shared" si="7"/>
        <v>27.285714285714285</v>
      </c>
    </row>
    <row r="38" spans="1:7" ht="15" customHeight="1">
      <c r="A38" s="4">
        <v>-2.8</v>
      </c>
      <c r="B38" s="4">
        <v>-0.8</v>
      </c>
      <c r="C38" s="4">
        <v>1.2</v>
      </c>
      <c r="D38" s="4">
        <f t="shared" si="4"/>
        <v>6.4799999999999986</v>
      </c>
      <c r="E38" s="4">
        <f t="shared" si="5"/>
        <v>-2.4528692459044583</v>
      </c>
      <c r="F38" s="4">
        <f t="shared" si="6"/>
        <v>-1.7774558303886925</v>
      </c>
      <c r="G38" s="4">
        <f t="shared" si="7"/>
        <v>34.466635897435879</v>
      </c>
    </row>
    <row r="39" spans="1:7" ht="15" customHeight="1">
      <c r="A39" s="4">
        <v>-2.6</v>
      </c>
      <c r="B39" s="4">
        <v>-0.6</v>
      </c>
      <c r="C39" s="4">
        <v>1.4</v>
      </c>
      <c r="D39" s="4">
        <f t="shared" si="4"/>
        <v>4.4258823529411782</v>
      </c>
      <c r="E39" s="4">
        <f t="shared" si="5"/>
        <v>-1.2733011103790846</v>
      </c>
      <c r="F39" s="4">
        <f t="shared" si="6"/>
        <v>-2.206339362618432</v>
      </c>
      <c r="G39" s="4">
        <f t="shared" si="7"/>
        <v>48.888230033116379</v>
      </c>
    </row>
    <row r="40" spans="1:7" ht="15" customHeight="1">
      <c r="A40" s="4">
        <v>-2.4</v>
      </c>
      <c r="B40" s="4">
        <v>-0.4</v>
      </c>
      <c r="C40" s="4">
        <v>1.6</v>
      </c>
      <c r="D40" s="4">
        <f t="shared" si="4"/>
        <v>2.7199999999999993</v>
      </c>
      <c r="E40" s="4">
        <f t="shared" si="5"/>
        <v>1.8415241737308365</v>
      </c>
      <c r="F40" s="4">
        <f t="shared" si="6"/>
        <v>-2.7430065359477132</v>
      </c>
      <c r="G40" s="4">
        <f t="shared" si="7"/>
        <v>86.443748387096747</v>
      </c>
    </row>
    <row r="41" spans="1:7" ht="15" customHeight="1">
      <c r="A41" s="4">
        <v>-2.2000000000000002</v>
      </c>
      <c r="B41" s="4">
        <v>-0.2</v>
      </c>
      <c r="C41" s="4">
        <v>1.8</v>
      </c>
      <c r="D41" s="4">
        <f t="shared" si="4"/>
        <v>1.2694736842105268</v>
      </c>
      <c r="E41" s="4">
        <f t="shared" si="5"/>
        <v>7.9070757927469684</v>
      </c>
      <c r="F41" s="4">
        <f t="shared" si="6"/>
        <v>-3.3960390097524384</v>
      </c>
      <c r="G41" s="4">
        <f t="shared" si="7"/>
        <v>266.31423903903908</v>
      </c>
    </row>
    <row r="42" spans="1:7" ht="15" customHeight="1">
      <c r="A42" s="4">
        <v>-2</v>
      </c>
      <c r="B42" s="4">
        <v>0</v>
      </c>
      <c r="C42" s="4">
        <v>2</v>
      </c>
      <c r="D42" s="4">
        <f t="shared" si="4"/>
        <v>0</v>
      </c>
      <c r="E42" s="4">
        <f t="shared" si="5"/>
        <v>18</v>
      </c>
      <c r="F42" s="4">
        <f t="shared" si="6"/>
        <v>-4.1666666666666661</v>
      </c>
      <c r="G42" s="4" t="str">
        <f t="shared" si="7"/>
        <v/>
      </c>
    </row>
    <row r="43" spans="1:7" ht="15" customHeight="1">
      <c r="A43" s="4">
        <v>-1.8</v>
      </c>
      <c r="B43" s="4">
        <v>0.2</v>
      </c>
      <c r="C43" s="4">
        <v>2.2000000000000002</v>
      </c>
      <c r="D43" s="4">
        <f t="shared" si="4"/>
        <v>-1.148571428571429</v>
      </c>
      <c r="E43" s="4">
        <f t="shared" si="5"/>
        <v>33.096512504379497</v>
      </c>
      <c r="F43" s="4">
        <f t="shared" si="6"/>
        <v>-5.0484052964881991</v>
      </c>
      <c r="G43" s="4">
        <f t="shared" si="7"/>
        <v>146.18909410589407</v>
      </c>
    </row>
    <row r="44" spans="1:7" ht="15" customHeight="1">
      <c r="A44" s="4">
        <v>-1.6</v>
      </c>
      <c r="B44" s="4">
        <v>0.4</v>
      </c>
      <c r="C44" s="4">
        <v>2.4</v>
      </c>
      <c r="D44" s="4">
        <f t="shared" si="4"/>
        <v>-2.2254545454545447</v>
      </c>
      <c r="E44" s="4">
        <f t="shared" si="5"/>
        <v>53.864748730548662</v>
      </c>
      <c r="F44" s="4">
        <f t="shared" si="6"/>
        <v>-6.030428015564202</v>
      </c>
      <c r="G44" s="4">
        <f t="shared" si="7"/>
        <v>26.051104761904764</v>
      </c>
    </row>
    <row r="45" spans="1:7" ht="15" customHeight="1">
      <c r="A45" s="4">
        <v>-1.4</v>
      </c>
      <c r="B45" s="4">
        <v>0.6</v>
      </c>
      <c r="C45" s="4">
        <v>2.6</v>
      </c>
      <c r="D45" s="4">
        <f t="shared" si="4"/>
        <v>-3.2713043478260886</v>
      </c>
      <c r="E45" s="4">
        <f t="shared" si="5"/>
        <v>80.411065431105783</v>
      </c>
      <c r="F45" s="4">
        <f t="shared" si="6"/>
        <v>-7.101838801134063</v>
      </c>
      <c r="G45" s="4">
        <f t="shared" si="7"/>
        <v>7.9856169641891146</v>
      </c>
    </row>
    <row r="46" spans="1:7" ht="15" customHeight="1">
      <c r="A46" s="4">
        <v>-1.2</v>
      </c>
      <c r="B46" s="4">
        <v>0.8</v>
      </c>
      <c r="C46" s="4">
        <v>2.8</v>
      </c>
      <c r="D46" s="4">
        <f t="shared" si="4"/>
        <v>-4.3199999999999985</v>
      </c>
      <c r="E46" s="4">
        <f t="shared" si="5"/>
        <v>111.98028855943426</v>
      </c>
      <c r="F46" s="4">
        <f t="shared" si="6"/>
        <v>-8.2543239625167324</v>
      </c>
      <c r="G46" s="4">
        <f t="shared" si="7"/>
        <v>2.7924781954887208</v>
      </c>
    </row>
    <row r="47" spans="1:7" ht="15" customHeight="1">
      <c r="A47" s="4">
        <v>-1</v>
      </c>
      <c r="B47" s="4">
        <v>1</v>
      </c>
      <c r="C47" s="4">
        <v>3</v>
      </c>
      <c r="D47" s="4">
        <f t="shared" si="4"/>
        <v>-5.4</v>
      </c>
      <c r="E47" s="4">
        <f t="shared" si="5"/>
        <v>146.60990336999413</v>
      </c>
      <c r="F47" s="4">
        <f t="shared" si="6"/>
        <v>-9.4827586206896548</v>
      </c>
      <c r="G47" s="4" t="str">
        <f t="shared" si="7"/>
        <v/>
      </c>
    </row>
    <row r="48" spans="1:7" ht="15" customHeight="1">
      <c r="A48" s="4">
        <v>-0.8</v>
      </c>
      <c r="B48" s="4">
        <v>1.2</v>
      </c>
      <c r="C48" s="4">
        <v>3.2</v>
      </c>
      <c r="D48" s="4">
        <f t="shared" si="4"/>
        <v>-6.5353846153846167</v>
      </c>
      <c r="E48" s="4">
        <f t="shared" si="5"/>
        <v>180.73818350949543</v>
      </c>
      <c r="F48" s="4">
        <f t="shared" si="6"/>
        <v>-10.784626593806923</v>
      </c>
      <c r="G48" s="4">
        <f t="shared" si="7"/>
        <v>-0.47079707602339155</v>
      </c>
    </row>
    <row r="49" spans="1:7" ht="15" customHeight="1">
      <c r="A49" s="4">
        <v>-0.6</v>
      </c>
      <c r="B49" s="4">
        <v>1.4</v>
      </c>
      <c r="C49" s="4">
        <v>3.4</v>
      </c>
      <c r="D49" s="4">
        <f t="shared" si="4"/>
        <v>-7.7466666666666653</v>
      </c>
      <c r="E49" s="4">
        <f t="shared" si="5"/>
        <v>208.76625647132622</v>
      </c>
      <c r="F49" s="4">
        <f t="shared" si="6"/>
        <v>-12.159132239200149</v>
      </c>
      <c r="G49" s="4">
        <f t="shared" si="7"/>
        <v>-1.1620806540337654</v>
      </c>
    </row>
    <row r="50" spans="1:7" ht="15" customHeight="1">
      <c r="A50" s="4">
        <v>-0.4</v>
      </c>
      <c r="B50" s="4">
        <v>1.6</v>
      </c>
      <c r="C50" s="4">
        <v>3.6</v>
      </c>
      <c r="D50" s="4">
        <f t="shared" si="4"/>
        <v>-9.0514285714285734</v>
      </c>
      <c r="E50" s="4">
        <f t="shared" si="5"/>
        <v>222.57410325735819</v>
      </c>
      <c r="F50" s="4">
        <f t="shared" si="6"/>
        <v>-13.606448774355751</v>
      </c>
      <c r="G50" s="4">
        <f t="shared" si="7"/>
        <v>-1.5544349206349208</v>
      </c>
    </row>
    <row r="51" spans="1:7" ht="15" customHeight="1">
      <c r="A51" s="4">
        <v>-0.2</v>
      </c>
      <c r="B51" s="4">
        <v>1.8</v>
      </c>
      <c r="C51" s="4">
        <v>3.8</v>
      </c>
      <c r="D51" s="4">
        <f t="shared" si="4"/>
        <v>-10.464827586206896</v>
      </c>
      <c r="E51" s="4">
        <f t="shared" si="5"/>
        <v>210.9904904612566</v>
      </c>
      <c r="F51" s="4">
        <f t="shared" si="6"/>
        <v>-15.12721190570262</v>
      </c>
      <c r="G51" s="4">
        <f t="shared" si="7"/>
        <v>-1.7178843633299772</v>
      </c>
    </row>
    <row r="52" spans="1:7" ht="15" customHeight="1">
      <c r="A52" s="4">
        <v>0</v>
      </c>
      <c r="B52" s="4">
        <v>2</v>
      </c>
      <c r="C52" s="4">
        <v>4</v>
      </c>
      <c r="D52" s="4">
        <f t="shared" si="4"/>
        <v>-12</v>
      </c>
      <c r="E52" s="4">
        <f t="shared" si="5"/>
        <v>159.21683328090657</v>
      </c>
      <c r="F52" s="4">
        <f t="shared" si="6"/>
        <v>-16.722222222222221</v>
      </c>
      <c r="G52" s="4">
        <f t="shared" si="7"/>
        <v>-1.75</v>
      </c>
    </row>
    <row r="53" spans="1:7" ht="15" customHeight="1">
      <c r="A53" s="4">
        <v>0.2</v>
      </c>
      <c r="B53" s="4">
        <v>2.2000000000000002</v>
      </c>
      <c r="C53" s="4">
        <v>4.2</v>
      </c>
      <c r="D53" s="4">
        <f t="shared" si="4"/>
        <v>-13.668387096774195</v>
      </c>
      <c r="E53" s="4">
        <f t="shared" si="5"/>
        <v>48.204988202755558</v>
      </c>
      <c r="F53" s="4">
        <f t="shared" si="6"/>
        <v>-18.392288383504766</v>
      </c>
      <c r="G53" s="4">
        <f t="shared" si="7"/>
        <v>-1.8026021847112754</v>
      </c>
    </row>
    <row r="54" spans="1:7" ht="15" customHeight="1">
      <c r="A54" s="4">
        <v>0.4</v>
      </c>
      <c r="B54" s="4">
        <v>2.4</v>
      </c>
      <c r="C54" s="4">
        <v>4.4000000000000004</v>
      </c>
      <c r="D54" s="4">
        <f t="shared" si="4"/>
        <v>-15.480000000000004</v>
      </c>
      <c r="E54" s="4">
        <f t="shared" si="5"/>
        <v>-146.01102570883876</v>
      </c>
      <c r="F54" s="4">
        <f t="shared" si="6"/>
        <v>-20.138154243304296</v>
      </c>
      <c r="G54" s="4">
        <f t="shared" si="7"/>
        <v>-2.0774419028999676</v>
      </c>
    </row>
    <row r="55" spans="1:7" ht="15" customHeight="1">
      <c r="A55" s="4">
        <v>0.6</v>
      </c>
      <c r="B55" s="4">
        <v>2.6</v>
      </c>
      <c r="C55" s="4">
        <v>4.5999999999999996</v>
      </c>
      <c r="D55" s="4">
        <f t="shared" si="4"/>
        <v>-17.443636363636362</v>
      </c>
      <c r="E55" s="4">
        <f t="shared" si="5"/>
        <v>-453.02937782887699</v>
      </c>
      <c r="F55" s="4">
        <f t="shared" si="6"/>
        <v>-21.960471927267676</v>
      </c>
      <c r="G55" s="4">
        <f t="shared" si="7"/>
        <v>-2.8131655498035322</v>
      </c>
    </row>
    <row r="56" spans="1:7" ht="15" customHeight="1">
      <c r="A56" s="4">
        <v>0.8</v>
      </c>
      <c r="B56" s="4">
        <v>2.8</v>
      </c>
      <c r="C56" s="4">
        <v>4.8</v>
      </c>
      <c r="D56" s="4">
        <f t="shared" si="4"/>
        <v>-19.567058823529411</v>
      </c>
      <c r="E56" s="4">
        <f t="shared" si="5"/>
        <v>-908.84085007945032</v>
      </c>
      <c r="F56" s="4">
        <f t="shared" si="6"/>
        <v>-23.859798173954829</v>
      </c>
      <c r="G56" s="4">
        <f t="shared" si="7"/>
        <v>-4.2735163788592363</v>
      </c>
    </row>
    <row r="57" spans="1:7" ht="15" customHeight="1">
      <c r="A57" s="4">
        <v>1</v>
      </c>
      <c r="B57" s="4">
        <v>3</v>
      </c>
      <c r="C57" s="4">
        <v>5</v>
      </c>
      <c r="D57" s="4">
        <f t="shared" si="4"/>
        <v>-21.857142857142858</v>
      </c>
      <c r="E57" s="4">
        <f t="shared" si="5"/>
        <v>-1556.6353348058617</v>
      </c>
      <c r="F57" s="4">
        <f t="shared" si="6"/>
        <v>-25.836601307189543</v>
      </c>
      <c r="G57" s="4">
        <f t="shared" si="7"/>
        <v>-6.7396825396825397</v>
      </c>
    </row>
    <row r="58" spans="1:7" ht="15" customHeight="1">
      <c r="A58" s="4">
        <v>1.2</v>
      </c>
      <c r="B58" s="4">
        <v>3.2</v>
      </c>
      <c r="C58" s="4">
        <v>5.2</v>
      </c>
      <c r="D58" s="4">
        <f t="shared" si="4"/>
        <v>-24.320000000000004</v>
      </c>
      <c r="E58" s="4">
        <f t="shared" si="5"/>
        <v>-2447.6544070106524</v>
      </c>
      <c r="F58" s="4">
        <f t="shared" si="6"/>
        <v>-27.891272194764785</v>
      </c>
      <c r="G58" s="4">
        <f t="shared" si="7"/>
        <v>-10.506469937205651</v>
      </c>
    </row>
    <row r="59" spans="1:7" ht="15" customHeight="1">
      <c r="A59" s="4">
        <v>1.4</v>
      </c>
      <c r="B59" s="4">
        <v>3.4</v>
      </c>
      <c r="C59" s="4">
        <v>5.4</v>
      </c>
      <c r="D59" s="4">
        <f t="shared" si="4"/>
        <v>-26.961081081081083</v>
      </c>
      <c r="E59" s="4">
        <f t="shared" si="5"/>
        <v>-3642.0899714607499</v>
      </c>
      <c r="F59" s="4">
        <f t="shared" si="6"/>
        <v>-30.024135904351681</v>
      </c>
      <c r="G59" s="4">
        <f t="shared" si="7"/>
        <v>-15.881054057536703</v>
      </c>
    </row>
    <row r="60" spans="1:7" ht="15" customHeight="1">
      <c r="A60" s="4">
        <v>1.6</v>
      </c>
      <c r="B60" s="4">
        <v>3.6</v>
      </c>
      <c r="C60" s="4">
        <v>5.6</v>
      </c>
      <c r="D60" s="4">
        <f t="shared" si="4"/>
        <v>-29.785263157894732</v>
      </c>
      <c r="E60" s="4">
        <f t="shared" si="5"/>
        <v>-5210.028985120166</v>
      </c>
      <c r="F60" s="4">
        <f t="shared" si="6"/>
        <v>-32.235462567606035</v>
      </c>
      <c r="G60" s="4">
        <f t="shared" si="7"/>
        <v>-23.183158516205513</v>
      </c>
    </row>
    <row r="61" spans="1:7" ht="15" customHeight="1">
      <c r="A61" s="4">
        <v>1.8</v>
      </c>
      <c r="B61" s="4">
        <v>3.8</v>
      </c>
      <c r="C61" s="4">
        <v>5.8</v>
      </c>
      <c r="D61" s="4">
        <f t="shared" si="4"/>
        <v>-32.796923076923072</v>
      </c>
      <c r="E61" s="4">
        <f t="shared" si="5"/>
        <v>-7232.4442553072768</v>
      </c>
      <c r="F61" s="4">
        <f t="shared" si="6"/>
        <v>-34.525476890026219</v>
      </c>
      <c r="G61" s="4">
        <f t="shared" si="7"/>
        <v>-32.745874197269821</v>
      </c>
    </row>
    <row r="62" spans="1:7" ht="15" customHeight="1">
      <c r="A62" s="4">
        <v>2</v>
      </c>
      <c r="B62" s="4">
        <v>4</v>
      </c>
      <c r="C62" s="4">
        <v>6</v>
      </c>
      <c r="D62" s="4">
        <f t="shared" si="4"/>
        <v>-36</v>
      </c>
      <c r="E62" s="4">
        <f t="shared" si="5"/>
        <v>-9802.2313139300768</v>
      </c>
      <c r="F62" s="4">
        <f t="shared" si="6"/>
        <v>-36.894366197183096</v>
      </c>
      <c r="G62" s="4">
        <f t="shared" si="7"/>
        <v>-44.916666666666664</v>
      </c>
    </row>
    <row r="63" spans="1:7" ht="15" customHeight="1">
      <c r="A63" s="4">
        <v>2.2000000000000002</v>
      </c>
      <c r="B63" s="4">
        <v>4.2</v>
      </c>
      <c r="C63" s="4">
        <v>6.2</v>
      </c>
      <c r="D63" s="4">
        <f t="shared" si="4"/>
        <v>-39.398048780487819</v>
      </c>
      <c r="E63" s="4">
        <f t="shared" si="5"/>
        <v>-13025.291368113643</v>
      </c>
      <c r="F63" s="4">
        <f t="shared" si="6"/>
        <v>-39.342287111985279</v>
      </c>
      <c r="G63" s="4">
        <f t="shared" si="7"/>
        <v>-60.058346839286038</v>
      </c>
    </row>
    <row r="64" spans="1:7" ht="15" customHeight="1">
      <c r="A64" s="4">
        <v>2.4</v>
      </c>
      <c r="B64" s="4">
        <v>4.4000000000000004</v>
      </c>
      <c r="C64" s="4">
        <v>6.4</v>
      </c>
      <c r="D64" s="4">
        <f t="shared" si="4"/>
        <v>-42.994285714285724</v>
      </c>
      <c r="E64" s="4">
        <f t="shared" si="5"/>
        <v>-17021.660327500151</v>
      </c>
      <c r="F64" s="4">
        <f t="shared" si="6"/>
        <v>-41.869371034982791</v>
      </c>
      <c r="G64" s="4">
        <f t="shared" si="7"/>
        <v>-78.549912773590052</v>
      </c>
    </row>
    <row r="65" spans="1:7" ht="15" customHeight="1">
      <c r="A65" s="4">
        <v>2.6</v>
      </c>
      <c r="B65" s="4">
        <v>4.5999999999999996</v>
      </c>
      <c r="C65" s="4">
        <v>6.6</v>
      </c>
      <c r="D65" s="4">
        <f t="shared" si="4"/>
        <v>-46.791627906976743</v>
      </c>
      <c r="E65" s="4">
        <f t="shared" si="5"/>
        <v>-21926.683908472536</v>
      </c>
      <c r="F65" s="4">
        <f t="shared" si="6"/>
        <v>-44.475728615497758</v>
      </c>
      <c r="G65" s="4">
        <f t="shared" si="7"/>
        <v>-100.78723972192039</v>
      </c>
    </row>
    <row r="66" spans="1:7" ht="15" customHeight="1">
      <c r="A66" s="4">
        <v>2.8</v>
      </c>
      <c r="B66" s="4">
        <v>4.8</v>
      </c>
      <c r="C66" s="4">
        <v>6.8</v>
      </c>
      <c r="D66" s="4">
        <f t="shared" ref="D66:D97" si="8">IFERROR((A66^3+B66^3+C66^3)/(A66-B66-C66), "")</f>
        <v>-50.792727272727262</v>
      </c>
      <c r="E66" s="4">
        <f t="shared" ref="E66:E102" si="9">(SQRT(ABS(A66-B66-C66))-A66*B66*C66)*(1+C66^3)</f>
        <v>-27892.238815527373</v>
      </c>
      <c r="F66" s="4">
        <f t="shared" ref="F66:F102" si="10">(5*C66)/(B66^3+A66^2+C66^3)-C66^2-1</f>
        <v>-47.161453389517256</v>
      </c>
      <c r="G66" s="4">
        <f t="shared" ref="G66:G102" si="11">IFERROR((1-A66^3*B66^3-A66^2-B66^2)/(A66^3+B66^3)*C66-(A66^3/B66^2)-(1/C66), "")</f>
        <v>-127.18362742699526</v>
      </c>
    </row>
    <row r="67" spans="1:7" ht="15" customHeight="1">
      <c r="A67" s="4">
        <v>3</v>
      </c>
      <c r="B67" s="4">
        <v>5</v>
      </c>
      <c r="C67" s="4">
        <v>7</v>
      </c>
      <c r="D67" s="4">
        <f t="shared" si="8"/>
        <v>-55</v>
      </c>
      <c r="E67" s="4">
        <f t="shared" si="9"/>
        <v>-35088</v>
      </c>
      <c r="F67" s="4">
        <f t="shared" si="10"/>
        <v>-49.926624737945495</v>
      </c>
      <c r="G67" s="4">
        <f t="shared" si="11"/>
        <v>-158.17022556390978</v>
      </c>
    </row>
    <row r="68" spans="1:7" ht="15" customHeight="1">
      <c r="A68" s="4">
        <v>3.2</v>
      </c>
      <c r="B68" s="4">
        <v>5.2</v>
      </c>
      <c r="C68" s="4">
        <v>7.2</v>
      </c>
      <c r="D68" s="4">
        <f t="shared" si="8"/>
        <v>-59.415652173913053</v>
      </c>
      <c r="E68" s="4">
        <f t="shared" si="9"/>
        <v>-43702.753996325846</v>
      </c>
      <c r="F68" s="4">
        <f t="shared" si="10"/>
        <v>-52.77131029429723</v>
      </c>
      <c r="G68" s="4">
        <f t="shared" si="11"/>
        <v>-194.19636041771787</v>
      </c>
    </row>
    <row r="69" spans="1:7" ht="15" customHeight="1">
      <c r="A69" s="4">
        <v>3.4</v>
      </c>
      <c r="B69" s="4">
        <v>5.4</v>
      </c>
      <c r="C69" s="4">
        <v>7.4</v>
      </c>
      <c r="D69" s="4">
        <f t="shared" si="8"/>
        <v>-64.041702127659576</v>
      </c>
      <c r="E69" s="4">
        <f t="shared" si="9"/>
        <v>-53945.758336004117</v>
      </c>
      <c r="F69" s="4">
        <f t="shared" si="10"/>
        <v>-55.69556790794222</v>
      </c>
      <c r="G69" s="4">
        <f t="shared" si="11"/>
        <v>-235.72978389013804</v>
      </c>
    </row>
    <row r="70" spans="1:7" ht="15" customHeight="1">
      <c r="A70" s="4">
        <v>3.6</v>
      </c>
      <c r="B70" s="4">
        <v>5.6</v>
      </c>
      <c r="C70" s="4">
        <v>7.6</v>
      </c>
      <c r="D70" s="4">
        <f t="shared" si="8"/>
        <v>-68.88</v>
      </c>
      <c r="E70" s="4">
        <f t="shared" si="9"/>
        <v>-66048.147039415227</v>
      </c>
      <c r="F70" s="4">
        <f t="shared" si="10"/>
        <v>-58.699447248992911</v>
      </c>
      <c r="G70" s="4">
        <f t="shared" si="11"/>
        <v>-283.25686252623041</v>
      </c>
    </row>
    <row r="71" spans="1:7" ht="15" customHeight="1">
      <c r="A71" s="4">
        <v>3.8</v>
      </c>
      <c r="B71" s="4">
        <v>5.8</v>
      </c>
      <c r="C71" s="4">
        <v>7.8</v>
      </c>
      <c r="D71" s="4">
        <f t="shared" si="8"/>
        <v>-73.93224489795918</v>
      </c>
      <c r="E71" s="4">
        <f t="shared" si="9"/>
        <v>-80264.382185629613</v>
      </c>
      <c r="F71" s="4">
        <f t="shared" si="10"/>
        <v>-61.78299112415656</v>
      </c>
      <c r="G71" s="4">
        <f t="shared" si="11"/>
        <v>-337.2827207290095</v>
      </c>
    </row>
    <row r="72" spans="1:7" ht="15" customHeight="1">
      <c r="A72" s="4">
        <v>4</v>
      </c>
      <c r="B72" s="4">
        <v>6</v>
      </c>
      <c r="C72" s="4">
        <v>8</v>
      </c>
      <c r="D72" s="4">
        <f t="shared" si="8"/>
        <v>-79.2</v>
      </c>
      <c r="E72" s="4">
        <f t="shared" si="9"/>
        <v>-96873.751560333621</v>
      </c>
      <c r="F72" s="4">
        <f t="shared" si="10"/>
        <v>-64.946236559139777</v>
      </c>
      <c r="G72" s="4">
        <f t="shared" si="11"/>
        <v>-398.33134920634922</v>
      </c>
    </row>
    <row r="73" spans="1:7" ht="15" customHeight="1">
      <c r="A73" s="4">
        <v>4.2</v>
      </c>
      <c r="B73" s="4">
        <v>6.2</v>
      </c>
      <c r="C73" s="4">
        <v>8.1999999999999993</v>
      </c>
      <c r="D73" s="4">
        <f t="shared" si="8"/>
        <v>-84.684705882352944</v>
      </c>
      <c r="E73" s="4">
        <f t="shared" si="9"/>
        <v>-116181.91238198757</v>
      </c>
      <c r="F73" s="4">
        <f t="shared" si="10"/>
        <v>-68.189215692103403</v>
      </c>
      <c r="G73" s="4">
        <f t="shared" si="11"/>
        <v>-466.94568712044753</v>
      </c>
    </row>
    <row r="74" spans="1:7" ht="15" customHeight="1">
      <c r="A74" s="4">
        <v>4.4000000000000004</v>
      </c>
      <c r="B74" s="4">
        <v>6.4</v>
      </c>
      <c r="C74" s="4">
        <v>8.4</v>
      </c>
      <c r="D74" s="4">
        <f t="shared" si="8"/>
        <v>-90.387692307692319</v>
      </c>
      <c r="E74" s="4">
        <f t="shared" si="9"/>
        <v>-138522.48110632171</v>
      </c>
      <c r="F74" s="4">
        <f t="shared" si="10"/>
        <v>-71.511956513781612</v>
      </c>
      <c r="G74" s="4">
        <f t="shared" si="11"/>
        <v>-543.68768437277913</v>
      </c>
    </row>
    <row r="75" spans="1:7" ht="15" customHeight="1">
      <c r="A75" s="4">
        <v>4.5999999999999996</v>
      </c>
      <c r="B75" s="4">
        <v>6.6</v>
      </c>
      <c r="C75" s="4">
        <v>8.6</v>
      </c>
      <c r="D75" s="4">
        <f t="shared" si="8"/>
        <v>-96.310188679245272</v>
      </c>
      <c r="E75" s="4">
        <f t="shared" si="9"/>
        <v>-164258.66930926617</v>
      </c>
      <c r="F75" s="4">
        <f t="shared" si="10"/>
        <v>-74.914483482796868</v>
      </c>
      <c r="G75" s="4">
        <f t="shared" si="11"/>
        <v>-629.13834888293752</v>
      </c>
    </row>
    <row r="76" spans="1:7" ht="15" customHeight="1">
      <c r="A76" s="4">
        <v>4.8</v>
      </c>
      <c r="B76" s="4">
        <v>6.8</v>
      </c>
      <c r="C76" s="4">
        <v>8.8000000000000007</v>
      </c>
      <c r="D76" s="4">
        <f t="shared" si="8"/>
        <v>-102.45333333333333</v>
      </c>
      <c r="E76" s="4">
        <f t="shared" si="9"/>
        <v>-193784.9656484061</v>
      </c>
      <c r="F76" s="4">
        <f t="shared" si="10"/>
        <v>-78.396818039067909</v>
      </c>
      <c r="G76" s="4">
        <f t="shared" si="11"/>
        <v>-723.89778252038843</v>
      </c>
    </row>
    <row r="77" spans="1:7" ht="15" customHeight="1">
      <c r="A77" s="4">
        <v>5</v>
      </c>
      <c r="B77" s="4">
        <v>7</v>
      </c>
      <c r="C77" s="4">
        <v>9</v>
      </c>
      <c r="D77" s="4">
        <f t="shared" si="8"/>
        <v>-108.81818181818181</v>
      </c>
      <c r="E77" s="4">
        <f t="shared" si="9"/>
        <v>-227528.86390304056</v>
      </c>
      <c r="F77" s="4">
        <f t="shared" si="10"/>
        <v>-81.958979033728355</v>
      </c>
      <c r="G77" s="4">
        <f t="shared" si="11"/>
        <v>-828.58520844235125</v>
      </c>
    </row>
    <row r="78" spans="1:7" ht="15" customHeight="1">
      <c r="A78" s="4">
        <v>5.2</v>
      </c>
      <c r="B78" s="4">
        <v>7.2</v>
      </c>
      <c r="C78" s="4">
        <v>9.1999999999999993</v>
      </c>
      <c r="D78" s="4">
        <f t="shared" si="8"/>
        <v>-115.40571428571428</v>
      </c>
      <c r="E78" s="4">
        <f t="shared" si="9"/>
        <v>-265952.63709292671</v>
      </c>
      <c r="F78" s="4">
        <f t="shared" si="10"/>
        <v>-85.600983090410651</v>
      </c>
      <c r="G78" s="4">
        <f t="shared" si="11"/>
        <v>-943.83899191033686</v>
      </c>
    </row>
    <row r="79" spans="1:7" ht="15" customHeight="1">
      <c r="A79" s="4">
        <v>5.4</v>
      </c>
      <c r="B79" s="4">
        <v>7.4</v>
      </c>
      <c r="C79" s="4">
        <v>9.4</v>
      </c>
      <c r="D79" s="4">
        <f t="shared" si="8"/>
        <v>-122.21684210526318</v>
      </c>
      <c r="E79" s="4">
        <f t="shared" si="9"/>
        <v>-309555.15767577436</v>
      </c>
      <c r="F79" s="4">
        <f t="shared" si="10"/>
        <v>-89.322844909910785</v>
      </c>
      <c r="G79" s="4">
        <f t="shared" si="11"/>
        <v>-1070.3166561474386</v>
      </c>
    </row>
    <row r="80" spans="1:7" ht="15" customHeight="1">
      <c r="A80" s="4">
        <v>5.6</v>
      </c>
      <c r="B80" s="4">
        <v>7.6</v>
      </c>
      <c r="C80" s="4">
        <v>9.6</v>
      </c>
      <c r="D80" s="4">
        <f t="shared" si="8"/>
        <v>-129.25241379310344</v>
      </c>
      <c r="E80" s="4">
        <f t="shared" si="9"/>
        <v>-358873.76382355794</v>
      </c>
      <c r="F80" s="4">
        <f t="shared" si="10"/>
        <v>-93.124577527983746</v>
      </c>
      <c r="G80" s="4">
        <f t="shared" si="11"/>
        <v>-1208.6948944160454</v>
      </c>
    </row>
    <row r="81" spans="1:7" ht="15" customHeight="1">
      <c r="A81" s="4">
        <v>5.8</v>
      </c>
      <c r="B81" s="4">
        <v>7.8</v>
      </c>
      <c r="C81" s="4">
        <v>9.8000000000000007</v>
      </c>
      <c r="D81" s="4">
        <f t="shared" si="8"/>
        <v>-136.51322033898307</v>
      </c>
      <c r="E81" s="4">
        <f t="shared" si="9"/>
        <v>-414486.17177771038</v>
      </c>
      <c r="F81" s="4">
        <f t="shared" si="10"/>
        <v>-97.006192534207656</v>
      </c>
      <c r="G81" s="4">
        <f t="shared" si="11"/>
        <v>-1359.6695792088608</v>
      </c>
    </row>
    <row r="82" spans="1:7" ht="15" customHeight="1">
      <c r="A82" s="4">
        <v>6</v>
      </c>
      <c r="B82" s="4">
        <v>8</v>
      </c>
      <c r="C82" s="4">
        <v>10</v>
      </c>
      <c r="D82" s="4">
        <f t="shared" si="8"/>
        <v>-144</v>
      </c>
      <c r="E82" s="4">
        <f t="shared" si="9"/>
        <v>-477012.4342832471</v>
      </c>
      <c r="F82" s="4">
        <f t="shared" si="10"/>
        <v>-100.96770025839793</v>
      </c>
      <c r="G82" s="4">
        <f t="shared" si="11"/>
        <v>-1523.9557692307692</v>
      </c>
    </row>
    <row r="83" spans="1:7" ht="15" customHeight="1">
      <c r="A83" s="4">
        <v>6.2</v>
      </c>
      <c r="B83" s="4">
        <v>8.1999999999999993</v>
      </c>
      <c r="C83" s="4">
        <v>10.199999999999999</v>
      </c>
      <c r="D83" s="4">
        <f t="shared" si="8"/>
        <v>-151.71344262295082</v>
      </c>
      <c r="E83" s="4">
        <f t="shared" si="9"/>
        <v>-547116.94510188117</v>
      </c>
      <c r="F83" s="4">
        <f t="shared" si="10"/>
        <v>-105.0091099298856</v>
      </c>
      <c r="G83" s="4">
        <f t="shared" si="11"/>
        <v>-1702.2877146870699</v>
      </c>
    </row>
    <row r="84" spans="1:7" ht="15" customHeight="1">
      <c r="A84" s="4">
        <v>6.4</v>
      </c>
      <c r="B84" s="4">
        <v>8.4</v>
      </c>
      <c r="C84" s="4">
        <v>10.4</v>
      </c>
      <c r="D84" s="4">
        <f t="shared" si="8"/>
        <v>-159.65419354838713</v>
      </c>
      <c r="E84" s="4">
        <f t="shared" si="9"/>
        <v>-625510.48960417311</v>
      </c>
      <c r="F84" s="4">
        <f t="shared" si="10"/>
        <v>-109.13042981402629</v>
      </c>
      <c r="G84" s="4">
        <f t="shared" si="11"/>
        <v>-1895.4188612713588</v>
      </c>
    </row>
    <row r="85" spans="1:7" ht="15" customHeight="1">
      <c r="A85" s="4">
        <v>6.6</v>
      </c>
      <c r="B85" s="4">
        <v>8.6</v>
      </c>
      <c r="C85" s="4">
        <v>10.6</v>
      </c>
      <c r="D85" s="4">
        <f t="shared" si="8"/>
        <v>-167.82285714285712</v>
      </c>
      <c r="E85" s="4">
        <f t="shared" si="9"/>
        <v>-712952.34144076111</v>
      </c>
      <c r="F85" s="4">
        <f t="shared" si="10"/>
        <v>-113.33166732954425</v>
      </c>
      <c r="G85" s="4">
        <f t="shared" si="11"/>
        <v>-2104.1218531538957</v>
      </c>
    </row>
    <row r="86" spans="1:7" ht="15" customHeight="1">
      <c r="A86" s="4">
        <v>6.8</v>
      </c>
      <c r="B86" s="4">
        <v>8.8000000000000007</v>
      </c>
      <c r="C86" s="4">
        <v>10.8</v>
      </c>
      <c r="D86" s="4">
        <f t="shared" si="8"/>
        <v>-176.22000000000003</v>
      </c>
      <c r="E86" s="4">
        <f t="shared" si="9"/>
        <v>-810252.40529272065</v>
      </c>
      <c r="F86" s="4">
        <f t="shared" si="10"/>
        <v>-117.61282914969328</v>
      </c>
      <c r="G86" s="4">
        <f t="shared" si="11"/>
        <v>-2329.1885352011805</v>
      </c>
    </row>
    <row r="87" spans="1:7" ht="15" customHeight="1">
      <c r="A87" s="4">
        <v>7</v>
      </c>
      <c r="B87" s="4">
        <v>9</v>
      </c>
      <c r="C87" s="4">
        <v>11</v>
      </c>
      <c r="D87" s="4">
        <f t="shared" si="8"/>
        <v>-184.84615384615384</v>
      </c>
      <c r="E87" s="4">
        <f t="shared" si="9"/>
        <v>-918273.40570108197</v>
      </c>
      <c r="F87" s="4">
        <f t="shared" si="10"/>
        <v>-121.97392128971076</v>
      </c>
      <c r="G87" s="4">
        <f t="shared" si="11"/>
        <v>-2571.4299546040843</v>
      </c>
    </row>
    <row r="88" spans="1:7" ht="15" customHeight="1">
      <c r="A88" s="4">
        <v>7.2</v>
      </c>
      <c r="B88" s="4">
        <v>9.1999999999999993</v>
      </c>
      <c r="C88" s="4">
        <v>11.2</v>
      </c>
      <c r="D88" s="4">
        <f t="shared" si="8"/>
        <v>-193.70181818181817</v>
      </c>
      <c r="E88" s="4">
        <f t="shared" si="9"/>
        <v>-1037933.1219755569</v>
      </c>
      <c r="F88" s="4">
        <f t="shared" si="10"/>
        <v>-126.41494918262759</v>
      </c>
      <c r="G88" s="4">
        <f t="shared" si="11"/>
        <v>-2831.6763620512093</v>
      </c>
    </row>
    <row r="89" spans="1:7" ht="15" customHeight="1">
      <c r="A89" s="4">
        <v>7.4</v>
      </c>
      <c r="B89" s="4">
        <v>9.4</v>
      </c>
      <c r="C89" s="4">
        <v>11.4</v>
      </c>
      <c r="D89" s="4">
        <f t="shared" si="8"/>
        <v>-202.78746268656718</v>
      </c>
      <c r="E89" s="4">
        <f t="shared" si="9"/>
        <v>-1170206.6691824994</v>
      </c>
      <c r="F89" s="4">
        <f t="shared" si="10"/>
        <v>-130.93591774515735</v>
      </c>
      <c r="G89" s="4">
        <f t="shared" si="11"/>
        <v>-3110.777212552965</v>
      </c>
    </row>
    <row r="90" spans="1:7" ht="15" customHeight="1">
      <c r="A90" s="4">
        <v>7.6</v>
      </c>
      <c r="B90" s="4">
        <v>9.6</v>
      </c>
      <c r="C90" s="4">
        <v>11.6</v>
      </c>
      <c r="D90" s="4">
        <f t="shared" si="8"/>
        <v>-212.10352941176473</v>
      </c>
      <c r="E90" s="4">
        <f t="shared" si="9"/>
        <v>-1316128.8252121327</v>
      </c>
      <c r="F90" s="4">
        <f t="shared" si="10"/>
        <v>-135.53683143510884</v>
      </c>
      <c r="G90" s="4">
        <f t="shared" si="11"/>
        <v>-3409.6011659979599</v>
      </c>
    </row>
    <row r="91" spans="1:7" ht="15" customHeight="1">
      <c r="A91" s="4">
        <v>7.8</v>
      </c>
      <c r="B91" s="4">
        <v>9.8000000000000007</v>
      </c>
      <c r="C91" s="4">
        <v>11.8</v>
      </c>
      <c r="D91" s="4">
        <f t="shared" si="8"/>
        <v>-221.6504347826087</v>
      </c>
      <c r="E91" s="4">
        <f t="shared" si="9"/>
        <v>-1476796.4039250892</v>
      </c>
      <c r="F91" s="4">
        <f t="shared" si="10"/>
        <v>-140.21769430153677</v>
      </c>
      <c r="G91" s="4">
        <f t="shared" si="11"/>
        <v>-3729.0360875049128</v>
      </c>
    </row>
    <row r="92" spans="1:7" ht="15" customHeight="1">
      <c r="A92" s="4">
        <v>8</v>
      </c>
      <c r="B92" s="4">
        <v>10</v>
      </c>
      <c r="C92" s="4">
        <v>12</v>
      </c>
      <c r="D92" s="4">
        <f t="shared" si="8"/>
        <v>-231.42857142857142</v>
      </c>
      <c r="E92" s="4">
        <f t="shared" si="9"/>
        <v>-1653370.674378268</v>
      </c>
      <c r="F92" s="4">
        <f t="shared" si="10"/>
        <v>-144.97851002865329</v>
      </c>
      <c r="G92" s="4">
        <f t="shared" si="11"/>
        <v>-4069.9890476190471</v>
      </c>
    </row>
    <row r="93" spans="1:7" ht="15" customHeight="1">
      <c r="A93" s="4">
        <v>8.1999999999999993</v>
      </c>
      <c r="B93" s="4">
        <v>10.199999999999999</v>
      </c>
      <c r="C93" s="4">
        <v>12.2</v>
      </c>
      <c r="D93" s="4">
        <f t="shared" si="8"/>
        <v>-241.43830985915488</v>
      </c>
      <c r="E93" s="4">
        <f t="shared" si="9"/>
        <v>-1847079.8261300602</v>
      </c>
      <c r="F93" s="4">
        <f t="shared" si="10"/>
        <v>-149.81928197436667</v>
      </c>
      <c r="G93" s="4">
        <f t="shared" si="11"/>
        <v>-4433.3863223910457</v>
      </c>
    </row>
    <row r="94" spans="1:7" ht="15" customHeight="1">
      <c r="A94" s="4">
        <v>8.4</v>
      </c>
      <c r="B94" s="4">
        <v>10.4</v>
      </c>
      <c r="C94" s="4">
        <v>12.4</v>
      </c>
      <c r="D94" s="4">
        <f t="shared" si="8"/>
        <v>-251.68000000000004</v>
      </c>
      <c r="E94" s="4">
        <f t="shared" si="9"/>
        <v>-2059221.4806249591</v>
      </c>
      <c r="F94" s="4">
        <f t="shared" si="10"/>
        <v>-154.74001320417997</v>
      </c>
      <c r="G94" s="4">
        <f t="shared" si="11"/>
        <v>-4820.1733933680098</v>
      </c>
    </row>
    <row r="95" spans="1:7" ht="15" customHeight="1">
      <c r="A95" s="4">
        <v>8.6</v>
      </c>
      <c r="B95" s="4">
        <v>10.6</v>
      </c>
      <c r="C95" s="4">
        <v>12.6</v>
      </c>
      <c r="D95" s="4">
        <f t="shared" si="8"/>
        <v>-262.15397260273971</v>
      </c>
      <c r="E95" s="4">
        <f t="shared" si="9"/>
        <v>-2291165.2486575646</v>
      </c>
      <c r="F95" s="4">
        <f t="shared" si="10"/>
        <v>-159.74070652107338</v>
      </c>
      <c r="G95" s="4">
        <f t="shared" si="11"/>
        <v>-5231.3149475193413</v>
      </c>
    </row>
    <row r="96" spans="1:7" ht="15" customHeight="1">
      <c r="A96" s="4">
        <v>8.8000000000000007</v>
      </c>
      <c r="B96" s="4">
        <v>10.8</v>
      </c>
      <c r="C96" s="4">
        <v>12.8</v>
      </c>
      <c r="D96" s="4">
        <f t="shared" si="8"/>
        <v>-272.86054054054063</v>
      </c>
      <c r="E96" s="4">
        <f t="shared" si="9"/>
        <v>-2544355.3339160485</v>
      </c>
      <c r="F96" s="4">
        <f t="shared" si="10"/>
        <v>-164.8213644919029</v>
      </c>
      <c r="G96" s="4">
        <f t="shared" si="11"/>
        <v>-5667.7948771153433</v>
      </c>
    </row>
    <row r="97" spans="1:7" ht="15" customHeight="1">
      <c r="A97" s="4">
        <v>9</v>
      </c>
      <c r="B97" s="4">
        <v>11</v>
      </c>
      <c r="C97" s="4">
        <v>13</v>
      </c>
      <c r="D97" s="4">
        <f t="shared" si="8"/>
        <v>-283.8</v>
      </c>
      <c r="E97" s="4">
        <f t="shared" si="9"/>
        <v>-2820313.1826050365</v>
      </c>
      <c r="F97" s="4">
        <f t="shared" si="10"/>
        <v>-169.98198947076753</v>
      </c>
      <c r="G97" s="4">
        <f t="shared" si="11"/>
        <v>-6130.6162795721484</v>
      </c>
    </row>
    <row r="98" spans="1:7" ht="15" customHeight="1">
      <c r="A98" s="4">
        <v>9.1999999999999993</v>
      </c>
      <c r="B98" s="4">
        <v>11.2</v>
      </c>
      <c r="C98" s="4">
        <v>13.2</v>
      </c>
      <c r="D98" s="4">
        <f t="shared" ref="D98:D102" si="12">IFERROR((A98^3+B98^3+C98^3)/(A98-B98-C98), "")</f>
        <v>-294.9726315789473</v>
      </c>
      <c r="E98" s="4">
        <f t="shared" si="9"/>
        <v>-3120640.1791480053</v>
      </c>
      <c r="F98" s="4">
        <f t="shared" si="10"/>
        <v>-175.22258361973601</v>
      </c>
      <c r="G98" s="4">
        <f t="shared" si="11"/>
        <v>-6620.8014572737502</v>
      </c>
    </row>
    <row r="99" spans="1:7" ht="15" customHeight="1">
      <c r="A99" s="4">
        <v>9.4</v>
      </c>
      <c r="B99" s="4">
        <v>11.4</v>
      </c>
      <c r="C99" s="4">
        <v>13.4</v>
      </c>
      <c r="D99" s="4">
        <f t="shared" si="12"/>
        <v>-306.37870129870129</v>
      </c>
      <c r="E99" s="4">
        <f t="shared" si="9"/>
        <v>-3447020.3879691442</v>
      </c>
      <c r="F99" s="4">
        <f t="shared" si="10"/>
        <v>-180.54314892726575</v>
      </c>
      <c r="G99" s="4">
        <f t="shared" si="11"/>
        <v>-7139.3919173791546</v>
      </c>
    </row>
    <row r="100" spans="1:7" ht="15" customHeight="1">
      <c r="A100" s="4">
        <v>9.6</v>
      </c>
      <c r="B100" s="4">
        <v>11.6</v>
      </c>
      <c r="C100" s="4">
        <v>13.6</v>
      </c>
      <c r="D100" s="4">
        <f t="shared" si="12"/>
        <v>-318.01846153846151</v>
      </c>
      <c r="E100" s="4">
        <f t="shared" si="9"/>
        <v>-3801223.3413547371</v>
      </c>
      <c r="F100" s="4">
        <f t="shared" si="10"/>
        <v>-185.94368722460194</v>
      </c>
      <c r="G100" s="4">
        <f t="shared" si="11"/>
        <v>-7687.4483716209434</v>
      </c>
    </row>
    <row r="101" spans="1:7" ht="15" customHeight="1">
      <c r="A101" s="4">
        <v>9.8000000000000007</v>
      </c>
      <c r="B101" s="4">
        <v>11.8</v>
      </c>
      <c r="C101" s="4">
        <v>13.8</v>
      </c>
      <c r="D101" s="4">
        <f t="shared" si="12"/>
        <v>-329.8921518987342</v>
      </c>
      <c r="E101" s="4">
        <f t="shared" si="9"/>
        <v>-4185106.8733940958</v>
      </c>
      <c r="F101" s="4">
        <f t="shared" si="10"/>
        <v>-191.42420020040561</v>
      </c>
      <c r="G101" s="4">
        <f t="shared" si="11"/>
        <v>-8266.0507361000818</v>
      </c>
    </row>
    <row r="102" spans="1:7" ht="15" customHeight="1">
      <c r="A102" s="4">
        <v>10</v>
      </c>
      <c r="B102" s="4">
        <v>12</v>
      </c>
      <c r="C102" s="4">
        <v>14</v>
      </c>
      <c r="D102" s="4">
        <f t="shared" si="12"/>
        <v>-342</v>
      </c>
      <c r="E102" s="4">
        <f t="shared" si="9"/>
        <v>-4600620</v>
      </c>
      <c r="F102" s="4">
        <f t="shared" si="10"/>
        <v>-196.98468941382328</v>
      </c>
      <c r="G102" s="4">
        <f t="shared" si="11"/>
        <v>-8876.2981310803898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28"/>
  <dimension ref="A1:D102"/>
  <sheetViews>
    <sheetView zoomScaleNormal="100" workbookViewId="0">
      <selection activeCellId="3" sqref="D1:D1048576 C1:C1048576 B1:B1048576 A1:A1048576"/>
    </sheetView>
  </sheetViews>
  <sheetFormatPr defaultColWidth="8.7109375" defaultRowHeight="15"/>
  <cols>
    <col min="1" max="3" width="8" customWidth="1"/>
    <col min="4" max="4" width="22" customWidth="1"/>
  </cols>
  <sheetData>
    <row r="1" spans="1:4" ht="15" customHeight="1">
      <c r="A1" s="3" t="s">
        <v>3</v>
      </c>
      <c r="B1" s="3" t="s">
        <v>4</v>
      </c>
      <c r="C1" s="3" t="s">
        <v>2</v>
      </c>
      <c r="D1" s="3" t="s">
        <v>14</v>
      </c>
    </row>
    <row r="2" spans="1:4" ht="15" customHeight="1">
      <c r="A2" s="4">
        <v>-10</v>
      </c>
      <c r="B2" s="4">
        <v>-8</v>
      </c>
      <c r="C2" s="4">
        <v>-6</v>
      </c>
      <c r="D2" s="4">
        <f t="shared" ref="D2:D33" si="0">IFERROR((A2^3+B2^3+C2^3)/(A2-B2-C2), "")</f>
        <v>-432</v>
      </c>
    </row>
    <row r="3" spans="1:4" ht="15" customHeight="1">
      <c r="A3" s="4">
        <v>-9.8000000000000007</v>
      </c>
      <c r="B3" s="4">
        <v>-7.8</v>
      </c>
      <c r="C3" s="4">
        <v>-5.8</v>
      </c>
      <c r="D3" s="4">
        <f t="shared" si="0"/>
        <v>-423.9094736842107</v>
      </c>
    </row>
    <row r="4" spans="1:4" ht="15" customHeight="1">
      <c r="A4" s="4">
        <v>-9.6</v>
      </c>
      <c r="B4" s="4">
        <v>-7.6</v>
      </c>
      <c r="C4" s="4">
        <v>-5.6</v>
      </c>
      <c r="D4" s="4">
        <f t="shared" si="0"/>
        <v>-416.48</v>
      </c>
    </row>
    <row r="5" spans="1:4" ht="15" customHeight="1">
      <c r="A5" s="4">
        <v>-9.4</v>
      </c>
      <c r="B5" s="4">
        <v>-7.4</v>
      </c>
      <c r="C5" s="4">
        <v>-5.4</v>
      </c>
      <c r="D5" s="4">
        <f t="shared" si="0"/>
        <v>-409.7858823529412</v>
      </c>
    </row>
    <row r="6" spans="1:4" ht="15" customHeight="1">
      <c r="A6" s="4">
        <v>-9.1999999999999993</v>
      </c>
      <c r="B6" s="4">
        <v>-7.2</v>
      </c>
      <c r="C6" s="4">
        <v>-5.2</v>
      </c>
      <c r="D6" s="4">
        <f t="shared" si="0"/>
        <v>-403.91999999999973</v>
      </c>
    </row>
    <row r="7" spans="1:4" ht="15" customHeight="1">
      <c r="A7" s="4">
        <v>-9</v>
      </c>
      <c r="B7" s="4">
        <v>-7</v>
      </c>
      <c r="C7" s="4">
        <v>-5</v>
      </c>
      <c r="D7" s="4">
        <f t="shared" si="0"/>
        <v>-399</v>
      </c>
    </row>
    <row r="8" spans="1:4" ht="15" customHeight="1">
      <c r="A8" s="4">
        <v>-8.8000000000000007</v>
      </c>
      <c r="B8" s="4">
        <v>-6.8</v>
      </c>
      <c r="C8" s="4">
        <v>-4.8</v>
      </c>
      <c r="D8" s="4">
        <f t="shared" si="0"/>
        <v>-395.17714285714311</v>
      </c>
    </row>
    <row r="9" spans="1:4" ht="15" customHeight="1">
      <c r="A9" s="4">
        <v>-8.6</v>
      </c>
      <c r="B9" s="4">
        <v>-6.6</v>
      </c>
      <c r="C9" s="4">
        <v>-4.5999999999999996</v>
      </c>
      <c r="D9" s="4">
        <f t="shared" si="0"/>
        <v>-392.64923076923077</v>
      </c>
    </row>
    <row r="10" spans="1:4" ht="15" customHeight="1">
      <c r="A10" s="4">
        <v>-8.4</v>
      </c>
      <c r="B10" s="4">
        <v>-6.4</v>
      </c>
      <c r="C10" s="4">
        <v>-4.4000000000000004</v>
      </c>
      <c r="D10" s="4">
        <f t="shared" si="0"/>
        <v>-391.68</v>
      </c>
    </row>
    <row r="11" spans="1:4" ht="15" customHeight="1">
      <c r="A11" s="4">
        <v>-8.1999999999999993</v>
      </c>
      <c r="B11" s="4">
        <v>-6.2</v>
      </c>
      <c r="C11" s="4">
        <v>-4.2</v>
      </c>
      <c r="D11" s="4">
        <f t="shared" si="0"/>
        <v>-392.62909090909068</v>
      </c>
    </row>
    <row r="12" spans="1:4" ht="15" customHeight="1">
      <c r="A12" s="4">
        <v>-8</v>
      </c>
      <c r="B12" s="4">
        <v>-6</v>
      </c>
      <c r="C12" s="4">
        <v>-4</v>
      </c>
      <c r="D12" s="4">
        <f t="shared" si="0"/>
        <v>-396</v>
      </c>
    </row>
    <row r="13" spans="1:4" ht="15" customHeight="1">
      <c r="A13" s="4">
        <v>-7.8</v>
      </c>
      <c r="B13" s="4">
        <v>-5.8</v>
      </c>
      <c r="C13" s="4">
        <v>-3.8</v>
      </c>
      <c r="D13" s="4">
        <f t="shared" si="0"/>
        <v>-402.52</v>
      </c>
    </row>
    <row r="14" spans="1:4" ht="15" customHeight="1">
      <c r="A14" s="4">
        <v>-7.6</v>
      </c>
      <c r="B14" s="4">
        <v>-5.6</v>
      </c>
      <c r="C14" s="4">
        <v>-3.6</v>
      </c>
      <c r="D14" s="4">
        <f t="shared" si="0"/>
        <v>-413.27999999999986</v>
      </c>
    </row>
    <row r="15" spans="1:4" ht="15" customHeight="1">
      <c r="A15" s="4">
        <v>-7.4</v>
      </c>
      <c r="B15" s="4">
        <v>-5.4</v>
      </c>
      <c r="C15" s="4">
        <v>-3.4</v>
      </c>
      <c r="D15" s="4">
        <f t="shared" si="0"/>
        <v>-429.99428571428581</v>
      </c>
    </row>
    <row r="16" spans="1:4" ht="15" customHeight="1">
      <c r="A16" s="4">
        <v>-7.2</v>
      </c>
      <c r="B16" s="4">
        <v>-5.2</v>
      </c>
      <c r="C16" s="4">
        <v>-3.2</v>
      </c>
      <c r="D16" s="4">
        <f t="shared" si="0"/>
        <v>-455.52000000000004</v>
      </c>
    </row>
    <row r="17" spans="1:4" ht="15" customHeight="1">
      <c r="A17" s="4">
        <v>-7</v>
      </c>
      <c r="B17" s="4">
        <v>-5</v>
      </c>
      <c r="C17" s="4">
        <v>-3</v>
      </c>
      <c r="D17" s="4">
        <f t="shared" si="0"/>
        <v>-495</v>
      </c>
    </row>
    <row r="18" spans="1:4" ht="15" customHeight="1">
      <c r="A18" s="4">
        <v>-6.8</v>
      </c>
      <c r="B18" s="4">
        <v>-4.8</v>
      </c>
      <c r="C18" s="4">
        <v>-2.8</v>
      </c>
      <c r="D18" s="4">
        <f t="shared" si="0"/>
        <v>-558.72</v>
      </c>
    </row>
    <row r="19" spans="1:4" ht="15" customHeight="1">
      <c r="A19" s="4">
        <v>-6.6</v>
      </c>
      <c r="B19" s="4">
        <v>-4.5999999999999996</v>
      </c>
      <c r="C19" s="4">
        <v>-2.6</v>
      </c>
      <c r="D19" s="4">
        <f t="shared" si="0"/>
        <v>-670.67999999999984</v>
      </c>
    </row>
    <row r="20" spans="1:4" ht="15" customHeight="1">
      <c r="A20" s="4">
        <v>-6.4</v>
      </c>
      <c r="B20" s="4">
        <v>-4.4000000000000004</v>
      </c>
      <c r="C20" s="4">
        <v>-2.4</v>
      </c>
      <c r="D20" s="4">
        <f t="shared" si="0"/>
        <v>-902.88000000000045</v>
      </c>
    </row>
    <row r="21" spans="1:4" ht="15" customHeight="1">
      <c r="A21" s="4">
        <v>-6.2</v>
      </c>
      <c r="B21" s="4">
        <v>-4.2</v>
      </c>
      <c r="C21" s="4">
        <v>-2.2000000000000002</v>
      </c>
      <c r="D21" s="4">
        <f t="shared" si="0"/>
        <v>-1615.319999999999</v>
      </c>
    </row>
    <row r="22" spans="1:4" ht="15" customHeight="1">
      <c r="A22" s="4">
        <v>-6</v>
      </c>
      <c r="B22" s="4">
        <v>-4</v>
      </c>
      <c r="C22" s="4">
        <v>-2</v>
      </c>
      <c r="D22" s="4" t="str">
        <f t="shared" si="0"/>
        <v/>
      </c>
    </row>
    <row r="23" spans="1:4" ht="15" customHeight="1">
      <c r="A23" s="4">
        <v>-5.8</v>
      </c>
      <c r="B23" s="4">
        <v>-3.8</v>
      </c>
      <c r="C23" s="4">
        <v>-1.8</v>
      </c>
      <c r="D23" s="4">
        <f t="shared" si="0"/>
        <v>1279.0800000000002</v>
      </c>
    </row>
    <row r="24" spans="1:4" ht="15" customHeight="1">
      <c r="A24" s="4">
        <v>-5.6</v>
      </c>
      <c r="B24" s="4">
        <v>-3.6</v>
      </c>
      <c r="C24" s="4">
        <v>-1.6</v>
      </c>
      <c r="D24" s="4">
        <f t="shared" si="0"/>
        <v>565.92000000000064</v>
      </c>
    </row>
    <row r="25" spans="1:4" ht="15" customHeight="1">
      <c r="A25" s="4">
        <v>-5.4</v>
      </c>
      <c r="B25" s="4">
        <v>-3.4</v>
      </c>
      <c r="C25" s="4">
        <v>-1.4</v>
      </c>
      <c r="D25" s="4">
        <f t="shared" si="0"/>
        <v>332.51999999999975</v>
      </c>
    </row>
    <row r="26" spans="1:4" ht="15" customHeight="1">
      <c r="A26" s="4">
        <v>-5.2</v>
      </c>
      <c r="B26" s="4">
        <v>-3.2</v>
      </c>
      <c r="C26" s="4">
        <v>-1.2</v>
      </c>
      <c r="D26" s="4">
        <f t="shared" si="0"/>
        <v>218.88000000000005</v>
      </c>
    </row>
    <row r="27" spans="1:4" ht="15" customHeight="1">
      <c r="A27" s="4">
        <v>-5</v>
      </c>
      <c r="B27" s="4">
        <v>-3</v>
      </c>
      <c r="C27" s="4">
        <v>-1</v>
      </c>
      <c r="D27" s="4">
        <f t="shared" si="0"/>
        <v>153</v>
      </c>
    </row>
    <row r="28" spans="1:4" ht="15" customHeight="1">
      <c r="A28" s="4">
        <v>-4.8</v>
      </c>
      <c r="B28" s="4">
        <v>-2.8</v>
      </c>
      <c r="C28" s="4">
        <v>-0.8</v>
      </c>
      <c r="D28" s="4">
        <f t="shared" si="0"/>
        <v>110.88</v>
      </c>
    </row>
    <row r="29" spans="1:4" ht="15" customHeight="1">
      <c r="A29" s="4">
        <v>-4.5999999999999996</v>
      </c>
      <c r="B29" s="4">
        <v>-2.6</v>
      </c>
      <c r="C29" s="4">
        <v>-0.6</v>
      </c>
      <c r="D29" s="4">
        <f t="shared" si="0"/>
        <v>82.234285714285718</v>
      </c>
    </row>
    <row r="30" spans="1:4" ht="15" customHeight="1">
      <c r="A30" s="4">
        <v>-4.4000000000000004</v>
      </c>
      <c r="B30" s="4">
        <v>-2.4</v>
      </c>
      <c r="C30" s="4">
        <v>-0.4</v>
      </c>
      <c r="D30" s="4">
        <f t="shared" si="0"/>
        <v>61.919999999999987</v>
      </c>
    </row>
    <row r="31" spans="1:4" ht="15" customHeight="1">
      <c r="A31" s="4">
        <v>-4.2</v>
      </c>
      <c r="B31" s="4">
        <v>-2.2000000000000002</v>
      </c>
      <c r="C31" s="4">
        <v>-0.2</v>
      </c>
      <c r="D31" s="4">
        <f t="shared" si="0"/>
        <v>47.080000000000005</v>
      </c>
    </row>
    <row r="32" spans="1:4" ht="15" customHeight="1">
      <c r="A32" s="4">
        <v>-4</v>
      </c>
      <c r="B32" s="4">
        <v>-2</v>
      </c>
      <c r="C32" s="4">
        <v>0</v>
      </c>
      <c r="D32" s="4">
        <f t="shared" si="0"/>
        <v>36</v>
      </c>
    </row>
    <row r="33" spans="1:4" ht="15" customHeight="1">
      <c r="A33" s="4">
        <v>-3.8</v>
      </c>
      <c r="B33" s="4">
        <v>-1.8</v>
      </c>
      <c r="C33" s="4">
        <v>0.2</v>
      </c>
      <c r="D33" s="4">
        <f t="shared" si="0"/>
        <v>27.58909090909091</v>
      </c>
    </row>
    <row r="34" spans="1:4" ht="15" customHeight="1">
      <c r="A34" s="4">
        <v>-3.6</v>
      </c>
      <c r="B34" s="4">
        <v>-1.6</v>
      </c>
      <c r="C34" s="4">
        <v>0.4</v>
      </c>
      <c r="D34" s="4">
        <f t="shared" ref="D34:D65" si="1">IFERROR((A34^3+B34^3+C34^3)/(A34-B34-C34), "")</f>
        <v>21.120000000000005</v>
      </c>
    </row>
    <row r="35" spans="1:4" ht="15" customHeight="1">
      <c r="A35" s="4">
        <v>-3.4</v>
      </c>
      <c r="B35" s="4">
        <v>-1.4</v>
      </c>
      <c r="C35" s="4">
        <v>0.6</v>
      </c>
      <c r="D35" s="4">
        <f t="shared" si="1"/>
        <v>16.089230769230767</v>
      </c>
    </row>
    <row r="36" spans="1:4" ht="15" customHeight="1">
      <c r="A36" s="4">
        <v>-3.2</v>
      </c>
      <c r="B36" s="4">
        <v>-1.2</v>
      </c>
      <c r="C36" s="4">
        <v>0.8</v>
      </c>
      <c r="D36" s="4">
        <f t="shared" si="1"/>
        <v>12.137142857142861</v>
      </c>
    </row>
    <row r="37" spans="1:4" ht="15" customHeight="1">
      <c r="A37" s="4">
        <v>-3</v>
      </c>
      <c r="B37" s="4">
        <v>-1</v>
      </c>
      <c r="C37" s="4">
        <v>1</v>
      </c>
      <c r="D37" s="4">
        <f t="shared" si="1"/>
        <v>9</v>
      </c>
    </row>
    <row r="38" spans="1:4" ht="15" customHeight="1">
      <c r="A38" s="4">
        <v>-2.8</v>
      </c>
      <c r="B38" s="4">
        <v>-0.8</v>
      </c>
      <c r="C38" s="4">
        <v>1.2</v>
      </c>
      <c r="D38" s="4">
        <f t="shared" si="1"/>
        <v>6.4799999999999986</v>
      </c>
    </row>
    <row r="39" spans="1:4" ht="15" customHeight="1">
      <c r="A39" s="4">
        <v>-2.6</v>
      </c>
      <c r="B39" s="4">
        <v>-0.6</v>
      </c>
      <c r="C39" s="4">
        <v>1.4</v>
      </c>
      <c r="D39" s="4">
        <f t="shared" si="1"/>
        <v>4.4258823529411782</v>
      </c>
    </row>
    <row r="40" spans="1:4" ht="15" customHeight="1">
      <c r="A40" s="4">
        <v>-2.4</v>
      </c>
      <c r="B40" s="4">
        <v>-0.4</v>
      </c>
      <c r="C40" s="4">
        <v>1.6</v>
      </c>
      <c r="D40" s="4">
        <f t="shared" si="1"/>
        <v>2.7199999999999993</v>
      </c>
    </row>
    <row r="41" spans="1:4" ht="15" customHeight="1">
      <c r="A41" s="4">
        <v>-2.2000000000000002</v>
      </c>
      <c r="B41" s="4">
        <v>-0.2</v>
      </c>
      <c r="C41" s="4">
        <v>1.8</v>
      </c>
      <c r="D41" s="4">
        <f t="shared" si="1"/>
        <v>1.2694736842105268</v>
      </c>
    </row>
    <row r="42" spans="1:4" ht="15" customHeight="1">
      <c r="A42" s="4">
        <v>-2</v>
      </c>
      <c r="B42" s="4">
        <v>0</v>
      </c>
      <c r="C42" s="4">
        <v>2</v>
      </c>
      <c r="D42" s="4">
        <f t="shared" si="1"/>
        <v>0</v>
      </c>
    </row>
    <row r="43" spans="1:4" ht="15" customHeight="1">
      <c r="A43" s="4">
        <v>-1.8</v>
      </c>
      <c r="B43" s="4">
        <v>0.2</v>
      </c>
      <c r="C43" s="4">
        <v>2.2000000000000002</v>
      </c>
      <c r="D43" s="4">
        <f t="shared" si="1"/>
        <v>-1.148571428571429</v>
      </c>
    </row>
    <row r="44" spans="1:4" ht="15" customHeight="1">
      <c r="A44" s="4">
        <v>-1.6</v>
      </c>
      <c r="B44" s="4">
        <v>0.4</v>
      </c>
      <c r="C44" s="4">
        <v>2.4</v>
      </c>
      <c r="D44" s="4">
        <f t="shared" si="1"/>
        <v>-2.2254545454545447</v>
      </c>
    </row>
    <row r="45" spans="1:4" ht="15" customHeight="1">
      <c r="A45" s="4">
        <v>-1.4</v>
      </c>
      <c r="B45" s="4">
        <v>0.6</v>
      </c>
      <c r="C45" s="4">
        <v>2.6</v>
      </c>
      <c r="D45" s="4">
        <f t="shared" si="1"/>
        <v>-3.2713043478260886</v>
      </c>
    </row>
    <row r="46" spans="1:4" ht="15" customHeight="1">
      <c r="A46" s="4">
        <v>-1.2</v>
      </c>
      <c r="B46" s="4">
        <v>0.8</v>
      </c>
      <c r="C46" s="4">
        <v>2.8</v>
      </c>
      <c r="D46" s="4">
        <f t="shared" si="1"/>
        <v>-4.3199999999999985</v>
      </c>
    </row>
    <row r="47" spans="1:4" ht="15" customHeight="1">
      <c r="A47" s="4">
        <v>-1</v>
      </c>
      <c r="B47" s="4">
        <v>1</v>
      </c>
      <c r="C47" s="4">
        <v>3</v>
      </c>
      <c r="D47" s="4">
        <f t="shared" si="1"/>
        <v>-5.4</v>
      </c>
    </row>
    <row r="48" spans="1:4" ht="15" customHeight="1">
      <c r="A48" s="4">
        <v>-0.8</v>
      </c>
      <c r="B48" s="4">
        <v>1.2</v>
      </c>
      <c r="C48" s="4">
        <v>3.2</v>
      </c>
      <c r="D48" s="4">
        <f t="shared" si="1"/>
        <v>-6.5353846153846167</v>
      </c>
    </row>
    <row r="49" spans="1:4" ht="15" customHeight="1">
      <c r="A49" s="4">
        <v>-0.6</v>
      </c>
      <c r="B49" s="4">
        <v>1.4</v>
      </c>
      <c r="C49" s="4">
        <v>3.4</v>
      </c>
      <c r="D49" s="4">
        <f t="shared" si="1"/>
        <v>-7.7466666666666653</v>
      </c>
    </row>
    <row r="50" spans="1:4" ht="15" customHeight="1">
      <c r="A50" s="4">
        <v>-0.4</v>
      </c>
      <c r="B50" s="4">
        <v>1.6</v>
      </c>
      <c r="C50" s="4">
        <v>3.6</v>
      </c>
      <c r="D50" s="4">
        <f t="shared" si="1"/>
        <v>-9.0514285714285734</v>
      </c>
    </row>
    <row r="51" spans="1:4" ht="15" customHeight="1">
      <c r="A51" s="4">
        <v>-0.2</v>
      </c>
      <c r="B51" s="4">
        <v>1.8</v>
      </c>
      <c r="C51" s="4">
        <v>3.8</v>
      </c>
      <c r="D51" s="4">
        <f t="shared" si="1"/>
        <v>-10.464827586206896</v>
      </c>
    </row>
    <row r="52" spans="1:4" ht="15" customHeight="1">
      <c r="A52" s="4">
        <v>0</v>
      </c>
      <c r="B52" s="4">
        <v>2</v>
      </c>
      <c r="C52" s="4">
        <v>4</v>
      </c>
      <c r="D52" s="4">
        <f t="shared" si="1"/>
        <v>-12</v>
      </c>
    </row>
    <row r="53" spans="1:4" ht="15" customHeight="1">
      <c r="A53" s="4">
        <v>0.2</v>
      </c>
      <c r="B53" s="4">
        <v>2.2000000000000002</v>
      </c>
      <c r="C53" s="4">
        <v>4.2</v>
      </c>
      <c r="D53" s="4">
        <f t="shared" si="1"/>
        <v>-13.668387096774195</v>
      </c>
    </row>
    <row r="54" spans="1:4" ht="15" customHeight="1">
      <c r="A54" s="4">
        <v>0.4</v>
      </c>
      <c r="B54" s="4">
        <v>2.4</v>
      </c>
      <c r="C54" s="4">
        <v>4.4000000000000004</v>
      </c>
      <c r="D54" s="4">
        <f t="shared" si="1"/>
        <v>-15.480000000000004</v>
      </c>
    </row>
    <row r="55" spans="1:4" ht="15" customHeight="1">
      <c r="A55" s="4">
        <v>0.6</v>
      </c>
      <c r="B55" s="4">
        <v>2.6</v>
      </c>
      <c r="C55" s="4">
        <v>4.5999999999999996</v>
      </c>
      <c r="D55" s="4">
        <f t="shared" si="1"/>
        <v>-17.443636363636362</v>
      </c>
    </row>
    <row r="56" spans="1:4" ht="15" customHeight="1">
      <c r="A56" s="4">
        <v>0.8</v>
      </c>
      <c r="B56" s="4">
        <v>2.8</v>
      </c>
      <c r="C56" s="4">
        <v>4.8</v>
      </c>
      <c r="D56" s="4">
        <f t="shared" si="1"/>
        <v>-19.567058823529411</v>
      </c>
    </row>
    <row r="57" spans="1:4" ht="15" customHeight="1">
      <c r="A57" s="4">
        <v>1</v>
      </c>
      <c r="B57" s="4">
        <v>3</v>
      </c>
      <c r="C57" s="4">
        <v>5</v>
      </c>
      <c r="D57" s="4">
        <f t="shared" si="1"/>
        <v>-21.857142857142858</v>
      </c>
    </row>
    <row r="58" spans="1:4" ht="15" customHeight="1">
      <c r="A58" s="4">
        <v>1.2</v>
      </c>
      <c r="B58" s="4">
        <v>3.2</v>
      </c>
      <c r="C58" s="4">
        <v>5.2</v>
      </c>
      <c r="D58" s="4">
        <f t="shared" si="1"/>
        <v>-24.320000000000004</v>
      </c>
    </row>
    <row r="59" spans="1:4" ht="15" customHeight="1">
      <c r="A59" s="4">
        <v>1.4</v>
      </c>
      <c r="B59" s="4">
        <v>3.4</v>
      </c>
      <c r="C59" s="4">
        <v>5.4</v>
      </c>
      <c r="D59" s="4">
        <f t="shared" si="1"/>
        <v>-26.961081081081083</v>
      </c>
    </row>
    <row r="60" spans="1:4" ht="15" customHeight="1">
      <c r="A60" s="4">
        <v>1.6</v>
      </c>
      <c r="B60" s="4">
        <v>3.6</v>
      </c>
      <c r="C60" s="4">
        <v>5.6</v>
      </c>
      <c r="D60" s="4">
        <f t="shared" si="1"/>
        <v>-29.785263157894732</v>
      </c>
    </row>
    <row r="61" spans="1:4" ht="15" customHeight="1">
      <c r="A61" s="4">
        <v>1.8</v>
      </c>
      <c r="B61" s="4">
        <v>3.8</v>
      </c>
      <c r="C61" s="4">
        <v>5.8</v>
      </c>
      <c r="D61" s="4">
        <f t="shared" si="1"/>
        <v>-32.796923076923072</v>
      </c>
    </row>
    <row r="62" spans="1:4" ht="15" customHeight="1">
      <c r="A62" s="4">
        <v>2</v>
      </c>
      <c r="B62" s="4">
        <v>4</v>
      </c>
      <c r="C62" s="4">
        <v>6</v>
      </c>
      <c r="D62" s="4">
        <f t="shared" si="1"/>
        <v>-36</v>
      </c>
    </row>
    <row r="63" spans="1:4" ht="15" customHeight="1">
      <c r="A63" s="4">
        <v>2.2000000000000002</v>
      </c>
      <c r="B63" s="4">
        <v>4.2</v>
      </c>
      <c r="C63" s="4">
        <v>6.2</v>
      </c>
      <c r="D63" s="4">
        <f t="shared" si="1"/>
        <v>-39.398048780487819</v>
      </c>
    </row>
    <row r="64" spans="1:4" ht="15" customHeight="1">
      <c r="A64" s="4">
        <v>2.4</v>
      </c>
      <c r="B64" s="4">
        <v>4.4000000000000004</v>
      </c>
      <c r="C64" s="4">
        <v>6.4</v>
      </c>
      <c r="D64" s="4">
        <f t="shared" si="1"/>
        <v>-42.994285714285724</v>
      </c>
    </row>
    <row r="65" spans="1:4" ht="15" customHeight="1">
      <c r="A65" s="4">
        <v>2.6</v>
      </c>
      <c r="B65" s="4">
        <v>4.5999999999999996</v>
      </c>
      <c r="C65" s="4">
        <v>6.6</v>
      </c>
      <c r="D65" s="4">
        <f t="shared" si="1"/>
        <v>-46.791627906976743</v>
      </c>
    </row>
    <row r="66" spans="1:4" ht="15" customHeight="1">
      <c r="A66" s="4">
        <v>2.8</v>
      </c>
      <c r="B66" s="4">
        <v>4.8</v>
      </c>
      <c r="C66" s="4">
        <v>6.8</v>
      </c>
      <c r="D66" s="4">
        <f t="shared" ref="D66:D97" si="2">IFERROR((A66^3+B66^3+C66^3)/(A66-B66-C66), "")</f>
        <v>-50.792727272727262</v>
      </c>
    </row>
    <row r="67" spans="1:4" ht="15" customHeight="1">
      <c r="A67" s="4">
        <v>3</v>
      </c>
      <c r="B67" s="4">
        <v>5</v>
      </c>
      <c r="C67" s="4">
        <v>7</v>
      </c>
      <c r="D67" s="4">
        <f t="shared" si="2"/>
        <v>-55</v>
      </c>
    </row>
    <row r="68" spans="1:4" ht="15" customHeight="1">
      <c r="A68" s="4">
        <v>3.2</v>
      </c>
      <c r="B68" s="4">
        <v>5.2</v>
      </c>
      <c r="C68" s="4">
        <v>7.2</v>
      </c>
      <c r="D68" s="4">
        <f t="shared" si="2"/>
        <v>-59.415652173913053</v>
      </c>
    </row>
    <row r="69" spans="1:4" ht="15" customHeight="1">
      <c r="A69" s="4">
        <v>3.4</v>
      </c>
      <c r="B69" s="4">
        <v>5.4</v>
      </c>
      <c r="C69" s="4">
        <v>7.4</v>
      </c>
      <c r="D69" s="4">
        <f t="shared" si="2"/>
        <v>-64.041702127659576</v>
      </c>
    </row>
    <row r="70" spans="1:4" ht="15" customHeight="1">
      <c r="A70" s="4">
        <v>3.6</v>
      </c>
      <c r="B70" s="4">
        <v>5.6</v>
      </c>
      <c r="C70" s="4">
        <v>7.6</v>
      </c>
      <c r="D70" s="4">
        <f t="shared" si="2"/>
        <v>-68.88</v>
      </c>
    </row>
    <row r="71" spans="1:4" ht="15" customHeight="1">
      <c r="A71" s="4">
        <v>3.8</v>
      </c>
      <c r="B71" s="4">
        <v>5.8</v>
      </c>
      <c r="C71" s="4">
        <v>7.8</v>
      </c>
      <c r="D71" s="4">
        <f t="shared" si="2"/>
        <v>-73.93224489795918</v>
      </c>
    </row>
    <row r="72" spans="1:4" ht="15" customHeight="1">
      <c r="A72" s="4">
        <v>4</v>
      </c>
      <c r="B72" s="4">
        <v>6</v>
      </c>
      <c r="C72" s="4">
        <v>8</v>
      </c>
      <c r="D72" s="4">
        <f t="shared" si="2"/>
        <v>-79.2</v>
      </c>
    </row>
    <row r="73" spans="1:4" ht="15" customHeight="1">
      <c r="A73" s="4">
        <v>4.2</v>
      </c>
      <c r="B73" s="4">
        <v>6.2</v>
      </c>
      <c r="C73" s="4">
        <v>8.1999999999999993</v>
      </c>
      <c r="D73" s="4">
        <f t="shared" si="2"/>
        <v>-84.684705882352944</v>
      </c>
    </row>
    <row r="74" spans="1:4" ht="15" customHeight="1">
      <c r="A74" s="4">
        <v>4.4000000000000004</v>
      </c>
      <c r="B74" s="4">
        <v>6.4</v>
      </c>
      <c r="C74" s="4">
        <v>8.4</v>
      </c>
      <c r="D74" s="4">
        <f t="shared" si="2"/>
        <v>-90.387692307692319</v>
      </c>
    </row>
    <row r="75" spans="1:4" ht="15" customHeight="1">
      <c r="A75" s="4">
        <v>4.5999999999999996</v>
      </c>
      <c r="B75" s="4">
        <v>6.6</v>
      </c>
      <c r="C75" s="4">
        <v>8.6</v>
      </c>
      <c r="D75" s="4">
        <f t="shared" si="2"/>
        <v>-96.310188679245272</v>
      </c>
    </row>
    <row r="76" spans="1:4" ht="15" customHeight="1">
      <c r="A76" s="4">
        <v>4.8</v>
      </c>
      <c r="B76" s="4">
        <v>6.8</v>
      </c>
      <c r="C76" s="4">
        <v>8.8000000000000007</v>
      </c>
      <c r="D76" s="4">
        <f t="shared" si="2"/>
        <v>-102.45333333333333</v>
      </c>
    </row>
    <row r="77" spans="1:4" ht="15" customHeight="1">
      <c r="A77" s="4">
        <v>5</v>
      </c>
      <c r="B77" s="4">
        <v>7</v>
      </c>
      <c r="C77" s="4">
        <v>9</v>
      </c>
      <c r="D77" s="4">
        <f t="shared" si="2"/>
        <v>-108.81818181818181</v>
      </c>
    </row>
    <row r="78" spans="1:4" ht="15" customHeight="1">
      <c r="A78" s="4">
        <v>5.2</v>
      </c>
      <c r="B78" s="4">
        <v>7.2</v>
      </c>
      <c r="C78" s="4">
        <v>9.1999999999999993</v>
      </c>
      <c r="D78" s="4">
        <f t="shared" si="2"/>
        <v>-115.40571428571428</v>
      </c>
    </row>
    <row r="79" spans="1:4" ht="15" customHeight="1">
      <c r="A79" s="4">
        <v>5.4</v>
      </c>
      <c r="B79" s="4">
        <v>7.4</v>
      </c>
      <c r="C79" s="4">
        <v>9.4</v>
      </c>
      <c r="D79" s="4">
        <f t="shared" si="2"/>
        <v>-122.21684210526318</v>
      </c>
    </row>
    <row r="80" spans="1:4" ht="15" customHeight="1">
      <c r="A80" s="4">
        <v>5.6</v>
      </c>
      <c r="B80" s="4">
        <v>7.6</v>
      </c>
      <c r="C80" s="4">
        <v>9.6</v>
      </c>
      <c r="D80" s="4">
        <f t="shared" si="2"/>
        <v>-129.25241379310344</v>
      </c>
    </row>
    <row r="81" spans="1:4" ht="15" customHeight="1">
      <c r="A81" s="4">
        <v>5.8</v>
      </c>
      <c r="B81" s="4">
        <v>7.8</v>
      </c>
      <c r="C81" s="4">
        <v>9.8000000000000007</v>
      </c>
      <c r="D81" s="4">
        <f t="shared" si="2"/>
        <v>-136.51322033898307</v>
      </c>
    </row>
    <row r="82" spans="1:4" ht="15" customHeight="1">
      <c r="A82" s="4">
        <v>6</v>
      </c>
      <c r="B82" s="4">
        <v>8</v>
      </c>
      <c r="C82" s="4">
        <v>10</v>
      </c>
      <c r="D82" s="4">
        <f t="shared" si="2"/>
        <v>-144</v>
      </c>
    </row>
    <row r="83" spans="1:4" ht="15" customHeight="1">
      <c r="A83" s="4">
        <v>6.2</v>
      </c>
      <c r="B83" s="4">
        <v>8.1999999999999993</v>
      </c>
      <c r="C83" s="4">
        <v>10.199999999999999</v>
      </c>
      <c r="D83" s="4">
        <f t="shared" si="2"/>
        <v>-151.71344262295082</v>
      </c>
    </row>
    <row r="84" spans="1:4" ht="15" customHeight="1">
      <c r="A84" s="4">
        <v>6.4</v>
      </c>
      <c r="B84" s="4">
        <v>8.4</v>
      </c>
      <c r="C84" s="4">
        <v>10.4</v>
      </c>
      <c r="D84" s="4">
        <f t="shared" si="2"/>
        <v>-159.65419354838713</v>
      </c>
    </row>
    <row r="85" spans="1:4" ht="15" customHeight="1">
      <c r="A85" s="4">
        <v>6.6</v>
      </c>
      <c r="B85" s="4">
        <v>8.6</v>
      </c>
      <c r="C85" s="4">
        <v>10.6</v>
      </c>
      <c r="D85" s="4">
        <f t="shared" si="2"/>
        <v>-167.82285714285712</v>
      </c>
    </row>
    <row r="86" spans="1:4" ht="15" customHeight="1">
      <c r="A86" s="4">
        <v>6.8</v>
      </c>
      <c r="B86" s="4">
        <v>8.8000000000000007</v>
      </c>
      <c r="C86" s="4">
        <v>10.8</v>
      </c>
      <c r="D86" s="4">
        <f t="shared" si="2"/>
        <v>-176.22000000000003</v>
      </c>
    </row>
    <row r="87" spans="1:4" ht="15" customHeight="1">
      <c r="A87" s="4">
        <v>7</v>
      </c>
      <c r="B87" s="4">
        <v>9</v>
      </c>
      <c r="C87" s="4">
        <v>11</v>
      </c>
      <c r="D87" s="4">
        <f t="shared" si="2"/>
        <v>-184.84615384615384</v>
      </c>
    </row>
    <row r="88" spans="1:4" ht="15" customHeight="1">
      <c r="A88" s="4">
        <v>7.2</v>
      </c>
      <c r="B88" s="4">
        <v>9.1999999999999993</v>
      </c>
      <c r="C88" s="4">
        <v>11.2</v>
      </c>
      <c r="D88" s="4">
        <f t="shared" si="2"/>
        <v>-193.70181818181817</v>
      </c>
    </row>
    <row r="89" spans="1:4" ht="15" customHeight="1">
      <c r="A89" s="4">
        <v>7.4</v>
      </c>
      <c r="B89" s="4">
        <v>9.4</v>
      </c>
      <c r="C89" s="4">
        <v>11.4</v>
      </c>
      <c r="D89" s="4">
        <f t="shared" si="2"/>
        <v>-202.78746268656718</v>
      </c>
    </row>
    <row r="90" spans="1:4" ht="15" customHeight="1">
      <c r="A90" s="4">
        <v>7.6</v>
      </c>
      <c r="B90" s="4">
        <v>9.6</v>
      </c>
      <c r="C90" s="4">
        <v>11.6</v>
      </c>
      <c r="D90" s="4">
        <f t="shared" si="2"/>
        <v>-212.10352941176473</v>
      </c>
    </row>
    <row r="91" spans="1:4" ht="15" customHeight="1">
      <c r="A91" s="4">
        <v>7.8</v>
      </c>
      <c r="B91" s="4">
        <v>9.8000000000000007</v>
      </c>
      <c r="C91" s="4">
        <v>11.8</v>
      </c>
      <c r="D91" s="4">
        <f t="shared" si="2"/>
        <v>-221.6504347826087</v>
      </c>
    </row>
    <row r="92" spans="1:4" ht="15" customHeight="1">
      <c r="A92" s="4">
        <v>8</v>
      </c>
      <c r="B92" s="4">
        <v>10</v>
      </c>
      <c r="C92" s="4">
        <v>12</v>
      </c>
      <c r="D92" s="4">
        <f t="shared" si="2"/>
        <v>-231.42857142857142</v>
      </c>
    </row>
    <row r="93" spans="1:4" ht="15" customHeight="1">
      <c r="A93" s="4">
        <v>8.1999999999999993</v>
      </c>
      <c r="B93" s="4">
        <v>10.199999999999999</v>
      </c>
      <c r="C93" s="4">
        <v>12.2</v>
      </c>
      <c r="D93" s="4">
        <f t="shared" si="2"/>
        <v>-241.43830985915488</v>
      </c>
    </row>
    <row r="94" spans="1:4" ht="15" customHeight="1">
      <c r="A94" s="4">
        <v>8.4</v>
      </c>
      <c r="B94" s="4">
        <v>10.4</v>
      </c>
      <c r="C94" s="4">
        <v>12.4</v>
      </c>
      <c r="D94" s="4">
        <f t="shared" si="2"/>
        <v>-251.68000000000004</v>
      </c>
    </row>
    <row r="95" spans="1:4" ht="15" customHeight="1">
      <c r="A95" s="4">
        <v>8.6</v>
      </c>
      <c r="B95" s="4">
        <v>10.6</v>
      </c>
      <c r="C95" s="4">
        <v>12.6</v>
      </c>
      <c r="D95" s="4">
        <f t="shared" si="2"/>
        <v>-262.15397260273971</v>
      </c>
    </row>
    <row r="96" spans="1:4" ht="15" customHeight="1">
      <c r="A96" s="4">
        <v>8.8000000000000007</v>
      </c>
      <c r="B96" s="4">
        <v>10.8</v>
      </c>
      <c r="C96" s="4">
        <v>12.8</v>
      </c>
      <c r="D96" s="4">
        <f t="shared" si="2"/>
        <v>-272.86054054054063</v>
      </c>
    </row>
    <row r="97" spans="1:4" ht="15" customHeight="1">
      <c r="A97" s="4">
        <v>9</v>
      </c>
      <c r="B97" s="4">
        <v>11</v>
      </c>
      <c r="C97" s="4">
        <v>13</v>
      </c>
      <c r="D97" s="4">
        <f t="shared" si="2"/>
        <v>-283.8</v>
      </c>
    </row>
    <row r="98" spans="1:4" ht="15" customHeight="1">
      <c r="A98" s="4">
        <v>9.1999999999999993</v>
      </c>
      <c r="B98" s="4">
        <v>11.2</v>
      </c>
      <c r="C98" s="4">
        <v>13.2</v>
      </c>
      <c r="D98" s="4">
        <f t="shared" ref="D98:D102" si="3">IFERROR((A98^3+B98^3+C98^3)/(A98-B98-C98), "")</f>
        <v>-294.9726315789473</v>
      </c>
    </row>
    <row r="99" spans="1:4" ht="15" customHeight="1">
      <c r="A99" s="4">
        <v>9.4</v>
      </c>
      <c r="B99" s="4">
        <v>11.4</v>
      </c>
      <c r="C99" s="4">
        <v>13.4</v>
      </c>
      <c r="D99" s="4">
        <f t="shared" si="3"/>
        <v>-306.37870129870129</v>
      </c>
    </row>
    <row r="100" spans="1:4" ht="15" customHeight="1">
      <c r="A100" s="4">
        <v>9.6</v>
      </c>
      <c r="B100" s="4">
        <v>11.6</v>
      </c>
      <c r="C100" s="4">
        <v>13.6</v>
      </c>
      <c r="D100" s="4">
        <f t="shared" si="3"/>
        <v>-318.01846153846151</v>
      </c>
    </row>
    <row r="101" spans="1:4" ht="15" customHeight="1">
      <c r="A101" s="4">
        <v>9.8000000000000007</v>
      </c>
      <c r="B101" s="4">
        <v>11.8</v>
      </c>
      <c r="C101" s="4">
        <v>13.8</v>
      </c>
      <c r="D101" s="4">
        <f t="shared" si="3"/>
        <v>-329.8921518987342</v>
      </c>
    </row>
    <row r="102" spans="1:4" ht="15" customHeight="1">
      <c r="A102" s="4">
        <v>10</v>
      </c>
      <c r="B102" s="4">
        <v>12</v>
      </c>
      <c r="C102" s="4">
        <v>14</v>
      </c>
      <c r="D102" s="4">
        <f t="shared" si="3"/>
        <v>-342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30"/>
  <dimension ref="A1:D102"/>
  <sheetViews>
    <sheetView zoomScaleNormal="100" workbookViewId="0">
      <selection activeCellId="3" sqref="D1:D1048576 C1:C1048576 B1:B1048576 A1:A1048576"/>
    </sheetView>
  </sheetViews>
  <sheetFormatPr defaultColWidth="8.7109375" defaultRowHeight="15"/>
  <cols>
    <col min="1" max="3" width="8" customWidth="1"/>
    <col min="4" max="4" width="22" customWidth="1"/>
  </cols>
  <sheetData>
    <row r="1" spans="1:4" ht="15" customHeight="1">
      <c r="A1" s="3" t="s">
        <v>3</v>
      </c>
      <c r="B1" s="3" t="s">
        <v>4</v>
      </c>
      <c r="C1" s="3" t="s">
        <v>2</v>
      </c>
      <c r="D1" s="3" t="s">
        <v>15</v>
      </c>
    </row>
    <row r="2" spans="1:4" ht="15" customHeight="1">
      <c r="A2" s="4">
        <v>-10</v>
      </c>
      <c r="B2" s="4">
        <v>-8</v>
      </c>
      <c r="C2" s="4">
        <v>-6</v>
      </c>
      <c r="D2" s="4">
        <f t="shared" ref="D2:D33" si="0">(SQRT(ABS(A2-B2-C2))-A2*B2*C2)*(1+C2^3)</f>
        <v>-103630</v>
      </c>
    </row>
    <row r="3" spans="1:4" ht="15" customHeight="1">
      <c r="A3" s="4">
        <v>-9.8000000000000007</v>
      </c>
      <c r="B3" s="4">
        <v>-7.8</v>
      </c>
      <c r="C3" s="4">
        <v>-5.8</v>
      </c>
      <c r="D3" s="4">
        <f t="shared" si="0"/>
        <v>-86438.337372771901</v>
      </c>
    </row>
    <row r="4" spans="1:4" ht="15" customHeight="1">
      <c r="A4" s="4">
        <v>-9.6</v>
      </c>
      <c r="B4" s="4">
        <v>-7.6</v>
      </c>
      <c r="C4" s="4">
        <v>-5.6</v>
      </c>
      <c r="D4" s="4">
        <f t="shared" si="0"/>
        <v>-71675.21738154476</v>
      </c>
    </row>
    <row r="5" spans="1:4" ht="15" customHeight="1">
      <c r="A5" s="4">
        <v>-9.4</v>
      </c>
      <c r="B5" s="4">
        <v>-7.4</v>
      </c>
      <c r="C5" s="4">
        <v>-5.4</v>
      </c>
      <c r="D5" s="4">
        <f t="shared" si="0"/>
        <v>-59060.138896793185</v>
      </c>
    </row>
    <row r="6" spans="1:4" ht="15" customHeight="1">
      <c r="A6" s="4">
        <v>-9.1999999999999993</v>
      </c>
      <c r="B6" s="4">
        <v>-7.2</v>
      </c>
      <c r="C6" s="4">
        <v>-5.2</v>
      </c>
      <c r="D6" s="4">
        <f t="shared" si="0"/>
        <v>-48337.434766562241</v>
      </c>
    </row>
    <row r="7" spans="1:4" ht="15" customHeight="1">
      <c r="A7" s="4">
        <v>-9</v>
      </c>
      <c r="B7" s="4">
        <v>-7</v>
      </c>
      <c r="C7" s="4">
        <v>-5</v>
      </c>
      <c r="D7" s="4">
        <f t="shared" si="0"/>
        <v>-39274.774300138546</v>
      </c>
    </row>
    <row r="8" spans="1:4" ht="15" customHeight="1">
      <c r="A8" s="4">
        <v>-8.8000000000000007</v>
      </c>
      <c r="B8" s="4">
        <v>-6.8</v>
      </c>
      <c r="C8" s="4">
        <v>-4.8</v>
      </c>
      <c r="D8" s="4">
        <f t="shared" si="0"/>
        <v>-31661.711835255846</v>
      </c>
    </row>
    <row r="9" spans="1:4" ht="15" customHeight="1">
      <c r="A9" s="4">
        <v>-8.6</v>
      </c>
      <c r="B9" s="4">
        <v>-6.6</v>
      </c>
      <c r="C9" s="4">
        <v>-4.5999999999999996</v>
      </c>
      <c r="D9" s="4">
        <f t="shared" si="0"/>
        <v>-25308.281388488009</v>
      </c>
    </row>
    <row r="10" spans="1:4" ht="15" customHeight="1">
      <c r="A10" s="4">
        <v>-8.4</v>
      </c>
      <c r="B10" s="4">
        <v>-6.4</v>
      </c>
      <c r="C10" s="4">
        <v>-4.4000000000000004</v>
      </c>
      <c r="D10" s="4">
        <f t="shared" si="0"/>
        <v>-20043.63738800686</v>
      </c>
    </row>
    <row r="11" spans="1:4" ht="15" customHeight="1">
      <c r="A11" s="4">
        <v>-8.1999999999999993</v>
      </c>
      <c r="B11" s="4">
        <v>-6.2</v>
      </c>
      <c r="C11" s="4">
        <v>-4.2</v>
      </c>
      <c r="D11" s="4">
        <f t="shared" si="0"/>
        <v>-15714.741487004971</v>
      </c>
    </row>
    <row r="12" spans="1:4" ht="15" customHeight="1">
      <c r="A12" s="4">
        <v>-8</v>
      </c>
      <c r="B12" s="4">
        <v>-6</v>
      </c>
      <c r="C12" s="4">
        <v>-4</v>
      </c>
      <c r="D12" s="4">
        <f t="shared" si="0"/>
        <v>-12185.095454429505</v>
      </c>
    </row>
    <row r="13" spans="1:4" ht="15" customHeight="1">
      <c r="A13" s="4">
        <v>-7.8</v>
      </c>
      <c r="B13" s="4">
        <v>-5.8</v>
      </c>
      <c r="C13" s="4">
        <v>-3.8</v>
      </c>
      <c r="D13" s="4">
        <f t="shared" si="0"/>
        <v>-9333.5201364503191</v>
      </c>
    </row>
    <row r="14" spans="1:4" ht="15" customHeight="1">
      <c r="A14" s="4">
        <v>-7.6</v>
      </c>
      <c r="B14" s="4">
        <v>-5.6</v>
      </c>
      <c r="C14" s="4">
        <v>-3.6</v>
      </c>
      <c r="D14" s="4">
        <f t="shared" si="0"/>
        <v>-7052.9804755410587</v>
      </c>
    </row>
    <row r="15" spans="1:4" ht="15" customHeight="1">
      <c r="A15" s="4">
        <v>-7.4</v>
      </c>
      <c r="B15" s="4">
        <v>-5.4</v>
      </c>
      <c r="C15" s="4">
        <v>-3.4</v>
      </c>
      <c r="D15" s="4">
        <f t="shared" si="0"/>
        <v>-5249.4565600023707</v>
      </c>
    </row>
    <row r="16" spans="1:4" ht="15" customHeight="1">
      <c r="A16" s="4">
        <v>-7.2</v>
      </c>
      <c r="B16" s="4">
        <v>-5.2</v>
      </c>
      <c r="C16" s="4">
        <v>-3.2</v>
      </c>
      <c r="D16" s="4">
        <f t="shared" si="0"/>
        <v>-3840.8606444136499</v>
      </c>
    </row>
    <row r="17" spans="1:4" ht="15" customHeight="1">
      <c r="A17" s="4">
        <v>-7</v>
      </c>
      <c r="B17" s="4">
        <v>-5</v>
      </c>
      <c r="C17" s="4">
        <v>-3</v>
      </c>
      <c r="D17" s="4">
        <f t="shared" si="0"/>
        <v>-2756</v>
      </c>
    </row>
    <row r="18" spans="1:4" ht="15" customHeight="1">
      <c r="A18" s="4">
        <v>-6.8</v>
      </c>
      <c r="B18" s="4">
        <v>-4.8</v>
      </c>
      <c r="C18" s="4">
        <v>-2.8</v>
      </c>
      <c r="D18" s="4">
        <f t="shared" si="0"/>
        <v>-1933.5852225058297</v>
      </c>
    </row>
    <row r="19" spans="1:4" ht="15" customHeight="1">
      <c r="A19" s="4">
        <v>-6.6</v>
      </c>
      <c r="B19" s="4">
        <v>-4.5999999999999996</v>
      </c>
      <c r="C19" s="4">
        <v>-2.6</v>
      </c>
      <c r="D19" s="4">
        <f t="shared" si="0"/>
        <v>-1321.2828503893472</v>
      </c>
    </row>
    <row r="20" spans="1:4" ht="15" customHeight="1">
      <c r="A20" s="4">
        <v>-6.4</v>
      </c>
      <c r="B20" s="4">
        <v>-4.4000000000000004</v>
      </c>
      <c r="C20" s="4">
        <v>-2.4</v>
      </c>
      <c r="D20" s="4">
        <f t="shared" si="0"/>
        <v>-874.80782574279988</v>
      </c>
    </row>
    <row r="21" spans="1:4" ht="15" customHeight="1">
      <c r="A21" s="4">
        <v>-6.2</v>
      </c>
      <c r="B21" s="4">
        <v>-4.2</v>
      </c>
      <c r="C21" s="4">
        <v>-2.2000000000000002</v>
      </c>
      <c r="D21" s="4">
        <f t="shared" si="0"/>
        <v>-557.02934076938391</v>
      </c>
    </row>
    <row r="22" spans="1:4" ht="15" customHeight="1">
      <c r="A22" s="4">
        <v>-6</v>
      </c>
      <c r="B22" s="4">
        <v>-4</v>
      </c>
      <c r="C22" s="4">
        <v>-2</v>
      </c>
      <c r="D22" s="4">
        <f t="shared" si="0"/>
        <v>-336</v>
      </c>
    </row>
    <row r="23" spans="1:4" ht="15" customHeight="1">
      <c r="A23" s="4">
        <v>-5.8</v>
      </c>
      <c r="B23" s="4">
        <v>-3.8</v>
      </c>
      <c r="C23" s="4">
        <v>-1.8</v>
      </c>
      <c r="D23" s="4">
        <f t="shared" si="0"/>
        <v>-193.85604009345582</v>
      </c>
    </row>
    <row r="24" spans="1:4" ht="15" customHeight="1">
      <c r="A24" s="4">
        <v>-5.6</v>
      </c>
      <c r="B24" s="4">
        <v>-3.6</v>
      </c>
      <c r="C24" s="4">
        <v>-1.6</v>
      </c>
      <c r="D24" s="4">
        <f t="shared" si="0"/>
        <v>-101.82265832717628</v>
      </c>
    </row>
    <row r="25" spans="1:4" ht="15" customHeight="1">
      <c r="A25" s="4">
        <v>-5.4</v>
      </c>
      <c r="B25" s="4">
        <v>-3.4</v>
      </c>
      <c r="C25" s="4">
        <v>-1.4</v>
      </c>
      <c r="D25" s="4">
        <f t="shared" si="0"/>
        <v>-46.178672591157124</v>
      </c>
    </row>
    <row r="26" spans="1:4" ht="15" customHeight="1">
      <c r="A26" s="4">
        <v>-5.2</v>
      </c>
      <c r="B26" s="4">
        <v>-3.2</v>
      </c>
      <c r="C26" s="4">
        <v>-1.2</v>
      </c>
      <c r="D26" s="4">
        <f t="shared" si="0"/>
        <v>-15.18784699504794</v>
      </c>
    </row>
    <row r="27" spans="1:4" ht="15" customHeight="1">
      <c r="A27" s="4">
        <v>-5</v>
      </c>
      <c r="B27" s="4">
        <v>-3</v>
      </c>
      <c r="C27" s="4">
        <v>-1</v>
      </c>
      <c r="D27" s="4">
        <f t="shared" si="0"/>
        <v>0</v>
      </c>
    </row>
    <row r="28" spans="1:4" ht="15" customHeight="1">
      <c r="A28" s="4">
        <v>-4.8</v>
      </c>
      <c r="B28" s="4">
        <v>-2.8</v>
      </c>
      <c r="C28" s="4">
        <v>-0.8</v>
      </c>
      <c r="D28" s="4">
        <f t="shared" si="0"/>
        <v>5.7815532161250411</v>
      </c>
    </row>
    <row r="29" spans="1:4" ht="15" customHeight="1">
      <c r="A29" s="4">
        <v>-4.5999999999999996</v>
      </c>
      <c r="B29" s="4">
        <v>-2.6</v>
      </c>
      <c r="C29" s="4">
        <v>-0.6</v>
      </c>
      <c r="D29" s="4">
        <f t="shared" si="0"/>
        <v>6.5536253099900188</v>
      </c>
    </row>
    <row r="30" spans="1:4" ht="15" customHeight="1">
      <c r="A30" s="4">
        <v>-4.4000000000000004</v>
      </c>
      <c r="B30" s="4">
        <v>-2.4</v>
      </c>
      <c r="C30" s="4">
        <v>-0.4</v>
      </c>
      <c r="D30" s="4">
        <f t="shared" si="0"/>
        <v>5.137620755967041</v>
      </c>
    </row>
    <row r="31" spans="1:4" ht="15" customHeight="1">
      <c r="A31" s="4">
        <v>-4.2</v>
      </c>
      <c r="B31" s="4">
        <v>-2.2000000000000002</v>
      </c>
      <c r="C31" s="4">
        <v>-0.2</v>
      </c>
      <c r="D31" s="4">
        <f t="shared" si="0"/>
        <v>3.1641236602078755</v>
      </c>
    </row>
    <row r="32" spans="1:4" ht="15" customHeight="1">
      <c r="A32" s="4">
        <v>-4</v>
      </c>
      <c r="B32" s="4">
        <v>-2</v>
      </c>
      <c r="C32" s="4">
        <v>0</v>
      </c>
      <c r="D32" s="4">
        <f t="shared" si="0"/>
        <v>1.4142135623730951</v>
      </c>
    </row>
    <row r="33" spans="1:4" ht="15" customHeight="1">
      <c r="A33" s="4">
        <v>-3.8</v>
      </c>
      <c r="B33" s="4">
        <v>-1.8</v>
      </c>
      <c r="C33" s="4">
        <v>0.2</v>
      </c>
      <c r="D33" s="4">
        <f t="shared" si="0"/>
        <v>0.11616161499848537</v>
      </c>
    </row>
    <row r="34" spans="1:4" ht="15" customHeight="1">
      <c r="A34" s="4">
        <v>-3.6</v>
      </c>
      <c r="B34" s="4">
        <v>-1.6</v>
      </c>
      <c r="C34" s="4">
        <v>0.4</v>
      </c>
      <c r="D34" s="4">
        <f t="shared" ref="D34:D65" si="1">(SQRT(ABS(A34-B34-C34))-A34*B34*C34)*(1+C34^3)</f>
        <v>-0.80311428785412364</v>
      </c>
    </row>
    <row r="35" spans="1:4" ht="15" customHeight="1">
      <c r="A35" s="4">
        <v>-3.4</v>
      </c>
      <c r="B35" s="4">
        <v>-1.4</v>
      </c>
      <c r="C35" s="4">
        <v>0.6</v>
      </c>
      <c r="D35" s="4">
        <f t="shared" si="1"/>
        <v>-1.5121549156137923</v>
      </c>
    </row>
    <row r="36" spans="1:4" ht="15" customHeight="1">
      <c r="A36" s="4">
        <v>-3.2</v>
      </c>
      <c r="B36" s="4">
        <v>-1.2</v>
      </c>
      <c r="C36" s="4">
        <v>0.8</v>
      </c>
      <c r="D36" s="4">
        <f t="shared" si="1"/>
        <v>-2.1148040797609555</v>
      </c>
    </row>
    <row r="37" spans="1:4" ht="15" customHeight="1">
      <c r="A37" s="4">
        <v>-3</v>
      </c>
      <c r="B37" s="4">
        <v>-1</v>
      </c>
      <c r="C37" s="4">
        <v>1</v>
      </c>
      <c r="D37" s="4">
        <f t="shared" si="1"/>
        <v>-2.5358983848622456</v>
      </c>
    </row>
    <row r="38" spans="1:4" ht="15" customHeight="1">
      <c r="A38" s="4">
        <v>-2.8</v>
      </c>
      <c r="B38" s="4">
        <v>-0.8</v>
      </c>
      <c r="C38" s="4">
        <v>1.2</v>
      </c>
      <c r="D38" s="4">
        <f t="shared" si="1"/>
        <v>-2.4528692459044583</v>
      </c>
    </row>
    <row r="39" spans="1:4" ht="15" customHeight="1">
      <c r="A39" s="4">
        <v>-2.6</v>
      </c>
      <c r="B39" s="4">
        <v>-0.6</v>
      </c>
      <c r="C39" s="4">
        <v>1.4</v>
      </c>
      <c r="D39" s="4">
        <f t="shared" si="1"/>
        <v>-1.2733011103790846</v>
      </c>
    </row>
    <row r="40" spans="1:4" ht="15" customHeight="1">
      <c r="A40" s="4">
        <v>-2.4</v>
      </c>
      <c r="B40" s="4">
        <v>-0.4</v>
      </c>
      <c r="C40" s="4">
        <v>1.6</v>
      </c>
      <c r="D40" s="4">
        <f t="shared" si="1"/>
        <v>1.8415241737308365</v>
      </c>
    </row>
    <row r="41" spans="1:4" ht="15" customHeight="1">
      <c r="A41" s="4">
        <v>-2.2000000000000002</v>
      </c>
      <c r="B41" s="4">
        <v>-0.2</v>
      </c>
      <c r="C41" s="4">
        <v>1.8</v>
      </c>
      <c r="D41" s="4">
        <f t="shared" si="1"/>
        <v>7.9070757927469684</v>
      </c>
    </row>
    <row r="42" spans="1:4" ht="15" customHeight="1">
      <c r="A42" s="4">
        <v>-2</v>
      </c>
      <c r="B42" s="4">
        <v>0</v>
      </c>
      <c r="C42" s="4">
        <v>2</v>
      </c>
      <c r="D42" s="4">
        <f t="shared" si="1"/>
        <v>18</v>
      </c>
    </row>
    <row r="43" spans="1:4" ht="15" customHeight="1">
      <c r="A43" s="4">
        <v>-1.8</v>
      </c>
      <c r="B43" s="4">
        <v>0.2</v>
      </c>
      <c r="C43" s="4">
        <v>2.2000000000000002</v>
      </c>
      <c r="D43" s="4">
        <f t="shared" si="1"/>
        <v>33.096512504379497</v>
      </c>
    </row>
    <row r="44" spans="1:4" ht="15" customHeight="1">
      <c r="A44" s="4">
        <v>-1.6</v>
      </c>
      <c r="B44" s="4">
        <v>0.4</v>
      </c>
      <c r="C44" s="4">
        <v>2.4</v>
      </c>
      <c r="D44" s="4">
        <f t="shared" si="1"/>
        <v>53.864748730548662</v>
      </c>
    </row>
    <row r="45" spans="1:4" ht="15" customHeight="1">
      <c r="A45" s="4">
        <v>-1.4</v>
      </c>
      <c r="B45" s="4">
        <v>0.6</v>
      </c>
      <c r="C45" s="4">
        <v>2.6</v>
      </c>
      <c r="D45" s="4">
        <f t="shared" si="1"/>
        <v>80.411065431105783</v>
      </c>
    </row>
    <row r="46" spans="1:4" ht="15" customHeight="1">
      <c r="A46" s="4">
        <v>-1.2</v>
      </c>
      <c r="B46" s="4">
        <v>0.8</v>
      </c>
      <c r="C46" s="4">
        <v>2.8</v>
      </c>
      <c r="D46" s="4">
        <f t="shared" si="1"/>
        <v>111.98028855943426</v>
      </c>
    </row>
    <row r="47" spans="1:4" ht="15" customHeight="1">
      <c r="A47" s="4">
        <v>-1</v>
      </c>
      <c r="B47" s="4">
        <v>1</v>
      </c>
      <c r="C47" s="4">
        <v>3</v>
      </c>
      <c r="D47" s="4">
        <f t="shared" si="1"/>
        <v>146.60990336999413</v>
      </c>
    </row>
    <row r="48" spans="1:4" ht="15" customHeight="1">
      <c r="A48" s="4">
        <v>-0.8</v>
      </c>
      <c r="B48" s="4">
        <v>1.2</v>
      </c>
      <c r="C48" s="4">
        <v>3.2</v>
      </c>
      <c r="D48" s="4">
        <f t="shared" si="1"/>
        <v>180.73818350949543</v>
      </c>
    </row>
    <row r="49" spans="1:4" ht="15" customHeight="1">
      <c r="A49" s="4">
        <v>-0.6</v>
      </c>
      <c r="B49" s="4">
        <v>1.4</v>
      </c>
      <c r="C49" s="4">
        <v>3.4</v>
      </c>
      <c r="D49" s="4">
        <f t="shared" si="1"/>
        <v>208.76625647132622</v>
      </c>
    </row>
    <row r="50" spans="1:4" ht="15" customHeight="1">
      <c r="A50" s="4">
        <v>-0.4</v>
      </c>
      <c r="B50" s="4">
        <v>1.6</v>
      </c>
      <c r="C50" s="4">
        <v>3.6</v>
      </c>
      <c r="D50" s="4">
        <f t="shared" si="1"/>
        <v>222.57410325735819</v>
      </c>
    </row>
    <row r="51" spans="1:4" ht="15" customHeight="1">
      <c r="A51" s="4">
        <v>-0.2</v>
      </c>
      <c r="B51" s="4">
        <v>1.8</v>
      </c>
      <c r="C51" s="4">
        <v>3.8</v>
      </c>
      <c r="D51" s="4">
        <f t="shared" si="1"/>
        <v>210.9904904612566</v>
      </c>
    </row>
    <row r="52" spans="1:4" ht="15" customHeight="1">
      <c r="A52" s="4">
        <v>0</v>
      </c>
      <c r="B52" s="4">
        <v>2</v>
      </c>
      <c r="C52" s="4">
        <v>4</v>
      </c>
      <c r="D52" s="4">
        <f t="shared" si="1"/>
        <v>159.21683328090657</v>
      </c>
    </row>
    <row r="53" spans="1:4" ht="15" customHeight="1">
      <c r="A53" s="4">
        <v>0.2</v>
      </c>
      <c r="B53" s="4">
        <v>2.2000000000000002</v>
      </c>
      <c r="C53" s="4">
        <v>4.2</v>
      </c>
      <c r="D53" s="4">
        <f t="shared" si="1"/>
        <v>48.204988202755558</v>
      </c>
    </row>
    <row r="54" spans="1:4" ht="15" customHeight="1">
      <c r="A54" s="4">
        <v>0.4</v>
      </c>
      <c r="B54" s="4">
        <v>2.4</v>
      </c>
      <c r="C54" s="4">
        <v>4.4000000000000004</v>
      </c>
      <c r="D54" s="4">
        <f t="shared" si="1"/>
        <v>-146.01102570883876</v>
      </c>
    </row>
    <row r="55" spans="1:4" ht="15" customHeight="1">
      <c r="A55" s="4">
        <v>0.6</v>
      </c>
      <c r="B55" s="4">
        <v>2.6</v>
      </c>
      <c r="C55" s="4">
        <v>4.5999999999999996</v>
      </c>
      <c r="D55" s="4">
        <f t="shared" si="1"/>
        <v>-453.02937782887699</v>
      </c>
    </row>
    <row r="56" spans="1:4" ht="15" customHeight="1">
      <c r="A56" s="4">
        <v>0.8</v>
      </c>
      <c r="B56" s="4">
        <v>2.8</v>
      </c>
      <c r="C56" s="4">
        <v>4.8</v>
      </c>
      <c r="D56" s="4">
        <f t="shared" si="1"/>
        <v>-908.84085007945032</v>
      </c>
    </row>
    <row r="57" spans="1:4" ht="15" customHeight="1">
      <c r="A57" s="4">
        <v>1</v>
      </c>
      <c r="B57" s="4">
        <v>3</v>
      </c>
      <c r="C57" s="4">
        <v>5</v>
      </c>
      <c r="D57" s="4">
        <f t="shared" si="1"/>
        <v>-1556.6353348058617</v>
      </c>
    </row>
    <row r="58" spans="1:4" ht="15" customHeight="1">
      <c r="A58" s="4">
        <v>1.2</v>
      </c>
      <c r="B58" s="4">
        <v>3.2</v>
      </c>
      <c r="C58" s="4">
        <v>5.2</v>
      </c>
      <c r="D58" s="4">
        <f t="shared" si="1"/>
        <v>-2447.6544070106524</v>
      </c>
    </row>
    <row r="59" spans="1:4" ht="15" customHeight="1">
      <c r="A59" s="4">
        <v>1.4</v>
      </c>
      <c r="B59" s="4">
        <v>3.4</v>
      </c>
      <c r="C59" s="4">
        <v>5.4</v>
      </c>
      <c r="D59" s="4">
        <f t="shared" si="1"/>
        <v>-3642.0899714607499</v>
      </c>
    </row>
    <row r="60" spans="1:4" ht="15" customHeight="1">
      <c r="A60" s="4">
        <v>1.6</v>
      </c>
      <c r="B60" s="4">
        <v>3.6</v>
      </c>
      <c r="C60" s="4">
        <v>5.6</v>
      </c>
      <c r="D60" s="4">
        <f t="shared" si="1"/>
        <v>-5210.028985120166</v>
      </c>
    </row>
    <row r="61" spans="1:4" ht="15" customHeight="1">
      <c r="A61" s="4">
        <v>1.8</v>
      </c>
      <c r="B61" s="4">
        <v>3.8</v>
      </c>
      <c r="C61" s="4">
        <v>5.8</v>
      </c>
      <c r="D61" s="4">
        <f t="shared" si="1"/>
        <v>-7232.4442553072768</v>
      </c>
    </row>
    <row r="62" spans="1:4" ht="15" customHeight="1">
      <c r="A62" s="4">
        <v>2</v>
      </c>
      <c r="B62" s="4">
        <v>4</v>
      </c>
      <c r="C62" s="4">
        <v>6</v>
      </c>
      <c r="D62" s="4">
        <f t="shared" si="1"/>
        <v>-9802.2313139300768</v>
      </c>
    </row>
    <row r="63" spans="1:4" ht="15" customHeight="1">
      <c r="A63" s="4">
        <v>2.2000000000000002</v>
      </c>
      <c r="B63" s="4">
        <v>4.2</v>
      </c>
      <c r="C63" s="4">
        <v>6.2</v>
      </c>
      <c r="D63" s="4">
        <f t="shared" si="1"/>
        <v>-13025.291368113643</v>
      </c>
    </row>
    <row r="64" spans="1:4" ht="15" customHeight="1">
      <c r="A64" s="4">
        <v>2.4</v>
      </c>
      <c r="B64" s="4">
        <v>4.4000000000000004</v>
      </c>
      <c r="C64" s="4">
        <v>6.4</v>
      </c>
      <c r="D64" s="4">
        <f t="shared" si="1"/>
        <v>-17021.660327500151</v>
      </c>
    </row>
    <row r="65" spans="1:4" ht="15" customHeight="1">
      <c r="A65" s="4">
        <v>2.6</v>
      </c>
      <c r="B65" s="4">
        <v>4.5999999999999996</v>
      </c>
      <c r="C65" s="4">
        <v>6.6</v>
      </c>
      <c r="D65" s="4">
        <f t="shared" si="1"/>
        <v>-21926.683908472536</v>
      </c>
    </row>
    <row r="66" spans="1:4" ht="15" customHeight="1">
      <c r="A66" s="4">
        <v>2.8</v>
      </c>
      <c r="B66" s="4">
        <v>4.8</v>
      </c>
      <c r="C66" s="4">
        <v>6.8</v>
      </c>
      <c r="D66" s="4">
        <f t="shared" ref="D66:D97" si="2">(SQRT(ABS(A66-B66-C66))-A66*B66*C66)*(1+C66^3)</f>
        <v>-27892.238815527373</v>
      </c>
    </row>
    <row r="67" spans="1:4" ht="15" customHeight="1">
      <c r="A67" s="4">
        <v>3</v>
      </c>
      <c r="B67" s="4">
        <v>5</v>
      </c>
      <c r="C67" s="4">
        <v>7</v>
      </c>
      <c r="D67" s="4">
        <f t="shared" si="2"/>
        <v>-35088</v>
      </c>
    </row>
    <row r="68" spans="1:4" ht="15" customHeight="1">
      <c r="A68" s="4">
        <v>3.2</v>
      </c>
      <c r="B68" s="4">
        <v>5.2</v>
      </c>
      <c r="C68" s="4">
        <v>7.2</v>
      </c>
      <c r="D68" s="4">
        <f t="shared" si="2"/>
        <v>-43702.753996325846</v>
      </c>
    </row>
    <row r="69" spans="1:4" ht="15" customHeight="1">
      <c r="A69" s="4">
        <v>3.4</v>
      </c>
      <c r="B69" s="4">
        <v>5.4</v>
      </c>
      <c r="C69" s="4">
        <v>7.4</v>
      </c>
      <c r="D69" s="4">
        <f t="shared" si="2"/>
        <v>-53945.758336004117</v>
      </c>
    </row>
    <row r="70" spans="1:4" ht="15" customHeight="1">
      <c r="A70" s="4">
        <v>3.6</v>
      </c>
      <c r="B70" s="4">
        <v>5.6</v>
      </c>
      <c r="C70" s="4">
        <v>7.6</v>
      </c>
      <c r="D70" s="4">
        <f t="shared" si="2"/>
        <v>-66048.147039415227</v>
      </c>
    </row>
    <row r="71" spans="1:4" ht="15" customHeight="1">
      <c r="A71" s="4">
        <v>3.8</v>
      </c>
      <c r="B71" s="4">
        <v>5.8</v>
      </c>
      <c r="C71" s="4">
        <v>7.8</v>
      </c>
      <c r="D71" s="4">
        <f t="shared" si="2"/>
        <v>-80264.382185629613</v>
      </c>
    </row>
    <row r="72" spans="1:4" ht="15" customHeight="1">
      <c r="A72" s="4">
        <v>4</v>
      </c>
      <c r="B72" s="4">
        <v>6</v>
      </c>
      <c r="C72" s="4">
        <v>8</v>
      </c>
      <c r="D72" s="4">
        <f t="shared" si="2"/>
        <v>-96873.751560333621</v>
      </c>
    </row>
    <row r="73" spans="1:4" ht="15" customHeight="1">
      <c r="A73" s="4">
        <v>4.2</v>
      </c>
      <c r="B73" s="4">
        <v>6.2</v>
      </c>
      <c r="C73" s="4">
        <v>8.1999999999999993</v>
      </c>
      <c r="D73" s="4">
        <f t="shared" si="2"/>
        <v>-116181.91238198757</v>
      </c>
    </row>
    <row r="74" spans="1:4" ht="15" customHeight="1">
      <c r="A74" s="4">
        <v>4.4000000000000004</v>
      </c>
      <c r="B74" s="4">
        <v>6.4</v>
      </c>
      <c r="C74" s="4">
        <v>8.4</v>
      </c>
      <c r="D74" s="4">
        <f t="shared" si="2"/>
        <v>-138522.48110632171</v>
      </c>
    </row>
    <row r="75" spans="1:4" ht="15" customHeight="1">
      <c r="A75" s="4">
        <v>4.5999999999999996</v>
      </c>
      <c r="B75" s="4">
        <v>6.6</v>
      </c>
      <c r="C75" s="4">
        <v>8.6</v>
      </c>
      <c r="D75" s="4">
        <f t="shared" si="2"/>
        <v>-164258.66930926617</v>
      </c>
    </row>
    <row r="76" spans="1:4" ht="15" customHeight="1">
      <c r="A76" s="4">
        <v>4.8</v>
      </c>
      <c r="B76" s="4">
        <v>6.8</v>
      </c>
      <c r="C76" s="4">
        <v>8.8000000000000007</v>
      </c>
      <c r="D76" s="4">
        <f t="shared" si="2"/>
        <v>-193784.9656484061</v>
      </c>
    </row>
    <row r="77" spans="1:4" ht="15" customHeight="1">
      <c r="A77" s="4">
        <v>5</v>
      </c>
      <c r="B77" s="4">
        <v>7</v>
      </c>
      <c r="C77" s="4">
        <v>9</v>
      </c>
      <c r="D77" s="4">
        <f t="shared" si="2"/>
        <v>-227528.86390304056</v>
      </c>
    </row>
    <row r="78" spans="1:4" ht="15" customHeight="1">
      <c r="A78" s="4">
        <v>5.2</v>
      </c>
      <c r="B78" s="4">
        <v>7.2</v>
      </c>
      <c r="C78" s="4">
        <v>9.1999999999999993</v>
      </c>
      <c r="D78" s="4">
        <f t="shared" si="2"/>
        <v>-265952.63709292671</v>
      </c>
    </row>
    <row r="79" spans="1:4" ht="15" customHeight="1">
      <c r="A79" s="4">
        <v>5.4</v>
      </c>
      <c r="B79" s="4">
        <v>7.4</v>
      </c>
      <c r="C79" s="4">
        <v>9.4</v>
      </c>
      <c r="D79" s="4">
        <f t="shared" si="2"/>
        <v>-309555.15767577436</v>
      </c>
    </row>
    <row r="80" spans="1:4" ht="15" customHeight="1">
      <c r="A80" s="4">
        <v>5.6</v>
      </c>
      <c r="B80" s="4">
        <v>7.6</v>
      </c>
      <c r="C80" s="4">
        <v>9.6</v>
      </c>
      <c r="D80" s="4">
        <f t="shared" si="2"/>
        <v>-358873.76382355794</v>
      </c>
    </row>
    <row r="81" spans="1:4" ht="15" customHeight="1">
      <c r="A81" s="4">
        <v>5.8</v>
      </c>
      <c r="B81" s="4">
        <v>7.8</v>
      </c>
      <c r="C81" s="4">
        <v>9.8000000000000007</v>
      </c>
      <c r="D81" s="4">
        <f t="shared" si="2"/>
        <v>-414486.17177771038</v>
      </c>
    </row>
    <row r="82" spans="1:4" ht="15" customHeight="1">
      <c r="A82" s="4">
        <v>6</v>
      </c>
      <c r="B82" s="4">
        <v>8</v>
      </c>
      <c r="C82" s="4">
        <v>10</v>
      </c>
      <c r="D82" s="4">
        <f t="shared" si="2"/>
        <v>-477012.4342832471</v>
      </c>
    </row>
    <row r="83" spans="1:4" ht="15" customHeight="1">
      <c r="A83" s="4">
        <v>6.2</v>
      </c>
      <c r="B83" s="4">
        <v>8.1999999999999993</v>
      </c>
      <c r="C83" s="4">
        <v>10.199999999999999</v>
      </c>
      <c r="D83" s="4">
        <f t="shared" si="2"/>
        <v>-547116.94510188117</v>
      </c>
    </row>
    <row r="84" spans="1:4" ht="15" customHeight="1">
      <c r="A84" s="4">
        <v>6.4</v>
      </c>
      <c r="B84" s="4">
        <v>8.4</v>
      </c>
      <c r="C84" s="4">
        <v>10.4</v>
      </c>
      <c r="D84" s="4">
        <f t="shared" si="2"/>
        <v>-625510.48960417311</v>
      </c>
    </row>
    <row r="85" spans="1:4" ht="15" customHeight="1">
      <c r="A85" s="4">
        <v>6.6</v>
      </c>
      <c r="B85" s="4">
        <v>8.6</v>
      </c>
      <c r="C85" s="4">
        <v>10.6</v>
      </c>
      <c r="D85" s="4">
        <f t="shared" si="2"/>
        <v>-712952.34144076111</v>
      </c>
    </row>
    <row r="86" spans="1:4" ht="15" customHeight="1">
      <c r="A86" s="4">
        <v>6.8</v>
      </c>
      <c r="B86" s="4">
        <v>8.8000000000000007</v>
      </c>
      <c r="C86" s="4">
        <v>10.8</v>
      </c>
      <c r="D86" s="4">
        <f t="shared" si="2"/>
        <v>-810252.40529272065</v>
      </c>
    </row>
    <row r="87" spans="1:4" ht="15" customHeight="1">
      <c r="A87" s="4">
        <v>7</v>
      </c>
      <c r="B87" s="4">
        <v>9</v>
      </c>
      <c r="C87" s="4">
        <v>11</v>
      </c>
      <c r="D87" s="4">
        <f t="shared" si="2"/>
        <v>-918273.40570108197</v>
      </c>
    </row>
    <row r="88" spans="1:4" ht="15" customHeight="1">
      <c r="A88" s="4">
        <v>7.2</v>
      </c>
      <c r="B88" s="4">
        <v>9.1999999999999993</v>
      </c>
      <c r="C88" s="4">
        <v>11.2</v>
      </c>
      <c r="D88" s="4">
        <f t="shared" si="2"/>
        <v>-1037933.1219755569</v>
      </c>
    </row>
    <row r="89" spans="1:4" ht="15" customHeight="1">
      <c r="A89" s="4">
        <v>7.4</v>
      </c>
      <c r="B89" s="4">
        <v>9.4</v>
      </c>
      <c r="C89" s="4">
        <v>11.4</v>
      </c>
      <c r="D89" s="4">
        <f t="shared" si="2"/>
        <v>-1170206.6691824994</v>
      </c>
    </row>
    <row r="90" spans="1:4" ht="15" customHeight="1">
      <c r="A90" s="4">
        <v>7.6</v>
      </c>
      <c r="B90" s="4">
        <v>9.6</v>
      </c>
      <c r="C90" s="4">
        <v>11.6</v>
      </c>
      <c r="D90" s="4">
        <f t="shared" si="2"/>
        <v>-1316128.8252121327</v>
      </c>
    </row>
    <row r="91" spans="1:4" ht="15" customHeight="1">
      <c r="A91" s="4">
        <v>7.8</v>
      </c>
      <c r="B91" s="4">
        <v>9.8000000000000007</v>
      </c>
      <c r="C91" s="4">
        <v>11.8</v>
      </c>
      <c r="D91" s="4">
        <f t="shared" si="2"/>
        <v>-1476796.4039250892</v>
      </c>
    </row>
    <row r="92" spans="1:4" ht="15" customHeight="1">
      <c r="A92" s="4">
        <v>8</v>
      </c>
      <c r="B92" s="4">
        <v>10</v>
      </c>
      <c r="C92" s="4">
        <v>12</v>
      </c>
      <c r="D92" s="4">
        <f t="shared" si="2"/>
        <v>-1653370.674378268</v>
      </c>
    </row>
    <row r="93" spans="1:4" ht="15" customHeight="1">
      <c r="A93" s="4">
        <v>8.1999999999999993</v>
      </c>
      <c r="B93" s="4">
        <v>10.199999999999999</v>
      </c>
      <c r="C93" s="4">
        <v>12.2</v>
      </c>
      <c r="D93" s="4">
        <f t="shared" si="2"/>
        <v>-1847079.8261300602</v>
      </c>
    </row>
    <row r="94" spans="1:4" ht="15" customHeight="1">
      <c r="A94" s="4">
        <v>8.4</v>
      </c>
      <c r="B94" s="4">
        <v>10.4</v>
      </c>
      <c r="C94" s="4">
        <v>12.4</v>
      </c>
      <c r="D94" s="4">
        <f t="shared" si="2"/>
        <v>-2059221.4806249591</v>
      </c>
    </row>
    <row r="95" spans="1:4" ht="15" customHeight="1">
      <c r="A95" s="4">
        <v>8.6</v>
      </c>
      <c r="B95" s="4">
        <v>10.6</v>
      </c>
      <c r="C95" s="4">
        <v>12.6</v>
      </c>
      <c r="D95" s="4">
        <f t="shared" si="2"/>
        <v>-2291165.2486575646</v>
      </c>
    </row>
    <row r="96" spans="1:4" ht="15" customHeight="1">
      <c r="A96" s="4">
        <v>8.8000000000000007</v>
      </c>
      <c r="B96" s="4">
        <v>10.8</v>
      </c>
      <c r="C96" s="4">
        <v>12.8</v>
      </c>
      <c r="D96" s="4">
        <f t="shared" si="2"/>
        <v>-2544355.3339160485</v>
      </c>
    </row>
    <row r="97" spans="1:4" ht="15" customHeight="1">
      <c r="A97" s="4">
        <v>9</v>
      </c>
      <c r="B97" s="4">
        <v>11</v>
      </c>
      <c r="C97" s="4">
        <v>13</v>
      </c>
      <c r="D97" s="4">
        <f t="shared" si="2"/>
        <v>-2820313.1826050365</v>
      </c>
    </row>
    <row r="98" spans="1:4" ht="15" customHeight="1">
      <c r="A98" s="4">
        <v>9.1999999999999993</v>
      </c>
      <c r="B98" s="4">
        <v>11.2</v>
      </c>
      <c r="C98" s="4">
        <v>13.2</v>
      </c>
      <c r="D98" s="4">
        <f t="shared" ref="D98:D102" si="3">(SQRT(ABS(A98-B98-C98))-A98*B98*C98)*(1+C98^3)</f>
        <v>-3120640.1791480053</v>
      </c>
    </row>
    <row r="99" spans="1:4" ht="15" customHeight="1">
      <c r="A99" s="4">
        <v>9.4</v>
      </c>
      <c r="B99" s="4">
        <v>11.4</v>
      </c>
      <c r="C99" s="4">
        <v>13.4</v>
      </c>
      <c r="D99" s="4">
        <f t="shared" si="3"/>
        <v>-3447020.3879691442</v>
      </c>
    </row>
    <row r="100" spans="1:4" ht="15" customHeight="1">
      <c r="A100" s="4">
        <v>9.6</v>
      </c>
      <c r="B100" s="4">
        <v>11.6</v>
      </c>
      <c r="C100" s="4">
        <v>13.6</v>
      </c>
      <c r="D100" s="4">
        <f t="shared" si="3"/>
        <v>-3801223.3413547371</v>
      </c>
    </row>
    <row r="101" spans="1:4" ht="15" customHeight="1">
      <c r="A101" s="4">
        <v>9.8000000000000007</v>
      </c>
      <c r="B101" s="4">
        <v>11.8</v>
      </c>
      <c r="C101" s="4">
        <v>13.8</v>
      </c>
      <c r="D101" s="4">
        <f t="shared" si="3"/>
        <v>-4185106.8733940958</v>
      </c>
    </row>
    <row r="102" spans="1:4" ht="15" customHeight="1">
      <c r="A102" s="4">
        <v>10</v>
      </c>
      <c r="B102" s="4">
        <v>12</v>
      </c>
      <c r="C102" s="4">
        <v>14</v>
      </c>
      <c r="D102" s="4">
        <f t="shared" si="3"/>
        <v>-4600620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32"/>
  <dimension ref="A1:D102"/>
  <sheetViews>
    <sheetView zoomScaleNormal="100" workbookViewId="0">
      <selection activeCellId="3" sqref="D1:D1048576 C1:C1048576 B1:B1048576 A1:A1048576"/>
    </sheetView>
  </sheetViews>
  <sheetFormatPr defaultColWidth="8.7109375" defaultRowHeight="15"/>
  <cols>
    <col min="1" max="3" width="8" customWidth="1"/>
    <col min="4" max="4" width="22" customWidth="1"/>
  </cols>
  <sheetData>
    <row r="1" spans="1:4" ht="15" customHeight="1">
      <c r="A1" s="3" t="s">
        <v>3</v>
      </c>
      <c r="B1" s="3" t="s">
        <v>4</v>
      </c>
      <c r="C1" s="3" t="s">
        <v>2</v>
      </c>
      <c r="D1" s="3" t="s">
        <v>16</v>
      </c>
    </row>
    <row r="2" spans="1:4" ht="15" customHeight="1">
      <c r="A2" s="4">
        <v>-10</v>
      </c>
      <c r="B2" s="4">
        <v>-8</v>
      </c>
      <c r="C2" s="4">
        <v>-6</v>
      </c>
      <c r="D2" s="4">
        <f t="shared" ref="D2:D33" si="0">(5*C2)/(B2^3+A2^2+C2^3)-C2^2-1</f>
        <v>-36.952229299363054</v>
      </c>
    </row>
    <row r="3" spans="1:4" ht="15" customHeight="1">
      <c r="A3" s="4">
        <v>-9.8000000000000007</v>
      </c>
      <c r="B3" s="4">
        <v>-7.8</v>
      </c>
      <c r="C3" s="4">
        <v>-5.8</v>
      </c>
      <c r="D3" s="4">
        <f t="shared" si="0"/>
        <v>-34.58944423524818</v>
      </c>
    </row>
    <row r="4" spans="1:4" ht="15" customHeight="1">
      <c r="A4" s="4">
        <v>-9.6</v>
      </c>
      <c r="B4" s="4">
        <v>-7.6</v>
      </c>
      <c r="C4" s="4">
        <v>-5.6</v>
      </c>
      <c r="D4" s="4">
        <f t="shared" si="0"/>
        <v>-32.306404508146514</v>
      </c>
    </row>
    <row r="5" spans="1:4" ht="15" customHeight="1">
      <c r="A5" s="4">
        <v>-9.4</v>
      </c>
      <c r="B5" s="4">
        <v>-7.4</v>
      </c>
      <c r="C5" s="4">
        <v>-5.4</v>
      </c>
      <c r="D5" s="4">
        <f t="shared" si="0"/>
        <v>-30.103077364186809</v>
      </c>
    </row>
    <row r="6" spans="1:4" ht="15" customHeight="1">
      <c r="A6" s="4">
        <v>-9.1999999999999993</v>
      </c>
      <c r="B6" s="4">
        <v>-7.2</v>
      </c>
      <c r="C6" s="4">
        <v>-5.2</v>
      </c>
      <c r="D6" s="4">
        <f t="shared" si="0"/>
        <v>-27.979424438977116</v>
      </c>
    </row>
    <row r="7" spans="1:4" ht="15" customHeight="1">
      <c r="A7" s="4">
        <v>-9</v>
      </c>
      <c r="B7" s="4">
        <v>-7</v>
      </c>
      <c r="C7" s="4">
        <v>-5</v>
      </c>
      <c r="D7" s="4">
        <f t="shared" si="0"/>
        <v>-25.935400516795866</v>
      </c>
    </row>
    <row r="8" spans="1:4" ht="15" customHeight="1">
      <c r="A8" s="4">
        <v>-8.8000000000000007</v>
      </c>
      <c r="B8" s="4">
        <v>-6.8</v>
      </c>
      <c r="C8" s="4">
        <v>-4.8</v>
      </c>
      <c r="D8" s="4">
        <f t="shared" si="0"/>
        <v>-23.970951942552016</v>
      </c>
    </row>
    <row r="9" spans="1:4" ht="15" customHeight="1">
      <c r="A9" s="4">
        <v>-8.6</v>
      </c>
      <c r="B9" s="4">
        <v>-6.6</v>
      </c>
      <c r="C9" s="4">
        <v>-4.5999999999999996</v>
      </c>
      <c r="D9" s="4">
        <f t="shared" si="0"/>
        <v>-22.086014565480323</v>
      </c>
    </row>
    <row r="10" spans="1:4" ht="15" customHeight="1">
      <c r="A10" s="4">
        <v>-8.4</v>
      </c>
      <c r="B10" s="4">
        <v>-6.4</v>
      </c>
      <c r="C10" s="4">
        <v>-4.4000000000000004</v>
      </c>
      <c r="D10" s="4">
        <f t="shared" si="0"/>
        <v>-20.280511041738933</v>
      </c>
    </row>
    <row r="11" spans="1:4" ht="15" customHeight="1">
      <c r="A11" s="4">
        <v>-8.1999999999999993</v>
      </c>
      <c r="B11" s="4">
        <v>-6.2</v>
      </c>
      <c r="C11" s="4">
        <v>-4.2</v>
      </c>
      <c r="D11" s="4">
        <f t="shared" si="0"/>
        <v>-18.554347244428492</v>
      </c>
    </row>
    <row r="12" spans="1:4" ht="15" customHeight="1">
      <c r="A12" s="4">
        <v>-8</v>
      </c>
      <c r="B12" s="4">
        <v>-6</v>
      </c>
      <c r="C12" s="4">
        <v>-4</v>
      </c>
      <c r="D12" s="4">
        <f t="shared" si="0"/>
        <v>-16.907407407407405</v>
      </c>
    </row>
    <row r="13" spans="1:4" ht="15" customHeight="1">
      <c r="A13" s="4">
        <v>-7.8</v>
      </c>
      <c r="B13" s="4">
        <v>-5.8</v>
      </c>
      <c r="C13" s="4">
        <v>-3.8</v>
      </c>
      <c r="D13" s="4">
        <f t="shared" si="0"/>
        <v>-15.339547434758702</v>
      </c>
    </row>
    <row r="14" spans="1:4" ht="15" customHeight="1">
      <c r="A14" s="4">
        <v>-7.6</v>
      </c>
      <c r="B14" s="4">
        <v>-5.6</v>
      </c>
      <c r="C14" s="4">
        <v>-3.6</v>
      </c>
      <c r="D14" s="4">
        <f t="shared" si="0"/>
        <v>-13.850585489204436</v>
      </c>
    </row>
    <row r="15" spans="1:4" ht="15" customHeight="1">
      <c r="A15" s="4">
        <v>-7.4</v>
      </c>
      <c r="B15" s="4">
        <v>-5.4</v>
      </c>
      <c r="C15" s="4">
        <v>-3.4</v>
      </c>
      <c r="D15" s="4">
        <f t="shared" si="0"/>
        <v>-12.440288434454395</v>
      </c>
    </row>
    <row r="16" spans="1:4" ht="15" customHeight="1">
      <c r="A16" s="4">
        <v>-7.2</v>
      </c>
      <c r="B16" s="4">
        <v>-5.2</v>
      </c>
      <c r="C16" s="4">
        <v>-3.2</v>
      </c>
      <c r="D16" s="4">
        <f t="shared" si="0"/>
        <v>-11.108351764086363</v>
      </c>
    </row>
    <row r="17" spans="1:4" ht="15" customHeight="1">
      <c r="A17" s="4">
        <v>-7</v>
      </c>
      <c r="B17" s="4">
        <v>-5</v>
      </c>
      <c r="C17" s="4">
        <v>-3</v>
      </c>
      <c r="D17" s="4">
        <f t="shared" si="0"/>
        <v>-9.8543689320388346</v>
      </c>
    </row>
    <row r="18" spans="1:4" ht="15" customHeight="1">
      <c r="A18" s="4">
        <v>-6.8</v>
      </c>
      <c r="B18" s="4">
        <v>-4.8</v>
      </c>
      <c r="C18" s="4">
        <v>-2.8</v>
      </c>
      <c r="D18" s="4">
        <f t="shared" si="0"/>
        <v>-8.677782721542453</v>
      </c>
    </row>
    <row r="19" spans="1:4" ht="15" customHeight="1">
      <c r="A19" s="4">
        <v>-6.6</v>
      </c>
      <c r="B19" s="4">
        <v>-4.5999999999999996</v>
      </c>
      <c r="C19" s="4">
        <v>-2.6</v>
      </c>
      <c r="D19" s="4">
        <f t="shared" si="0"/>
        <v>-7.5778046866240611</v>
      </c>
    </row>
    <row r="20" spans="1:4" ht="15" customHeight="1">
      <c r="A20" s="4">
        <v>-6.4</v>
      </c>
      <c r="B20" s="4">
        <v>-4.4000000000000004</v>
      </c>
      <c r="C20" s="4">
        <v>-2.4</v>
      </c>
      <c r="D20" s="4">
        <f t="shared" si="0"/>
        <v>-6.5532745314222707</v>
      </c>
    </row>
    <row r="21" spans="1:4" ht="15" customHeight="1">
      <c r="A21" s="4">
        <v>-6.2</v>
      </c>
      <c r="B21" s="4">
        <v>-4.2</v>
      </c>
      <c r="C21" s="4">
        <v>-2.2000000000000002</v>
      </c>
      <c r="D21" s="4">
        <f t="shared" si="0"/>
        <v>-5.6023984793502688</v>
      </c>
    </row>
    <row r="22" spans="1:4" ht="15" customHeight="1">
      <c r="A22" s="4">
        <v>-6</v>
      </c>
      <c r="B22" s="4">
        <v>-4</v>
      </c>
      <c r="C22" s="4">
        <v>-2</v>
      </c>
      <c r="D22" s="4">
        <f t="shared" si="0"/>
        <v>-4.7222222222222223</v>
      </c>
    </row>
    <row r="23" spans="1:4" ht="15" customHeight="1">
      <c r="A23" s="4">
        <v>-5.8</v>
      </c>
      <c r="B23" s="4">
        <v>-3.8</v>
      </c>
      <c r="C23" s="4">
        <v>-1.8</v>
      </c>
      <c r="D23" s="4">
        <f t="shared" si="0"/>
        <v>-3.9074549216671595</v>
      </c>
    </row>
    <row r="24" spans="1:4" ht="15" customHeight="1">
      <c r="A24" s="4">
        <v>-5.6</v>
      </c>
      <c r="B24" s="4">
        <v>-3.6</v>
      </c>
      <c r="C24" s="4">
        <v>-1.6</v>
      </c>
      <c r="D24" s="4">
        <f t="shared" si="0"/>
        <v>-3.1474587458745882</v>
      </c>
    </row>
    <row r="25" spans="1:4" ht="15" customHeight="1">
      <c r="A25" s="4">
        <v>-5.4</v>
      </c>
      <c r="B25" s="4">
        <v>-3.4</v>
      </c>
      <c r="C25" s="4">
        <v>-1.4</v>
      </c>
      <c r="D25" s="4">
        <f t="shared" si="0"/>
        <v>-2.4168590937306016</v>
      </c>
    </row>
    <row r="26" spans="1:4" ht="15" customHeight="1">
      <c r="A26" s="4">
        <v>-5.2</v>
      </c>
      <c r="B26" s="4">
        <v>-3.2</v>
      </c>
      <c r="C26" s="4">
        <v>-1.2</v>
      </c>
      <c r="D26" s="4">
        <f t="shared" si="0"/>
        <v>-1.635278969957082</v>
      </c>
    </row>
    <row r="27" spans="1:4" ht="15" customHeight="1">
      <c r="A27" s="4">
        <v>-5</v>
      </c>
      <c r="B27" s="4">
        <v>-3</v>
      </c>
      <c r="C27" s="4">
        <v>-1</v>
      </c>
      <c r="D27" s="4">
        <f t="shared" si="0"/>
        <v>-0.33333333333333326</v>
      </c>
    </row>
    <row r="28" spans="1:4" ht="15" customHeight="1">
      <c r="A28" s="4">
        <v>-4.8</v>
      </c>
      <c r="B28" s="4">
        <v>-2.8</v>
      </c>
      <c r="C28" s="4">
        <v>-0.8</v>
      </c>
      <c r="D28" s="4">
        <f t="shared" si="0"/>
        <v>-8.5844444444443919</v>
      </c>
    </row>
    <row r="29" spans="1:4" ht="15" customHeight="1">
      <c r="A29" s="4">
        <v>-4.5999999999999996</v>
      </c>
      <c r="B29" s="4">
        <v>-2.6</v>
      </c>
      <c r="C29" s="4">
        <v>-0.6</v>
      </c>
      <c r="D29" s="4">
        <f t="shared" si="0"/>
        <v>-2.2507363420427575</v>
      </c>
    </row>
    <row r="30" spans="1:4" ht="15" customHeight="1">
      <c r="A30" s="4">
        <v>-4.4000000000000004</v>
      </c>
      <c r="B30" s="4">
        <v>-2.4</v>
      </c>
      <c r="C30" s="4">
        <v>-0.4</v>
      </c>
      <c r="D30" s="4">
        <f t="shared" si="0"/>
        <v>-1.5254970760233917</v>
      </c>
    </row>
    <row r="31" spans="1:4" ht="15" customHeight="1">
      <c r="A31" s="4">
        <v>-4.2</v>
      </c>
      <c r="B31" s="4">
        <v>-2.2000000000000002</v>
      </c>
      <c r="C31" s="4">
        <v>-0.2</v>
      </c>
      <c r="D31" s="4">
        <f t="shared" si="0"/>
        <v>-1.183184421534937</v>
      </c>
    </row>
    <row r="32" spans="1:4" ht="15" customHeight="1">
      <c r="A32" s="4">
        <v>-4</v>
      </c>
      <c r="B32" s="4">
        <v>-2</v>
      </c>
      <c r="C32" s="4">
        <v>0</v>
      </c>
      <c r="D32" s="4">
        <f t="shared" si="0"/>
        <v>-1</v>
      </c>
    </row>
    <row r="33" spans="1:4" ht="15" customHeight="1">
      <c r="A33" s="4">
        <v>-3.8</v>
      </c>
      <c r="B33" s="4">
        <v>-1.8</v>
      </c>
      <c r="C33" s="4">
        <v>0.2</v>
      </c>
      <c r="D33" s="4">
        <f t="shared" si="0"/>
        <v>-0.92393686165273903</v>
      </c>
    </row>
    <row r="34" spans="1:4" ht="15" customHeight="1">
      <c r="A34" s="4">
        <v>-3.6</v>
      </c>
      <c r="B34" s="4">
        <v>-1.6</v>
      </c>
      <c r="C34" s="4">
        <v>0.4</v>
      </c>
      <c r="D34" s="4">
        <f t="shared" ref="D34:D65" si="1">(5*C34)/(B34^3+A34^2+C34^3)-C34^2-1</f>
        <v>-0.93598566308243736</v>
      </c>
    </row>
    <row r="35" spans="1:4" ht="15" customHeight="1">
      <c r="A35" s="4">
        <v>-3.4</v>
      </c>
      <c r="B35" s="4">
        <v>-1.4</v>
      </c>
      <c r="C35" s="4">
        <v>0.6</v>
      </c>
      <c r="D35" s="4">
        <f t="shared" si="1"/>
        <v>-1.0278476527900797</v>
      </c>
    </row>
    <row r="36" spans="1:4" ht="15" customHeight="1">
      <c r="A36" s="4">
        <v>-3.2</v>
      </c>
      <c r="B36" s="4">
        <v>-1.2</v>
      </c>
      <c r="C36" s="4">
        <v>0.8</v>
      </c>
      <c r="D36" s="4">
        <f t="shared" si="1"/>
        <v>-1.1967375886524825</v>
      </c>
    </row>
    <row r="37" spans="1:4" ht="15" customHeight="1">
      <c r="A37" s="4">
        <v>-3</v>
      </c>
      <c r="B37" s="4">
        <v>-1</v>
      </c>
      <c r="C37" s="4">
        <v>1</v>
      </c>
      <c r="D37" s="4">
        <f t="shared" si="1"/>
        <v>-1.4444444444444444</v>
      </c>
    </row>
    <row r="38" spans="1:4" ht="15" customHeight="1">
      <c r="A38" s="4">
        <v>-2.8</v>
      </c>
      <c r="B38" s="4">
        <v>-0.8</v>
      </c>
      <c r="C38" s="4">
        <v>1.2</v>
      </c>
      <c r="D38" s="4">
        <f t="shared" si="1"/>
        <v>-1.7774558303886925</v>
      </c>
    </row>
    <row r="39" spans="1:4" ht="15" customHeight="1">
      <c r="A39" s="4">
        <v>-2.6</v>
      </c>
      <c r="B39" s="4">
        <v>-0.6</v>
      </c>
      <c r="C39" s="4">
        <v>1.4</v>
      </c>
      <c r="D39" s="4">
        <f t="shared" si="1"/>
        <v>-2.206339362618432</v>
      </c>
    </row>
    <row r="40" spans="1:4" ht="15" customHeight="1">
      <c r="A40" s="4">
        <v>-2.4</v>
      </c>
      <c r="B40" s="4">
        <v>-0.4</v>
      </c>
      <c r="C40" s="4">
        <v>1.6</v>
      </c>
      <c r="D40" s="4">
        <f t="shared" si="1"/>
        <v>-2.7430065359477132</v>
      </c>
    </row>
    <row r="41" spans="1:4" ht="15" customHeight="1">
      <c r="A41" s="4">
        <v>-2.2000000000000002</v>
      </c>
      <c r="B41" s="4">
        <v>-0.2</v>
      </c>
      <c r="C41" s="4">
        <v>1.8</v>
      </c>
      <c r="D41" s="4">
        <f t="shared" si="1"/>
        <v>-3.3960390097524384</v>
      </c>
    </row>
    <row r="42" spans="1:4" ht="15" customHeight="1">
      <c r="A42" s="4">
        <v>-2</v>
      </c>
      <c r="B42" s="4">
        <v>0</v>
      </c>
      <c r="C42" s="4">
        <v>2</v>
      </c>
      <c r="D42" s="4">
        <f t="shared" si="1"/>
        <v>-4.1666666666666661</v>
      </c>
    </row>
    <row r="43" spans="1:4" ht="15" customHeight="1">
      <c r="A43" s="4">
        <v>-1.8</v>
      </c>
      <c r="B43" s="4">
        <v>0.2</v>
      </c>
      <c r="C43" s="4">
        <v>2.2000000000000002</v>
      </c>
      <c r="D43" s="4">
        <f t="shared" si="1"/>
        <v>-5.0484052964881991</v>
      </c>
    </row>
    <row r="44" spans="1:4" ht="15" customHeight="1">
      <c r="A44" s="4">
        <v>-1.6</v>
      </c>
      <c r="B44" s="4">
        <v>0.4</v>
      </c>
      <c r="C44" s="4">
        <v>2.4</v>
      </c>
      <c r="D44" s="4">
        <f t="shared" si="1"/>
        <v>-6.030428015564202</v>
      </c>
    </row>
    <row r="45" spans="1:4" ht="15" customHeight="1">
      <c r="A45" s="4">
        <v>-1.4</v>
      </c>
      <c r="B45" s="4">
        <v>0.6</v>
      </c>
      <c r="C45" s="4">
        <v>2.6</v>
      </c>
      <c r="D45" s="4">
        <f t="shared" si="1"/>
        <v>-7.101838801134063</v>
      </c>
    </row>
    <row r="46" spans="1:4" ht="15" customHeight="1">
      <c r="A46" s="4">
        <v>-1.2</v>
      </c>
      <c r="B46" s="4">
        <v>0.8</v>
      </c>
      <c r="C46" s="4">
        <v>2.8</v>
      </c>
      <c r="D46" s="4">
        <f t="shared" si="1"/>
        <v>-8.2543239625167324</v>
      </c>
    </row>
    <row r="47" spans="1:4" ht="15" customHeight="1">
      <c r="A47" s="4">
        <v>-1</v>
      </c>
      <c r="B47" s="4">
        <v>1</v>
      </c>
      <c r="C47" s="4">
        <v>3</v>
      </c>
      <c r="D47" s="4">
        <f t="shared" si="1"/>
        <v>-9.4827586206896548</v>
      </c>
    </row>
    <row r="48" spans="1:4" ht="15" customHeight="1">
      <c r="A48" s="4">
        <v>-0.8</v>
      </c>
      <c r="B48" s="4">
        <v>1.2</v>
      </c>
      <c r="C48" s="4">
        <v>3.2</v>
      </c>
      <c r="D48" s="4">
        <f t="shared" si="1"/>
        <v>-10.784626593806923</v>
      </c>
    </row>
    <row r="49" spans="1:4" ht="15" customHeight="1">
      <c r="A49" s="4">
        <v>-0.6</v>
      </c>
      <c r="B49" s="4">
        <v>1.4</v>
      </c>
      <c r="C49" s="4">
        <v>3.4</v>
      </c>
      <c r="D49" s="4">
        <f t="shared" si="1"/>
        <v>-12.159132239200149</v>
      </c>
    </row>
    <row r="50" spans="1:4" ht="15" customHeight="1">
      <c r="A50" s="4">
        <v>-0.4</v>
      </c>
      <c r="B50" s="4">
        <v>1.6</v>
      </c>
      <c r="C50" s="4">
        <v>3.6</v>
      </c>
      <c r="D50" s="4">
        <f t="shared" si="1"/>
        <v>-13.606448774355751</v>
      </c>
    </row>
    <row r="51" spans="1:4" ht="15" customHeight="1">
      <c r="A51" s="4">
        <v>-0.2</v>
      </c>
      <c r="B51" s="4">
        <v>1.8</v>
      </c>
      <c r="C51" s="4">
        <v>3.8</v>
      </c>
      <c r="D51" s="4">
        <f t="shared" si="1"/>
        <v>-15.12721190570262</v>
      </c>
    </row>
    <row r="52" spans="1:4" ht="15" customHeight="1">
      <c r="A52" s="4">
        <v>0</v>
      </c>
      <c r="B52" s="4">
        <v>2</v>
      </c>
      <c r="C52" s="4">
        <v>4</v>
      </c>
      <c r="D52" s="4">
        <f t="shared" si="1"/>
        <v>-16.722222222222221</v>
      </c>
    </row>
    <row r="53" spans="1:4" ht="15" customHeight="1">
      <c r="A53" s="4">
        <v>0.2</v>
      </c>
      <c r="B53" s="4">
        <v>2.2000000000000002</v>
      </c>
      <c r="C53" s="4">
        <v>4.2</v>
      </c>
      <c r="D53" s="4">
        <f t="shared" si="1"/>
        <v>-18.392288383504766</v>
      </c>
    </row>
    <row r="54" spans="1:4" ht="15" customHeight="1">
      <c r="A54" s="4">
        <v>0.4</v>
      </c>
      <c r="B54" s="4">
        <v>2.4</v>
      </c>
      <c r="C54" s="4">
        <v>4.4000000000000004</v>
      </c>
      <c r="D54" s="4">
        <f t="shared" si="1"/>
        <v>-20.138154243304296</v>
      </c>
    </row>
    <row r="55" spans="1:4" ht="15" customHeight="1">
      <c r="A55" s="4">
        <v>0.6</v>
      </c>
      <c r="B55" s="4">
        <v>2.6</v>
      </c>
      <c r="C55" s="4">
        <v>4.5999999999999996</v>
      </c>
      <c r="D55" s="4">
        <f t="shared" si="1"/>
        <v>-21.960471927267676</v>
      </c>
    </row>
    <row r="56" spans="1:4" ht="15" customHeight="1">
      <c r="A56" s="4">
        <v>0.8</v>
      </c>
      <c r="B56" s="4">
        <v>2.8</v>
      </c>
      <c r="C56" s="4">
        <v>4.8</v>
      </c>
      <c r="D56" s="4">
        <f t="shared" si="1"/>
        <v>-23.859798173954829</v>
      </c>
    </row>
    <row r="57" spans="1:4" ht="15" customHeight="1">
      <c r="A57" s="4">
        <v>1</v>
      </c>
      <c r="B57" s="4">
        <v>3</v>
      </c>
      <c r="C57" s="4">
        <v>5</v>
      </c>
      <c r="D57" s="4">
        <f t="shared" si="1"/>
        <v>-25.836601307189543</v>
      </c>
    </row>
    <row r="58" spans="1:4" ht="15" customHeight="1">
      <c r="A58" s="4">
        <v>1.2</v>
      </c>
      <c r="B58" s="4">
        <v>3.2</v>
      </c>
      <c r="C58" s="4">
        <v>5.2</v>
      </c>
      <c r="D58" s="4">
        <f t="shared" si="1"/>
        <v>-27.891272194764785</v>
      </c>
    </row>
    <row r="59" spans="1:4" ht="15" customHeight="1">
      <c r="A59" s="4">
        <v>1.4</v>
      </c>
      <c r="B59" s="4">
        <v>3.4</v>
      </c>
      <c r="C59" s="4">
        <v>5.4</v>
      </c>
      <c r="D59" s="4">
        <f t="shared" si="1"/>
        <v>-30.024135904351681</v>
      </c>
    </row>
    <row r="60" spans="1:4" ht="15" customHeight="1">
      <c r="A60" s="4">
        <v>1.6</v>
      </c>
      <c r="B60" s="4">
        <v>3.6</v>
      </c>
      <c r="C60" s="4">
        <v>5.6</v>
      </c>
      <c r="D60" s="4">
        <f t="shared" si="1"/>
        <v>-32.235462567606035</v>
      </c>
    </row>
    <row r="61" spans="1:4" ht="15" customHeight="1">
      <c r="A61" s="4">
        <v>1.8</v>
      </c>
      <c r="B61" s="4">
        <v>3.8</v>
      </c>
      <c r="C61" s="4">
        <v>5.8</v>
      </c>
      <c r="D61" s="4">
        <f t="shared" si="1"/>
        <v>-34.525476890026219</v>
      </c>
    </row>
    <row r="62" spans="1:4" ht="15" customHeight="1">
      <c r="A62" s="4">
        <v>2</v>
      </c>
      <c r="B62" s="4">
        <v>4</v>
      </c>
      <c r="C62" s="4">
        <v>6</v>
      </c>
      <c r="D62" s="4">
        <f t="shared" si="1"/>
        <v>-36.894366197183096</v>
      </c>
    </row>
    <row r="63" spans="1:4" ht="15" customHeight="1">
      <c r="A63" s="4">
        <v>2.2000000000000002</v>
      </c>
      <c r="B63" s="4">
        <v>4.2</v>
      </c>
      <c r="C63" s="4">
        <v>6.2</v>
      </c>
      <c r="D63" s="4">
        <f t="shared" si="1"/>
        <v>-39.342287111985279</v>
      </c>
    </row>
    <row r="64" spans="1:4" ht="15" customHeight="1">
      <c r="A64" s="4">
        <v>2.4</v>
      </c>
      <c r="B64" s="4">
        <v>4.4000000000000004</v>
      </c>
      <c r="C64" s="4">
        <v>6.4</v>
      </c>
      <c r="D64" s="4">
        <f t="shared" si="1"/>
        <v>-41.869371034982791</v>
      </c>
    </row>
    <row r="65" spans="1:4" ht="15" customHeight="1">
      <c r="A65" s="4">
        <v>2.6</v>
      </c>
      <c r="B65" s="4">
        <v>4.5999999999999996</v>
      </c>
      <c r="C65" s="4">
        <v>6.6</v>
      </c>
      <c r="D65" s="4">
        <f t="shared" si="1"/>
        <v>-44.475728615497758</v>
      </c>
    </row>
    <row r="66" spans="1:4" ht="15" customHeight="1">
      <c r="A66" s="4">
        <v>2.8</v>
      </c>
      <c r="B66" s="4">
        <v>4.8</v>
      </c>
      <c r="C66" s="4">
        <v>6.8</v>
      </c>
      <c r="D66" s="4">
        <f t="shared" ref="D66:D97" si="2">(5*C66)/(B66^3+A66^2+C66^3)-C66^2-1</f>
        <v>-47.161453389517256</v>
      </c>
    </row>
    <row r="67" spans="1:4" ht="15" customHeight="1">
      <c r="A67" s="4">
        <v>3</v>
      </c>
      <c r="B67" s="4">
        <v>5</v>
      </c>
      <c r="C67" s="4">
        <v>7</v>
      </c>
      <c r="D67" s="4">
        <f t="shared" si="2"/>
        <v>-49.926624737945495</v>
      </c>
    </row>
    <row r="68" spans="1:4" ht="15" customHeight="1">
      <c r="A68" s="4">
        <v>3.2</v>
      </c>
      <c r="B68" s="4">
        <v>5.2</v>
      </c>
      <c r="C68" s="4">
        <v>7.2</v>
      </c>
      <c r="D68" s="4">
        <f t="shared" si="2"/>
        <v>-52.77131029429723</v>
      </c>
    </row>
    <row r="69" spans="1:4" ht="15" customHeight="1">
      <c r="A69" s="4">
        <v>3.4</v>
      </c>
      <c r="B69" s="4">
        <v>5.4</v>
      </c>
      <c r="C69" s="4">
        <v>7.4</v>
      </c>
      <c r="D69" s="4">
        <f t="shared" si="2"/>
        <v>-55.69556790794222</v>
      </c>
    </row>
    <row r="70" spans="1:4" ht="15" customHeight="1">
      <c r="A70" s="4">
        <v>3.6</v>
      </c>
      <c r="B70" s="4">
        <v>5.6</v>
      </c>
      <c r="C70" s="4">
        <v>7.6</v>
      </c>
      <c r="D70" s="4">
        <f t="shared" si="2"/>
        <v>-58.699447248992911</v>
      </c>
    </row>
    <row r="71" spans="1:4" ht="15" customHeight="1">
      <c r="A71" s="4">
        <v>3.8</v>
      </c>
      <c r="B71" s="4">
        <v>5.8</v>
      </c>
      <c r="C71" s="4">
        <v>7.8</v>
      </c>
      <c r="D71" s="4">
        <f t="shared" si="2"/>
        <v>-61.78299112415656</v>
      </c>
    </row>
    <row r="72" spans="1:4" ht="15" customHeight="1">
      <c r="A72" s="4">
        <v>4</v>
      </c>
      <c r="B72" s="4">
        <v>6</v>
      </c>
      <c r="C72" s="4">
        <v>8</v>
      </c>
      <c r="D72" s="4">
        <f t="shared" si="2"/>
        <v>-64.946236559139777</v>
      </c>
    </row>
    <row r="73" spans="1:4" ht="15" customHeight="1">
      <c r="A73" s="4">
        <v>4.2</v>
      </c>
      <c r="B73" s="4">
        <v>6.2</v>
      </c>
      <c r="C73" s="4">
        <v>8.1999999999999993</v>
      </c>
      <c r="D73" s="4">
        <f t="shared" si="2"/>
        <v>-68.189215692103403</v>
      </c>
    </row>
    <row r="74" spans="1:4" ht="15" customHeight="1">
      <c r="A74" s="4">
        <v>4.4000000000000004</v>
      </c>
      <c r="B74" s="4">
        <v>6.4</v>
      </c>
      <c r="C74" s="4">
        <v>8.4</v>
      </c>
      <c r="D74" s="4">
        <f t="shared" si="2"/>
        <v>-71.511956513781612</v>
      </c>
    </row>
    <row r="75" spans="1:4" ht="15" customHeight="1">
      <c r="A75" s="4">
        <v>4.5999999999999996</v>
      </c>
      <c r="B75" s="4">
        <v>6.6</v>
      </c>
      <c r="C75" s="4">
        <v>8.6</v>
      </c>
      <c r="D75" s="4">
        <f t="shared" si="2"/>
        <v>-74.914483482796868</v>
      </c>
    </row>
    <row r="76" spans="1:4" ht="15" customHeight="1">
      <c r="A76" s="4">
        <v>4.8</v>
      </c>
      <c r="B76" s="4">
        <v>6.8</v>
      </c>
      <c r="C76" s="4">
        <v>8.8000000000000007</v>
      </c>
      <c r="D76" s="4">
        <f t="shared" si="2"/>
        <v>-78.396818039067909</v>
      </c>
    </row>
    <row r="77" spans="1:4" ht="15" customHeight="1">
      <c r="A77" s="4">
        <v>5</v>
      </c>
      <c r="B77" s="4">
        <v>7</v>
      </c>
      <c r="C77" s="4">
        <v>9</v>
      </c>
      <c r="D77" s="4">
        <f t="shared" si="2"/>
        <v>-81.958979033728355</v>
      </c>
    </row>
    <row r="78" spans="1:4" ht="15" customHeight="1">
      <c r="A78" s="4">
        <v>5.2</v>
      </c>
      <c r="B78" s="4">
        <v>7.2</v>
      </c>
      <c r="C78" s="4">
        <v>9.1999999999999993</v>
      </c>
      <c r="D78" s="4">
        <f t="shared" si="2"/>
        <v>-85.600983090410651</v>
      </c>
    </row>
    <row r="79" spans="1:4" ht="15" customHeight="1">
      <c r="A79" s="4">
        <v>5.4</v>
      </c>
      <c r="B79" s="4">
        <v>7.4</v>
      </c>
      <c r="C79" s="4">
        <v>9.4</v>
      </c>
      <c r="D79" s="4">
        <f t="shared" si="2"/>
        <v>-89.322844909910785</v>
      </c>
    </row>
    <row r="80" spans="1:4" ht="15" customHeight="1">
      <c r="A80" s="4">
        <v>5.6</v>
      </c>
      <c r="B80" s="4">
        <v>7.6</v>
      </c>
      <c r="C80" s="4">
        <v>9.6</v>
      </c>
      <c r="D80" s="4">
        <f t="shared" si="2"/>
        <v>-93.124577527983746</v>
      </c>
    </row>
    <row r="81" spans="1:4" ht="15" customHeight="1">
      <c r="A81" s="4">
        <v>5.8</v>
      </c>
      <c r="B81" s="4">
        <v>7.8</v>
      </c>
      <c r="C81" s="4">
        <v>9.8000000000000007</v>
      </c>
      <c r="D81" s="4">
        <f t="shared" si="2"/>
        <v>-97.006192534207656</v>
      </c>
    </row>
    <row r="82" spans="1:4" ht="15" customHeight="1">
      <c r="A82" s="4">
        <v>6</v>
      </c>
      <c r="B82" s="4">
        <v>8</v>
      </c>
      <c r="C82" s="4">
        <v>10</v>
      </c>
      <c r="D82" s="4">
        <f t="shared" si="2"/>
        <v>-100.96770025839793</v>
      </c>
    </row>
    <row r="83" spans="1:4" ht="15" customHeight="1">
      <c r="A83" s="4">
        <v>6.2</v>
      </c>
      <c r="B83" s="4">
        <v>8.1999999999999993</v>
      </c>
      <c r="C83" s="4">
        <v>10.199999999999999</v>
      </c>
      <c r="D83" s="4">
        <f t="shared" si="2"/>
        <v>-105.0091099298856</v>
      </c>
    </row>
    <row r="84" spans="1:4" ht="15" customHeight="1">
      <c r="A84" s="4">
        <v>6.4</v>
      </c>
      <c r="B84" s="4">
        <v>8.4</v>
      </c>
      <c r="C84" s="4">
        <v>10.4</v>
      </c>
      <c r="D84" s="4">
        <f t="shared" si="2"/>
        <v>-109.13042981402629</v>
      </c>
    </row>
    <row r="85" spans="1:4" ht="15" customHeight="1">
      <c r="A85" s="4">
        <v>6.6</v>
      </c>
      <c r="B85" s="4">
        <v>8.6</v>
      </c>
      <c r="C85" s="4">
        <v>10.6</v>
      </c>
      <c r="D85" s="4">
        <f t="shared" si="2"/>
        <v>-113.33166732954425</v>
      </c>
    </row>
    <row r="86" spans="1:4" ht="15" customHeight="1">
      <c r="A86" s="4">
        <v>6.8</v>
      </c>
      <c r="B86" s="4">
        <v>8.8000000000000007</v>
      </c>
      <c r="C86" s="4">
        <v>10.8</v>
      </c>
      <c r="D86" s="4">
        <f t="shared" si="2"/>
        <v>-117.61282914969328</v>
      </c>
    </row>
    <row r="87" spans="1:4" ht="15" customHeight="1">
      <c r="A87" s="4">
        <v>7</v>
      </c>
      <c r="B87" s="4">
        <v>9</v>
      </c>
      <c r="C87" s="4">
        <v>11</v>
      </c>
      <c r="D87" s="4">
        <f t="shared" si="2"/>
        <v>-121.97392128971076</v>
      </c>
    </row>
    <row r="88" spans="1:4" ht="15" customHeight="1">
      <c r="A88" s="4">
        <v>7.2</v>
      </c>
      <c r="B88" s="4">
        <v>9.1999999999999993</v>
      </c>
      <c r="C88" s="4">
        <v>11.2</v>
      </c>
      <c r="D88" s="4">
        <f t="shared" si="2"/>
        <v>-126.41494918262759</v>
      </c>
    </row>
    <row r="89" spans="1:4" ht="15" customHeight="1">
      <c r="A89" s="4">
        <v>7.4</v>
      </c>
      <c r="B89" s="4">
        <v>9.4</v>
      </c>
      <c r="C89" s="4">
        <v>11.4</v>
      </c>
      <c r="D89" s="4">
        <f t="shared" si="2"/>
        <v>-130.93591774515735</v>
      </c>
    </row>
    <row r="90" spans="1:4" ht="15" customHeight="1">
      <c r="A90" s="4">
        <v>7.6</v>
      </c>
      <c r="B90" s="4">
        <v>9.6</v>
      </c>
      <c r="C90" s="4">
        <v>11.6</v>
      </c>
      <c r="D90" s="4">
        <f t="shared" si="2"/>
        <v>-135.53683143510884</v>
      </c>
    </row>
    <row r="91" spans="1:4" ht="15" customHeight="1">
      <c r="A91" s="4">
        <v>7.8</v>
      </c>
      <c r="B91" s="4">
        <v>9.8000000000000007</v>
      </c>
      <c r="C91" s="4">
        <v>11.8</v>
      </c>
      <c r="D91" s="4">
        <f t="shared" si="2"/>
        <v>-140.21769430153677</v>
      </c>
    </row>
    <row r="92" spans="1:4" ht="15" customHeight="1">
      <c r="A92" s="4">
        <v>8</v>
      </c>
      <c r="B92" s="4">
        <v>10</v>
      </c>
      <c r="C92" s="4">
        <v>12</v>
      </c>
      <c r="D92" s="4">
        <f t="shared" si="2"/>
        <v>-144.97851002865329</v>
      </c>
    </row>
    <row r="93" spans="1:4" ht="15" customHeight="1">
      <c r="A93" s="4">
        <v>8.1999999999999993</v>
      </c>
      <c r="B93" s="4">
        <v>10.199999999999999</v>
      </c>
      <c r="C93" s="4">
        <v>12.2</v>
      </c>
      <c r="D93" s="4">
        <f t="shared" si="2"/>
        <v>-149.81928197436667</v>
      </c>
    </row>
    <row r="94" spans="1:4" ht="15" customHeight="1">
      <c r="A94" s="4">
        <v>8.4</v>
      </c>
      <c r="B94" s="4">
        <v>10.4</v>
      </c>
      <c r="C94" s="4">
        <v>12.4</v>
      </c>
      <c r="D94" s="4">
        <f t="shared" si="2"/>
        <v>-154.74001320417997</v>
      </c>
    </row>
    <row r="95" spans="1:4" ht="15" customHeight="1">
      <c r="A95" s="4">
        <v>8.6</v>
      </c>
      <c r="B95" s="4">
        <v>10.6</v>
      </c>
      <c r="C95" s="4">
        <v>12.6</v>
      </c>
      <c r="D95" s="4">
        <f t="shared" si="2"/>
        <v>-159.74070652107338</v>
      </c>
    </row>
    <row r="96" spans="1:4" ht="15" customHeight="1">
      <c r="A96" s="4">
        <v>8.8000000000000007</v>
      </c>
      <c r="B96" s="4">
        <v>10.8</v>
      </c>
      <c r="C96" s="4">
        <v>12.8</v>
      </c>
      <c r="D96" s="4">
        <f t="shared" si="2"/>
        <v>-164.8213644919029</v>
      </c>
    </row>
    <row r="97" spans="1:4" ht="15" customHeight="1">
      <c r="A97" s="4">
        <v>9</v>
      </c>
      <c r="B97" s="4">
        <v>11</v>
      </c>
      <c r="C97" s="4">
        <v>13</v>
      </c>
      <c r="D97" s="4">
        <f t="shared" si="2"/>
        <v>-169.98198947076753</v>
      </c>
    </row>
    <row r="98" spans="1:4" ht="15" customHeight="1">
      <c r="A98" s="4">
        <v>9.1999999999999993</v>
      </c>
      <c r="B98" s="4">
        <v>11.2</v>
      </c>
      <c r="C98" s="4">
        <v>13.2</v>
      </c>
      <c r="D98" s="4">
        <f t="shared" ref="D98:D102" si="3">(5*C98)/(B98^3+A98^2+C98^3)-C98^2-1</f>
        <v>-175.22258361973601</v>
      </c>
    </row>
    <row r="99" spans="1:4" ht="15" customHeight="1">
      <c r="A99" s="4">
        <v>9.4</v>
      </c>
      <c r="B99" s="4">
        <v>11.4</v>
      </c>
      <c r="C99" s="4">
        <v>13.4</v>
      </c>
      <c r="D99" s="4">
        <f t="shared" si="3"/>
        <v>-180.54314892726575</v>
      </c>
    </row>
    <row r="100" spans="1:4" ht="15" customHeight="1">
      <c r="A100" s="4">
        <v>9.6</v>
      </c>
      <c r="B100" s="4">
        <v>11.6</v>
      </c>
      <c r="C100" s="4">
        <v>13.6</v>
      </c>
      <c r="D100" s="4">
        <f t="shared" si="3"/>
        <v>-185.94368722460194</v>
      </c>
    </row>
    <row r="101" spans="1:4" ht="15" customHeight="1">
      <c r="A101" s="4">
        <v>9.8000000000000007</v>
      </c>
      <c r="B101" s="4">
        <v>11.8</v>
      </c>
      <c r="C101" s="4">
        <v>13.8</v>
      </c>
      <c r="D101" s="4">
        <f t="shared" si="3"/>
        <v>-191.42420020040561</v>
      </c>
    </row>
    <row r="102" spans="1:4" ht="15" customHeight="1">
      <c r="A102" s="4">
        <v>10</v>
      </c>
      <c r="B102" s="4">
        <v>12</v>
      </c>
      <c r="C102" s="4">
        <v>14</v>
      </c>
      <c r="D102" s="4">
        <f t="shared" si="3"/>
        <v>-196.98468941382328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34"/>
  <dimension ref="A1:D102"/>
  <sheetViews>
    <sheetView zoomScaleNormal="100" workbookViewId="0">
      <selection activeCellId="3" sqref="D1:D1048576 C1:C1048576 B1:B1048576 A1:A1048576"/>
    </sheetView>
  </sheetViews>
  <sheetFormatPr defaultColWidth="8.7109375" defaultRowHeight="15"/>
  <cols>
    <col min="1" max="3" width="8" customWidth="1"/>
    <col min="4" max="4" width="22" customWidth="1"/>
  </cols>
  <sheetData>
    <row r="1" spans="1:4" ht="15" customHeight="1">
      <c r="A1" s="3" t="s">
        <v>3</v>
      </c>
      <c r="B1" s="3" t="s">
        <v>4</v>
      </c>
      <c r="C1" s="3" t="s">
        <v>2</v>
      </c>
      <c r="D1" s="3" t="s">
        <v>17</v>
      </c>
    </row>
    <row r="2" spans="1:4" ht="15" customHeight="1">
      <c r="A2" s="4">
        <v>-10</v>
      </c>
      <c r="B2" s="4">
        <v>-8</v>
      </c>
      <c r="C2" s="4">
        <v>-6</v>
      </c>
      <c r="D2" s="4">
        <f t="shared" ref="D2:D33" si="0">IFERROR((1-A2^3*B2^3-A2^2-B2^2)/(A2^3+B2^3)*C2-(A2^3/B2^2)-(1/C2), "")</f>
        <v>-2016.6011904761901</v>
      </c>
    </row>
    <row r="3" spans="1:4" ht="15" customHeight="1">
      <c r="A3" s="4">
        <v>-9.8000000000000007</v>
      </c>
      <c r="B3" s="4">
        <v>-7.8</v>
      </c>
      <c r="C3" s="4">
        <v>-5.8</v>
      </c>
      <c r="D3" s="4">
        <f t="shared" si="0"/>
        <v>-1814.8032994594842</v>
      </c>
    </row>
    <row r="4" spans="1:4" ht="15" customHeight="1">
      <c r="A4" s="4">
        <v>-9.6</v>
      </c>
      <c r="B4" s="4">
        <v>-7.6</v>
      </c>
      <c r="C4" s="4">
        <v>-5.6</v>
      </c>
      <c r="D4" s="4">
        <f t="shared" si="0"/>
        <v>-1628.1772427443482</v>
      </c>
    </row>
    <row r="5" spans="1:4" ht="15" customHeight="1">
      <c r="A5" s="4">
        <v>-9.4</v>
      </c>
      <c r="B5" s="4">
        <v>-7.4</v>
      </c>
      <c r="C5" s="4">
        <v>-5.4</v>
      </c>
      <c r="D5" s="4">
        <f t="shared" si="0"/>
        <v>-1455.9592551519468</v>
      </c>
    </row>
    <row r="6" spans="1:4" ht="15" customHeight="1">
      <c r="A6" s="4">
        <v>-9.1999999999999993</v>
      </c>
      <c r="B6" s="4">
        <v>-7.2</v>
      </c>
      <c r="C6" s="4">
        <v>-5.2</v>
      </c>
      <c r="D6" s="4">
        <f t="shared" si="0"/>
        <v>-1297.4047119426655</v>
      </c>
    </row>
    <row r="7" spans="1:4" ht="15" customHeight="1">
      <c r="A7" s="4">
        <v>-9</v>
      </c>
      <c r="B7" s="4">
        <v>-7</v>
      </c>
      <c r="C7" s="4">
        <v>-5</v>
      </c>
      <c r="D7" s="4">
        <f t="shared" si="0"/>
        <v>-1151.7881206213829</v>
      </c>
    </row>
    <row r="8" spans="1:4" ht="15" customHeight="1">
      <c r="A8" s="4">
        <v>-8.8000000000000007</v>
      </c>
      <c r="B8" s="4">
        <v>-6.8</v>
      </c>
      <c r="C8" s="4">
        <v>-4.8</v>
      </c>
      <c r="D8" s="4">
        <f t="shared" si="0"/>
        <v>-1018.4031113059464</v>
      </c>
    </row>
    <row r="9" spans="1:4" ht="15" customHeight="1">
      <c r="A9" s="4">
        <v>-8.6</v>
      </c>
      <c r="B9" s="4">
        <v>-6.6</v>
      </c>
      <c r="C9" s="4">
        <v>-4.5999999999999996</v>
      </c>
      <c r="D9" s="4">
        <f t="shared" si="0"/>
        <v>-896.5624253412509</v>
      </c>
    </row>
    <row r="10" spans="1:4" ht="15" customHeight="1">
      <c r="A10" s="4">
        <v>-8.4</v>
      </c>
      <c r="B10" s="4">
        <v>-6.4</v>
      </c>
      <c r="C10" s="4">
        <v>-4.4000000000000004</v>
      </c>
      <c r="D10" s="4">
        <f t="shared" si="0"/>
        <v>-785.59790175333694</v>
      </c>
    </row>
    <row r="11" spans="1:4" ht="15" customHeight="1">
      <c r="A11" s="4">
        <v>-8.1999999999999993</v>
      </c>
      <c r="B11" s="4">
        <v>-6.2</v>
      </c>
      <c r="C11" s="4">
        <v>-4.2</v>
      </c>
      <c r="D11" s="4">
        <f t="shared" si="0"/>
        <v>-684.86046101963234</v>
      </c>
    </row>
    <row r="12" spans="1:4" ht="15" customHeight="1">
      <c r="A12" s="4">
        <v>-8</v>
      </c>
      <c r="B12" s="4">
        <v>-6</v>
      </c>
      <c r="C12" s="4">
        <v>-4</v>
      </c>
      <c r="D12" s="4">
        <f t="shared" si="0"/>
        <v>-593.72008547008556</v>
      </c>
    </row>
    <row r="13" spans="1:4" ht="15" customHeight="1">
      <c r="A13" s="4">
        <v>-7.8</v>
      </c>
      <c r="B13" s="4">
        <v>-5.8</v>
      </c>
      <c r="C13" s="4">
        <v>-3.8</v>
      </c>
      <c r="D13" s="4">
        <f t="shared" si="0"/>
        <v>-511.56579541004993</v>
      </c>
    </row>
    <row r="14" spans="1:4" ht="15" customHeight="1">
      <c r="A14" s="4">
        <v>-7.6</v>
      </c>
      <c r="B14" s="4">
        <v>-5.6</v>
      </c>
      <c r="C14" s="4">
        <v>-3.6</v>
      </c>
      <c r="D14" s="4">
        <f t="shared" si="0"/>
        <v>-437.80561973957964</v>
      </c>
    </row>
    <row r="15" spans="1:4" ht="15" customHeight="1">
      <c r="A15" s="4">
        <v>-7.4</v>
      </c>
      <c r="B15" s="4">
        <v>-5.4</v>
      </c>
      <c r="C15" s="4">
        <v>-3.4</v>
      </c>
      <c r="D15" s="4">
        <f t="shared" si="0"/>
        <v>-371.8665593879312</v>
      </c>
    </row>
    <row r="16" spans="1:4" ht="15" customHeight="1">
      <c r="A16" s="4">
        <v>-7.2</v>
      </c>
      <c r="B16" s="4">
        <v>-5.2</v>
      </c>
      <c r="C16" s="4">
        <v>-3.2</v>
      </c>
      <c r="D16" s="4">
        <f t="shared" si="0"/>
        <v>-313.19454120993356</v>
      </c>
    </row>
    <row r="17" spans="1:4" ht="15" customHeight="1">
      <c r="A17" s="4">
        <v>-7</v>
      </c>
      <c r="B17" s="4">
        <v>-5</v>
      </c>
      <c r="C17" s="4">
        <v>-3</v>
      </c>
      <c r="D17" s="4">
        <f t="shared" si="0"/>
        <v>-261.25435897435898</v>
      </c>
    </row>
    <row r="18" spans="1:4" ht="15" customHeight="1">
      <c r="A18" s="4">
        <v>-6.8</v>
      </c>
      <c r="B18" s="4">
        <v>-4.8</v>
      </c>
      <c r="C18" s="4">
        <v>-2.8</v>
      </c>
      <c r="D18" s="4">
        <f t="shared" si="0"/>
        <v>-215.52959649268732</v>
      </c>
    </row>
    <row r="19" spans="1:4" ht="15" customHeight="1">
      <c r="A19" s="4">
        <v>-6.6</v>
      </c>
      <c r="B19" s="4">
        <v>-4.5999999999999996</v>
      </c>
      <c r="C19" s="4">
        <v>-2.6</v>
      </c>
      <c r="D19" s="4">
        <f t="shared" si="0"/>
        <v>-175.52252539498718</v>
      </c>
    </row>
    <row r="20" spans="1:4" ht="15" customHeight="1">
      <c r="A20" s="4">
        <v>-6.4</v>
      </c>
      <c r="B20" s="4">
        <v>-4.4000000000000004</v>
      </c>
      <c r="C20" s="4">
        <v>-2.4</v>
      </c>
      <c r="D20" s="4">
        <f t="shared" si="0"/>
        <v>-140.75396582377374</v>
      </c>
    </row>
    <row r="21" spans="1:4" ht="15" customHeight="1">
      <c r="A21" s="4">
        <v>-6.2</v>
      </c>
      <c r="B21" s="4">
        <v>-4.2</v>
      </c>
      <c r="C21" s="4">
        <v>-2.2000000000000002</v>
      </c>
      <c r="D21" s="4">
        <f t="shared" si="0"/>
        <v>-110.76309095707201</v>
      </c>
    </row>
    <row r="22" spans="1:4" ht="15" customHeight="1">
      <c r="A22" s="4">
        <v>-6</v>
      </c>
      <c r="B22" s="4">
        <v>-4</v>
      </c>
      <c r="C22" s="4">
        <v>-2</v>
      </c>
      <c r="D22" s="4">
        <f t="shared" si="0"/>
        <v>-85.107142857142861</v>
      </c>
    </row>
    <row r="23" spans="1:4" ht="15" customHeight="1">
      <c r="A23" s="4">
        <v>-5.8</v>
      </c>
      <c r="B23" s="4">
        <v>-3.8</v>
      </c>
      <c r="C23" s="4">
        <v>-1.8</v>
      </c>
      <c r="D23" s="4">
        <f t="shared" si="0"/>
        <v>-63.361001289868696</v>
      </c>
    </row>
    <row r="24" spans="1:4" ht="15" customHeight="1">
      <c r="A24" s="4">
        <v>-5.6</v>
      </c>
      <c r="B24" s="4">
        <v>-3.6</v>
      </c>
      <c r="C24" s="4">
        <v>-1.6</v>
      </c>
      <c r="D24" s="4">
        <f t="shared" si="0"/>
        <v>-45.116493974327533</v>
      </c>
    </row>
    <row r="25" spans="1:4" ht="15" customHeight="1">
      <c r="A25" s="4">
        <v>-5.4</v>
      </c>
      <c r="B25" s="4">
        <v>-3.4</v>
      </c>
      <c r="C25" s="4">
        <v>-1.4</v>
      </c>
      <c r="D25" s="4">
        <f t="shared" si="0"/>
        <v>-29.981218422488418</v>
      </c>
    </row>
    <row r="26" spans="1:4" ht="15" customHeight="1">
      <c r="A26" s="4">
        <v>-5.2</v>
      </c>
      <c r="B26" s="4">
        <v>-3.2</v>
      </c>
      <c r="C26" s="4">
        <v>-1.2</v>
      </c>
      <c r="D26" s="4">
        <f t="shared" si="0"/>
        <v>-17.576356201550393</v>
      </c>
    </row>
    <row r="27" spans="1:4" ht="15" customHeight="1">
      <c r="A27" s="4">
        <v>-5</v>
      </c>
      <c r="B27" s="4">
        <v>-3</v>
      </c>
      <c r="C27" s="4">
        <v>-1</v>
      </c>
      <c r="D27" s="4">
        <f t="shared" si="0"/>
        <v>-7.5321637426900594</v>
      </c>
    </row>
    <row r="28" spans="1:4" ht="15" customHeight="1">
      <c r="A28" s="4">
        <v>-4.8</v>
      </c>
      <c r="B28" s="4">
        <v>-2.8</v>
      </c>
      <c r="C28" s="4">
        <v>-0.8</v>
      </c>
      <c r="D28" s="4">
        <f t="shared" si="0"/>
        <v>0.52273529301629118</v>
      </c>
    </row>
    <row r="29" spans="1:4" ht="15" customHeight="1">
      <c r="A29" s="4">
        <v>-4.5999999999999996</v>
      </c>
      <c r="B29" s="4">
        <v>-2.6</v>
      </c>
      <c r="C29" s="4">
        <v>-0.6</v>
      </c>
      <c r="D29" s="4">
        <f t="shared" si="0"/>
        <v>6.9922922572703881</v>
      </c>
    </row>
    <row r="30" spans="1:4" ht="15" customHeight="1">
      <c r="A30" s="4">
        <v>-4.4000000000000004</v>
      </c>
      <c r="B30" s="4">
        <v>-2.4</v>
      </c>
      <c r="C30" s="4">
        <v>-0.4</v>
      </c>
      <c r="D30" s="4">
        <f t="shared" si="0"/>
        <v>12.433913064713069</v>
      </c>
    </row>
    <row r="31" spans="1:4" ht="15" customHeight="1">
      <c r="A31" s="4">
        <v>-4.2</v>
      </c>
      <c r="B31" s="4">
        <v>-2.2000000000000002</v>
      </c>
      <c r="C31" s="4">
        <v>-0.2</v>
      </c>
      <c r="D31" s="4">
        <f t="shared" si="0"/>
        <v>18.394746777858231</v>
      </c>
    </row>
    <row r="32" spans="1:4" ht="15" customHeight="1">
      <c r="A32" s="4">
        <v>-4</v>
      </c>
      <c r="B32" s="4">
        <v>-2</v>
      </c>
      <c r="C32" s="4">
        <v>0</v>
      </c>
      <c r="D32" s="4" t="str">
        <f t="shared" si="0"/>
        <v/>
      </c>
    </row>
    <row r="33" spans="1:4" ht="15" customHeight="1">
      <c r="A33" s="4">
        <v>-3.8</v>
      </c>
      <c r="B33" s="4">
        <v>-1.8</v>
      </c>
      <c r="C33" s="4">
        <v>0.2</v>
      </c>
      <c r="D33" s="4">
        <f t="shared" si="0"/>
        <v>13.045098410095207</v>
      </c>
    </row>
    <row r="34" spans="1:4" ht="15" customHeight="1">
      <c r="A34" s="4">
        <v>-3.6</v>
      </c>
      <c r="B34" s="4">
        <v>-1.6</v>
      </c>
      <c r="C34" s="4">
        <v>0.4</v>
      </c>
      <c r="D34" s="4">
        <f t="shared" ref="D34:D65" si="1">IFERROR((1-A34^3*B34^3-A34^2-B34^2)/(A34^3+B34^3)*C34-(A34^3/B34^2)-(1/C34), "")</f>
        <v>17.34560983606557</v>
      </c>
    </row>
    <row r="35" spans="1:4" ht="15" customHeight="1">
      <c r="A35" s="4">
        <v>-3.4</v>
      </c>
      <c r="B35" s="4">
        <v>-1.4</v>
      </c>
      <c r="C35" s="4">
        <v>0.6</v>
      </c>
      <c r="D35" s="4">
        <f t="shared" si="1"/>
        <v>20.104005516727238</v>
      </c>
    </row>
    <row r="36" spans="1:4" ht="15" customHeight="1">
      <c r="A36" s="4">
        <v>-3.2</v>
      </c>
      <c r="B36" s="4">
        <v>-1.2</v>
      </c>
      <c r="C36" s="4">
        <v>0.8</v>
      </c>
      <c r="D36" s="4">
        <f t="shared" si="1"/>
        <v>23.06638820861679</v>
      </c>
    </row>
    <row r="37" spans="1:4" ht="15" customHeight="1">
      <c r="A37" s="4">
        <v>-3</v>
      </c>
      <c r="B37" s="4">
        <v>-1</v>
      </c>
      <c r="C37" s="4">
        <v>1</v>
      </c>
      <c r="D37" s="4">
        <f t="shared" si="1"/>
        <v>27.285714285714285</v>
      </c>
    </row>
    <row r="38" spans="1:4" ht="15" customHeight="1">
      <c r="A38" s="4">
        <v>-2.8</v>
      </c>
      <c r="B38" s="4">
        <v>-0.8</v>
      </c>
      <c r="C38" s="4">
        <v>1.2</v>
      </c>
      <c r="D38" s="4">
        <f t="shared" si="1"/>
        <v>34.466635897435879</v>
      </c>
    </row>
    <row r="39" spans="1:4" ht="15" customHeight="1">
      <c r="A39" s="4">
        <v>-2.6</v>
      </c>
      <c r="B39" s="4">
        <v>-0.6</v>
      </c>
      <c r="C39" s="4">
        <v>1.4</v>
      </c>
      <c r="D39" s="4">
        <f t="shared" si="1"/>
        <v>48.888230033116379</v>
      </c>
    </row>
    <row r="40" spans="1:4" ht="15" customHeight="1">
      <c r="A40" s="4">
        <v>-2.4</v>
      </c>
      <c r="B40" s="4">
        <v>-0.4</v>
      </c>
      <c r="C40" s="4">
        <v>1.6</v>
      </c>
      <c r="D40" s="4">
        <f t="shared" si="1"/>
        <v>86.443748387096747</v>
      </c>
    </row>
    <row r="41" spans="1:4" ht="15" customHeight="1">
      <c r="A41" s="4">
        <v>-2.2000000000000002</v>
      </c>
      <c r="B41" s="4">
        <v>-0.2</v>
      </c>
      <c r="C41" s="4">
        <v>1.8</v>
      </c>
      <c r="D41" s="4">
        <f t="shared" si="1"/>
        <v>266.31423903903908</v>
      </c>
    </row>
    <row r="42" spans="1:4" ht="15" customHeight="1">
      <c r="A42" s="4">
        <v>-2</v>
      </c>
      <c r="B42" s="4">
        <v>0</v>
      </c>
      <c r="C42" s="4">
        <v>2</v>
      </c>
      <c r="D42" s="4" t="str">
        <f t="shared" si="1"/>
        <v/>
      </c>
    </row>
    <row r="43" spans="1:4" ht="15" customHeight="1">
      <c r="A43" s="4">
        <v>-1.8</v>
      </c>
      <c r="B43" s="4">
        <v>0.2</v>
      </c>
      <c r="C43" s="4">
        <v>2.2000000000000002</v>
      </c>
      <c r="D43" s="4">
        <f t="shared" si="1"/>
        <v>146.18909410589407</v>
      </c>
    </row>
    <row r="44" spans="1:4" ht="15" customHeight="1">
      <c r="A44" s="4">
        <v>-1.6</v>
      </c>
      <c r="B44" s="4">
        <v>0.4</v>
      </c>
      <c r="C44" s="4">
        <v>2.4</v>
      </c>
      <c r="D44" s="4">
        <f t="shared" si="1"/>
        <v>26.051104761904764</v>
      </c>
    </row>
    <row r="45" spans="1:4" ht="15" customHeight="1">
      <c r="A45" s="4">
        <v>-1.4</v>
      </c>
      <c r="B45" s="4">
        <v>0.6</v>
      </c>
      <c r="C45" s="4">
        <v>2.6</v>
      </c>
      <c r="D45" s="4">
        <f t="shared" si="1"/>
        <v>7.9856169641891146</v>
      </c>
    </row>
    <row r="46" spans="1:4" ht="15" customHeight="1">
      <c r="A46" s="4">
        <v>-1.2</v>
      </c>
      <c r="B46" s="4">
        <v>0.8</v>
      </c>
      <c r="C46" s="4">
        <v>2.8</v>
      </c>
      <c r="D46" s="4">
        <f t="shared" si="1"/>
        <v>2.7924781954887208</v>
      </c>
    </row>
    <row r="47" spans="1:4" ht="15" customHeight="1">
      <c r="A47" s="4">
        <v>-1</v>
      </c>
      <c r="B47" s="4">
        <v>1</v>
      </c>
      <c r="C47" s="4">
        <v>3</v>
      </c>
      <c r="D47" s="4" t="str">
        <f t="shared" si="1"/>
        <v/>
      </c>
    </row>
    <row r="48" spans="1:4" ht="15" customHeight="1">
      <c r="A48" s="4">
        <v>-0.8</v>
      </c>
      <c r="B48" s="4">
        <v>1.2</v>
      </c>
      <c r="C48" s="4">
        <v>3.2</v>
      </c>
      <c r="D48" s="4">
        <f t="shared" si="1"/>
        <v>-0.47079707602339155</v>
      </c>
    </row>
    <row r="49" spans="1:4" ht="15" customHeight="1">
      <c r="A49" s="4">
        <v>-0.6</v>
      </c>
      <c r="B49" s="4">
        <v>1.4</v>
      </c>
      <c r="C49" s="4">
        <v>3.4</v>
      </c>
      <c r="D49" s="4">
        <f t="shared" si="1"/>
        <v>-1.1620806540337654</v>
      </c>
    </row>
    <row r="50" spans="1:4" ht="15" customHeight="1">
      <c r="A50" s="4">
        <v>-0.4</v>
      </c>
      <c r="B50" s="4">
        <v>1.6</v>
      </c>
      <c r="C50" s="4">
        <v>3.6</v>
      </c>
      <c r="D50" s="4">
        <f t="shared" si="1"/>
        <v>-1.5544349206349208</v>
      </c>
    </row>
    <row r="51" spans="1:4" ht="15" customHeight="1">
      <c r="A51" s="4">
        <v>-0.2</v>
      </c>
      <c r="B51" s="4">
        <v>1.8</v>
      </c>
      <c r="C51" s="4">
        <v>3.8</v>
      </c>
      <c r="D51" s="4">
        <f t="shared" si="1"/>
        <v>-1.7178843633299772</v>
      </c>
    </row>
    <row r="52" spans="1:4" ht="15" customHeight="1">
      <c r="A52" s="4">
        <v>0</v>
      </c>
      <c r="B52" s="4">
        <v>2</v>
      </c>
      <c r="C52" s="4">
        <v>4</v>
      </c>
      <c r="D52" s="4">
        <f t="shared" si="1"/>
        <v>-1.75</v>
      </c>
    </row>
    <row r="53" spans="1:4" ht="15" customHeight="1">
      <c r="A53" s="4">
        <v>0.2</v>
      </c>
      <c r="B53" s="4">
        <v>2.2000000000000002</v>
      </c>
      <c r="C53" s="4">
        <v>4.2</v>
      </c>
      <c r="D53" s="4">
        <f t="shared" si="1"/>
        <v>-1.8026021847112754</v>
      </c>
    </row>
    <row r="54" spans="1:4" ht="15" customHeight="1">
      <c r="A54" s="4">
        <v>0.4</v>
      </c>
      <c r="B54" s="4">
        <v>2.4</v>
      </c>
      <c r="C54" s="4">
        <v>4.4000000000000004</v>
      </c>
      <c r="D54" s="4">
        <f t="shared" si="1"/>
        <v>-2.0774419028999676</v>
      </c>
    </row>
    <row r="55" spans="1:4" ht="15" customHeight="1">
      <c r="A55" s="4">
        <v>0.6</v>
      </c>
      <c r="B55" s="4">
        <v>2.6</v>
      </c>
      <c r="C55" s="4">
        <v>4.5999999999999996</v>
      </c>
      <c r="D55" s="4">
        <f t="shared" si="1"/>
        <v>-2.8131655498035322</v>
      </c>
    </row>
    <row r="56" spans="1:4" ht="15" customHeight="1">
      <c r="A56" s="4">
        <v>0.8</v>
      </c>
      <c r="B56" s="4">
        <v>2.8</v>
      </c>
      <c r="C56" s="4">
        <v>4.8</v>
      </c>
      <c r="D56" s="4">
        <f t="shared" si="1"/>
        <v>-4.2735163788592363</v>
      </c>
    </row>
    <row r="57" spans="1:4" ht="15" customHeight="1">
      <c r="A57" s="4">
        <v>1</v>
      </c>
      <c r="B57" s="4">
        <v>3</v>
      </c>
      <c r="C57" s="4">
        <v>5</v>
      </c>
      <c r="D57" s="4">
        <f t="shared" si="1"/>
        <v>-6.7396825396825397</v>
      </c>
    </row>
    <row r="58" spans="1:4" ht="15" customHeight="1">
      <c r="A58" s="4">
        <v>1.2</v>
      </c>
      <c r="B58" s="4">
        <v>3.2</v>
      </c>
      <c r="C58" s="4">
        <v>5.2</v>
      </c>
      <c r="D58" s="4">
        <f t="shared" si="1"/>
        <v>-10.506469937205651</v>
      </c>
    </row>
    <row r="59" spans="1:4" ht="15" customHeight="1">
      <c r="A59" s="4">
        <v>1.4</v>
      </c>
      <c r="B59" s="4">
        <v>3.4</v>
      </c>
      <c r="C59" s="4">
        <v>5.4</v>
      </c>
      <c r="D59" s="4">
        <f t="shared" si="1"/>
        <v>-15.881054057536703</v>
      </c>
    </row>
    <row r="60" spans="1:4" ht="15" customHeight="1">
      <c r="A60" s="4">
        <v>1.6</v>
      </c>
      <c r="B60" s="4">
        <v>3.6</v>
      </c>
      <c r="C60" s="4">
        <v>5.6</v>
      </c>
      <c r="D60" s="4">
        <f t="shared" si="1"/>
        <v>-23.183158516205513</v>
      </c>
    </row>
    <row r="61" spans="1:4" ht="15" customHeight="1">
      <c r="A61" s="4">
        <v>1.8</v>
      </c>
      <c r="B61" s="4">
        <v>3.8</v>
      </c>
      <c r="C61" s="4">
        <v>5.8</v>
      </c>
      <c r="D61" s="4">
        <f t="shared" si="1"/>
        <v>-32.745874197269821</v>
      </c>
    </row>
    <row r="62" spans="1:4" ht="15" customHeight="1">
      <c r="A62" s="4">
        <v>2</v>
      </c>
      <c r="B62" s="4">
        <v>4</v>
      </c>
      <c r="C62" s="4">
        <v>6</v>
      </c>
      <c r="D62" s="4">
        <f t="shared" si="1"/>
        <v>-44.916666666666664</v>
      </c>
    </row>
    <row r="63" spans="1:4" ht="15" customHeight="1">
      <c r="A63" s="4">
        <v>2.2000000000000002</v>
      </c>
      <c r="B63" s="4">
        <v>4.2</v>
      </c>
      <c r="C63" s="4">
        <v>6.2</v>
      </c>
      <c r="D63" s="4">
        <f t="shared" si="1"/>
        <v>-60.058346839286038</v>
      </c>
    </row>
    <row r="64" spans="1:4" ht="15" customHeight="1">
      <c r="A64" s="4">
        <v>2.4</v>
      </c>
      <c r="B64" s="4">
        <v>4.4000000000000004</v>
      </c>
      <c r="C64" s="4">
        <v>6.4</v>
      </c>
      <c r="D64" s="4">
        <f t="shared" si="1"/>
        <v>-78.549912773590052</v>
      </c>
    </row>
    <row r="65" spans="1:4" ht="15" customHeight="1">
      <c r="A65" s="4">
        <v>2.6</v>
      </c>
      <c r="B65" s="4">
        <v>4.5999999999999996</v>
      </c>
      <c r="C65" s="4">
        <v>6.6</v>
      </c>
      <c r="D65" s="4">
        <f t="shared" si="1"/>
        <v>-100.78723972192039</v>
      </c>
    </row>
    <row r="66" spans="1:4" ht="15" customHeight="1">
      <c r="A66" s="4">
        <v>2.8</v>
      </c>
      <c r="B66" s="4">
        <v>4.8</v>
      </c>
      <c r="C66" s="4">
        <v>6.8</v>
      </c>
      <c r="D66" s="4">
        <f t="shared" ref="D66:D97" si="2">IFERROR((1-A66^3*B66^3-A66^2-B66^2)/(A66^3+B66^3)*C66-(A66^3/B66^2)-(1/C66), "")</f>
        <v>-127.18362742699526</v>
      </c>
    </row>
    <row r="67" spans="1:4" ht="15" customHeight="1">
      <c r="A67" s="4">
        <v>3</v>
      </c>
      <c r="B67" s="4">
        <v>5</v>
      </c>
      <c r="C67" s="4">
        <v>7</v>
      </c>
      <c r="D67" s="4">
        <f t="shared" si="2"/>
        <v>-158.17022556390978</v>
      </c>
    </row>
    <row r="68" spans="1:4" ht="15" customHeight="1">
      <c r="A68" s="4">
        <v>3.2</v>
      </c>
      <c r="B68" s="4">
        <v>5.2</v>
      </c>
      <c r="C68" s="4">
        <v>7.2</v>
      </c>
      <c r="D68" s="4">
        <f t="shared" si="2"/>
        <v>-194.19636041771787</v>
      </c>
    </row>
    <row r="69" spans="1:4" ht="15" customHeight="1">
      <c r="A69" s="4">
        <v>3.4</v>
      </c>
      <c r="B69" s="4">
        <v>5.4</v>
      </c>
      <c r="C69" s="4">
        <v>7.4</v>
      </c>
      <c r="D69" s="4">
        <f t="shared" si="2"/>
        <v>-235.72978389013804</v>
      </c>
    </row>
    <row r="70" spans="1:4" ht="15" customHeight="1">
      <c r="A70" s="4">
        <v>3.6</v>
      </c>
      <c r="B70" s="4">
        <v>5.6</v>
      </c>
      <c r="C70" s="4">
        <v>7.6</v>
      </c>
      <c r="D70" s="4">
        <f t="shared" si="2"/>
        <v>-283.25686252623041</v>
      </c>
    </row>
    <row r="71" spans="1:4" ht="15" customHeight="1">
      <c r="A71" s="4">
        <v>3.8</v>
      </c>
      <c r="B71" s="4">
        <v>5.8</v>
      </c>
      <c r="C71" s="4">
        <v>7.8</v>
      </c>
      <c r="D71" s="4">
        <f t="shared" si="2"/>
        <v>-337.2827207290095</v>
      </c>
    </row>
    <row r="72" spans="1:4" ht="15" customHeight="1">
      <c r="A72" s="4">
        <v>4</v>
      </c>
      <c r="B72" s="4">
        <v>6</v>
      </c>
      <c r="C72" s="4">
        <v>8</v>
      </c>
      <c r="D72" s="4">
        <f t="shared" si="2"/>
        <v>-398.33134920634922</v>
      </c>
    </row>
    <row r="73" spans="1:4" ht="15" customHeight="1">
      <c r="A73" s="4">
        <v>4.2</v>
      </c>
      <c r="B73" s="4">
        <v>6.2</v>
      </c>
      <c r="C73" s="4">
        <v>8.1999999999999993</v>
      </c>
      <c r="D73" s="4">
        <f t="shared" si="2"/>
        <v>-466.94568712044753</v>
      </c>
    </row>
    <row r="74" spans="1:4" ht="15" customHeight="1">
      <c r="A74" s="4">
        <v>4.4000000000000004</v>
      </c>
      <c r="B74" s="4">
        <v>6.4</v>
      </c>
      <c r="C74" s="4">
        <v>8.4</v>
      </c>
      <c r="D74" s="4">
        <f t="shared" si="2"/>
        <v>-543.68768437277913</v>
      </c>
    </row>
    <row r="75" spans="1:4" ht="15" customHeight="1">
      <c r="A75" s="4">
        <v>4.5999999999999996</v>
      </c>
      <c r="B75" s="4">
        <v>6.6</v>
      </c>
      <c r="C75" s="4">
        <v>8.6</v>
      </c>
      <c r="D75" s="4">
        <f t="shared" si="2"/>
        <v>-629.13834888293752</v>
      </c>
    </row>
    <row r="76" spans="1:4" ht="15" customHeight="1">
      <c r="A76" s="4">
        <v>4.8</v>
      </c>
      <c r="B76" s="4">
        <v>6.8</v>
      </c>
      <c r="C76" s="4">
        <v>8.8000000000000007</v>
      </c>
      <c r="D76" s="4">
        <f t="shared" si="2"/>
        <v>-723.89778252038843</v>
      </c>
    </row>
    <row r="77" spans="1:4" ht="15" customHeight="1">
      <c r="A77" s="4">
        <v>5</v>
      </c>
      <c r="B77" s="4">
        <v>7</v>
      </c>
      <c r="C77" s="4">
        <v>9</v>
      </c>
      <c r="D77" s="4">
        <f t="shared" si="2"/>
        <v>-828.58520844235125</v>
      </c>
    </row>
    <row r="78" spans="1:4" ht="15" customHeight="1">
      <c r="A78" s="4">
        <v>5.2</v>
      </c>
      <c r="B78" s="4">
        <v>7.2</v>
      </c>
      <c r="C78" s="4">
        <v>9.1999999999999993</v>
      </c>
      <c r="D78" s="4">
        <f t="shared" si="2"/>
        <v>-943.83899191033686</v>
      </c>
    </row>
    <row r="79" spans="1:4" ht="15" customHeight="1">
      <c r="A79" s="4">
        <v>5.4</v>
      </c>
      <c r="B79" s="4">
        <v>7.4</v>
      </c>
      <c r="C79" s="4">
        <v>9.4</v>
      </c>
      <c r="D79" s="4">
        <f t="shared" si="2"/>
        <v>-1070.3166561474386</v>
      </c>
    </row>
    <row r="80" spans="1:4" ht="15" customHeight="1">
      <c r="A80" s="4">
        <v>5.6</v>
      </c>
      <c r="B80" s="4">
        <v>7.6</v>
      </c>
      <c r="C80" s="4">
        <v>9.6</v>
      </c>
      <c r="D80" s="4">
        <f t="shared" si="2"/>
        <v>-1208.6948944160454</v>
      </c>
    </row>
    <row r="81" spans="1:4" ht="15" customHeight="1">
      <c r="A81" s="4">
        <v>5.8</v>
      </c>
      <c r="B81" s="4">
        <v>7.8</v>
      </c>
      <c r="C81" s="4">
        <v>9.8000000000000007</v>
      </c>
      <c r="D81" s="4">
        <f t="shared" si="2"/>
        <v>-1359.6695792088608</v>
      </c>
    </row>
    <row r="82" spans="1:4" ht="15" customHeight="1">
      <c r="A82" s="4">
        <v>6</v>
      </c>
      <c r="B82" s="4">
        <v>8</v>
      </c>
      <c r="C82" s="4">
        <v>10</v>
      </c>
      <c r="D82" s="4">
        <f t="shared" si="2"/>
        <v>-1523.9557692307692</v>
      </c>
    </row>
    <row r="83" spans="1:4" ht="15" customHeight="1">
      <c r="A83" s="4">
        <v>6.2</v>
      </c>
      <c r="B83" s="4">
        <v>8.1999999999999993</v>
      </c>
      <c r="C83" s="4">
        <v>10.199999999999999</v>
      </c>
      <c r="D83" s="4">
        <f t="shared" si="2"/>
        <v>-1702.2877146870699</v>
      </c>
    </row>
    <row r="84" spans="1:4" ht="15" customHeight="1">
      <c r="A84" s="4">
        <v>6.4</v>
      </c>
      <c r="B84" s="4">
        <v>8.4</v>
      </c>
      <c r="C84" s="4">
        <v>10.4</v>
      </c>
      <c r="D84" s="4">
        <f t="shared" si="2"/>
        <v>-1895.4188612713588</v>
      </c>
    </row>
    <row r="85" spans="1:4" ht="15" customHeight="1">
      <c r="A85" s="4">
        <v>6.6</v>
      </c>
      <c r="B85" s="4">
        <v>8.6</v>
      </c>
      <c r="C85" s="4">
        <v>10.6</v>
      </c>
      <c r="D85" s="4">
        <f t="shared" si="2"/>
        <v>-2104.1218531538957</v>
      </c>
    </row>
    <row r="86" spans="1:4" ht="15" customHeight="1">
      <c r="A86" s="4">
        <v>6.8</v>
      </c>
      <c r="B86" s="4">
        <v>8.8000000000000007</v>
      </c>
      <c r="C86" s="4">
        <v>10.8</v>
      </c>
      <c r="D86" s="4">
        <f t="shared" si="2"/>
        <v>-2329.1885352011805</v>
      </c>
    </row>
    <row r="87" spans="1:4" ht="15" customHeight="1">
      <c r="A87" s="4">
        <v>7</v>
      </c>
      <c r="B87" s="4">
        <v>9</v>
      </c>
      <c r="C87" s="4">
        <v>11</v>
      </c>
      <c r="D87" s="4">
        <f t="shared" si="2"/>
        <v>-2571.4299546040843</v>
      </c>
    </row>
    <row r="88" spans="1:4" ht="15" customHeight="1">
      <c r="A88" s="4">
        <v>7.2</v>
      </c>
      <c r="B88" s="4">
        <v>9.1999999999999993</v>
      </c>
      <c r="C88" s="4">
        <v>11.2</v>
      </c>
      <c r="D88" s="4">
        <f t="shared" si="2"/>
        <v>-2831.6763620512093</v>
      </c>
    </row>
    <row r="89" spans="1:4" ht="15" customHeight="1">
      <c r="A89" s="4">
        <v>7.4</v>
      </c>
      <c r="B89" s="4">
        <v>9.4</v>
      </c>
      <c r="C89" s="4">
        <v>11.4</v>
      </c>
      <c r="D89" s="4">
        <f t="shared" si="2"/>
        <v>-3110.777212552965</v>
      </c>
    </row>
    <row r="90" spans="1:4" ht="15" customHeight="1">
      <c r="A90" s="4">
        <v>7.6</v>
      </c>
      <c r="B90" s="4">
        <v>9.6</v>
      </c>
      <c r="C90" s="4">
        <v>11.6</v>
      </c>
      <c r="D90" s="4">
        <f t="shared" si="2"/>
        <v>-3409.6011659979599</v>
      </c>
    </row>
    <row r="91" spans="1:4" ht="15" customHeight="1">
      <c r="A91" s="4">
        <v>7.8</v>
      </c>
      <c r="B91" s="4">
        <v>9.8000000000000007</v>
      </c>
      <c r="C91" s="4">
        <v>11.8</v>
      </c>
      <c r="D91" s="4">
        <f t="shared" si="2"/>
        <v>-3729.0360875049128</v>
      </c>
    </row>
    <row r="92" spans="1:4" ht="15" customHeight="1">
      <c r="A92" s="4">
        <v>8</v>
      </c>
      <c r="B92" s="4">
        <v>10</v>
      </c>
      <c r="C92" s="4">
        <v>12</v>
      </c>
      <c r="D92" s="4">
        <f t="shared" si="2"/>
        <v>-4069.9890476190471</v>
      </c>
    </row>
    <row r="93" spans="1:4" ht="15" customHeight="1">
      <c r="A93" s="4">
        <v>8.1999999999999993</v>
      </c>
      <c r="B93" s="4">
        <v>10.199999999999999</v>
      </c>
      <c r="C93" s="4">
        <v>12.2</v>
      </c>
      <c r="D93" s="4">
        <f t="shared" si="2"/>
        <v>-4433.3863223910457</v>
      </c>
    </row>
    <row r="94" spans="1:4" ht="15" customHeight="1">
      <c r="A94" s="4">
        <v>8.4</v>
      </c>
      <c r="B94" s="4">
        <v>10.4</v>
      </c>
      <c r="C94" s="4">
        <v>12.4</v>
      </c>
      <c r="D94" s="4">
        <f t="shared" si="2"/>
        <v>-4820.1733933680098</v>
      </c>
    </row>
    <row r="95" spans="1:4" ht="15" customHeight="1">
      <c r="A95" s="4">
        <v>8.6</v>
      </c>
      <c r="B95" s="4">
        <v>10.6</v>
      </c>
      <c r="C95" s="4">
        <v>12.6</v>
      </c>
      <c r="D95" s="4">
        <f t="shared" si="2"/>
        <v>-5231.3149475193413</v>
      </c>
    </row>
    <row r="96" spans="1:4" ht="15" customHeight="1">
      <c r="A96" s="4">
        <v>8.8000000000000007</v>
      </c>
      <c r="B96" s="4">
        <v>10.8</v>
      </c>
      <c r="C96" s="4">
        <v>12.8</v>
      </c>
      <c r="D96" s="4">
        <f t="shared" si="2"/>
        <v>-5667.7948771153433</v>
      </c>
    </row>
    <row r="97" spans="1:4" ht="15" customHeight="1">
      <c r="A97" s="4">
        <v>9</v>
      </c>
      <c r="B97" s="4">
        <v>11</v>
      </c>
      <c r="C97" s="4">
        <v>13</v>
      </c>
      <c r="D97" s="4">
        <f t="shared" si="2"/>
        <v>-6130.6162795721484</v>
      </c>
    </row>
    <row r="98" spans="1:4" ht="15" customHeight="1">
      <c r="A98" s="4">
        <v>9.1999999999999993</v>
      </c>
      <c r="B98" s="4">
        <v>11.2</v>
      </c>
      <c r="C98" s="4">
        <v>13.2</v>
      </c>
      <c r="D98" s="4">
        <f t="shared" ref="D98:D102" si="3">IFERROR((1-A98^3*B98^3-A98^2-B98^2)/(A98^3+B98^3)*C98-(A98^3/B98^2)-(1/C98), "")</f>
        <v>-6620.8014572737502</v>
      </c>
    </row>
    <row r="99" spans="1:4" ht="15" customHeight="1">
      <c r="A99" s="4">
        <v>9.4</v>
      </c>
      <c r="B99" s="4">
        <v>11.4</v>
      </c>
      <c r="C99" s="4">
        <v>13.4</v>
      </c>
      <c r="D99" s="4">
        <f t="shared" si="3"/>
        <v>-7139.3919173791546</v>
      </c>
    </row>
    <row r="100" spans="1:4" ht="15" customHeight="1">
      <c r="A100" s="4">
        <v>9.6</v>
      </c>
      <c r="B100" s="4">
        <v>11.6</v>
      </c>
      <c r="C100" s="4">
        <v>13.6</v>
      </c>
      <c r="D100" s="4">
        <f t="shared" si="3"/>
        <v>-7687.4483716209434</v>
      </c>
    </row>
    <row r="101" spans="1:4" ht="15" customHeight="1">
      <c r="A101" s="4">
        <v>9.8000000000000007</v>
      </c>
      <c r="B101" s="4">
        <v>11.8</v>
      </c>
      <c r="C101" s="4">
        <v>13.8</v>
      </c>
      <c r="D101" s="4">
        <f t="shared" si="3"/>
        <v>-8266.0507361000818</v>
      </c>
    </row>
    <row r="102" spans="1:4" ht="15" customHeight="1">
      <c r="A102" s="4">
        <v>10</v>
      </c>
      <c r="B102" s="4">
        <v>12</v>
      </c>
      <c r="C102" s="4">
        <v>14</v>
      </c>
      <c r="D102" s="4">
        <f t="shared" si="3"/>
        <v>-8876.2981310803898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36"/>
  <dimension ref="A1:O24"/>
  <sheetViews>
    <sheetView zoomScaleNormal="100" workbookViewId="0">
      <selection activeCell="M6" sqref="M6"/>
    </sheetView>
  </sheetViews>
  <sheetFormatPr defaultColWidth="8.7109375" defaultRowHeight="15"/>
  <cols>
    <col min="1" max="1" width="29.42578125" bestFit="1" customWidth="1"/>
    <col min="2" max="12" width="5.7109375" bestFit="1" customWidth="1"/>
    <col min="13" max="13" width="6.5703125" bestFit="1" customWidth="1"/>
    <col min="14" max="14" width="10" bestFit="1" customWidth="1"/>
    <col min="15" max="15" width="7.85546875" bestFit="1" customWidth="1"/>
  </cols>
  <sheetData>
    <row r="1" spans="1:15" ht="15" customHeight="1">
      <c r="A1" s="9" t="s">
        <v>18</v>
      </c>
      <c r="B1" s="10">
        <v>2014</v>
      </c>
      <c r="C1" s="10">
        <v>2015</v>
      </c>
      <c r="D1" s="10">
        <v>2016</v>
      </c>
      <c r="E1" s="10">
        <v>2017</v>
      </c>
      <c r="F1" s="10">
        <v>2018</v>
      </c>
      <c r="G1" s="10">
        <v>2019</v>
      </c>
      <c r="H1" s="10">
        <v>2020</v>
      </c>
      <c r="I1" s="10">
        <v>2021</v>
      </c>
      <c r="J1" s="10">
        <v>2022</v>
      </c>
      <c r="K1" s="10">
        <v>2023</v>
      </c>
      <c r="L1" s="10">
        <v>2024</v>
      </c>
      <c r="M1" s="9" t="s">
        <v>19</v>
      </c>
      <c r="N1" s="9" t="s">
        <v>20</v>
      </c>
      <c r="O1" s="9" t="s">
        <v>21</v>
      </c>
    </row>
    <row r="2" spans="1:15" ht="15" customHeight="1">
      <c r="A2" s="10" t="s">
        <v>22</v>
      </c>
      <c r="B2" s="6">
        <v>58246</v>
      </c>
      <c r="C2" s="6">
        <v>56010</v>
      </c>
      <c r="D2" s="6">
        <v>55579</v>
      </c>
      <c r="E2" s="6">
        <v>57578</v>
      </c>
      <c r="F2" s="6">
        <v>70869</v>
      </c>
      <c r="G2" s="6">
        <v>76101</v>
      </c>
      <c r="H2" s="6">
        <v>76652</v>
      </c>
      <c r="I2" s="6">
        <v>75970</v>
      </c>
      <c r="J2" s="6">
        <v>74683</v>
      </c>
      <c r="K2" s="6">
        <v>67603</v>
      </c>
      <c r="L2" s="6">
        <v>50854</v>
      </c>
      <c r="M2" s="6">
        <f>MIN(B2:L2)</f>
        <v>50854</v>
      </c>
      <c r="N2" s="8">
        <f>AVERAGE(B2:L2)</f>
        <v>65467.727272727272</v>
      </c>
      <c r="O2" s="6">
        <f>MAX(B2:L2)</f>
        <v>76652</v>
      </c>
    </row>
    <row r="3" spans="1:15" ht="15" customHeight="1">
      <c r="A3" s="11" t="s">
        <v>23</v>
      </c>
      <c r="B3" s="6">
        <v>6045</v>
      </c>
      <c r="C3" s="6">
        <v>5910</v>
      </c>
      <c r="D3" s="6">
        <v>4988</v>
      </c>
      <c r="E3" s="6">
        <v>6267</v>
      </c>
      <c r="F3" s="6">
        <v>8954</v>
      </c>
      <c r="G3" s="6">
        <v>10926</v>
      </c>
      <c r="H3" s="7">
        <v>9950</v>
      </c>
      <c r="I3" s="6">
        <v>9902</v>
      </c>
      <c r="J3" s="6">
        <v>13490</v>
      </c>
      <c r="K3" s="6">
        <v>14080</v>
      </c>
      <c r="L3" s="6">
        <v>8557</v>
      </c>
      <c r="M3" s="6">
        <f t="shared" ref="M3:M11" si="0">MIN(B3:L3)</f>
        <v>4988</v>
      </c>
      <c r="N3" s="8">
        <f t="shared" ref="N3:N11" si="1">AVERAGE(B3:L3)</f>
        <v>9006.2727272727279</v>
      </c>
      <c r="O3" s="6">
        <f t="shared" ref="O3:O11" si="2">MAX(B3:L3)</f>
        <v>14080</v>
      </c>
    </row>
    <row r="4" spans="1:15" ht="15" customHeight="1">
      <c r="A4" s="11" t="s">
        <v>24</v>
      </c>
      <c r="B4" s="6">
        <v>12801</v>
      </c>
      <c r="C4" s="6">
        <v>12318</v>
      </c>
      <c r="D4" s="6">
        <v>13775</v>
      </c>
      <c r="E4" s="6">
        <v>16811</v>
      </c>
      <c r="F4" s="6">
        <v>23471</v>
      </c>
      <c r="G4" s="6">
        <v>22723</v>
      </c>
      <c r="H4" s="7">
        <v>22479</v>
      </c>
      <c r="I4" s="6">
        <v>21711</v>
      </c>
      <c r="J4" s="6">
        <v>19744</v>
      </c>
      <c r="K4" s="6">
        <v>17218</v>
      </c>
      <c r="L4" s="6">
        <v>12384</v>
      </c>
      <c r="M4" s="6">
        <f t="shared" si="0"/>
        <v>12318</v>
      </c>
      <c r="N4" s="8">
        <f t="shared" si="1"/>
        <v>17766.81818181818</v>
      </c>
      <c r="O4" s="6">
        <f t="shared" si="2"/>
        <v>23471</v>
      </c>
    </row>
    <row r="5" spans="1:15" ht="15" customHeight="1">
      <c r="A5" s="11" t="s">
        <v>31</v>
      </c>
      <c r="B5" s="6">
        <v>4281</v>
      </c>
      <c r="C5" s="6">
        <v>4510</v>
      </c>
      <c r="D5" s="6">
        <v>4660</v>
      </c>
      <c r="E5" s="6">
        <v>4197</v>
      </c>
      <c r="F5" s="6">
        <v>4202</v>
      </c>
      <c r="G5" s="6">
        <v>4320</v>
      </c>
      <c r="H5" s="7">
        <v>4491</v>
      </c>
      <c r="I5" s="6">
        <v>4241</v>
      </c>
      <c r="J5" s="6">
        <v>3733</v>
      </c>
      <c r="K5" s="6">
        <v>2761</v>
      </c>
      <c r="L5" s="6">
        <v>2245</v>
      </c>
      <c r="M5" s="6">
        <f t="shared" si="0"/>
        <v>2245</v>
      </c>
      <c r="N5" s="8">
        <f t="shared" si="1"/>
        <v>3967.3636363636365</v>
      </c>
      <c r="O5" s="6">
        <f t="shared" si="2"/>
        <v>4660</v>
      </c>
    </row>
    <row r="6" spans="1:15" ht="15" customHeight="1">
      <c r="A6" s="11" t="s">
        <v>25</v>
      </c>
      <c r="B6" s="6">
        <v>6148</v>
      </c>
      <c r="C6" s="6">
        <v>5426</v>
      </c>
      <c r="D6" s="6">
        <v>5442</v>
      </c>
      <c r="E6" s="6">
        <v>4087</v>
      </c>
      <c r="F6" s="6">
        <v>4068</v>
      </c>
      <c r="G6" s="6">
        <v>2878</v>
      </c>
      <c r="H6" s="7">
        <v>2853</v>
      </c>
      <c r="I6" s="6">
        <v>2781</v>
      </c>
      <c r="J6" s="6">
        <v>2482</v>
      </c>
      <c r="K6" s="6">
        <v>1977</v>
      </c>
      <c r="L6" s="6">
        <v>1560</v>
      </c>
      <c r="M6" s="6">
        <f t="shared" si="0"/>
        <v>1560</v>
      </c>
      <c r="N6" s="8">
        <f t="shared" si="1"/>
        <v>3609.2727272727275</v>
      </c>
      <c r="O6" s="6">
        <f t="shared" si="2"/>
        <v>6148</v>
      </c>
    </row>
    <row r="7" spans="1:15" ht="15" customHeight="1">
      <c r="A7" s="11" t="s">
        <v>26</v>
      </c>
      <c r="B7" s="6">
        <v>11894</v>
      </c>
      <c r="C7" s="6">
        <v>11165</v>
      </c>
      <c r="D7" s="6">
        <v>10971</v>
      </c>
      <c r="E7" s="6">
        <v>11724</v>
      </c>
      <c r="F7" s="6">
        <v>15564</v>
      </c>
      <c r="G7" s="6">
        <v>19479</v>
      </c>
      <c r="H7" s="7">
        <v>19977</v>
      </c>
      <c r="I7" s="6">
        <v>19444</v>
      </c>
      <c r="J7" s="6">
        <v>17556</v>
      </c>
      <c r="K7" s="6">
        <v>16376</v>
      </c>
      <c r="L7" s="6">
        <v>14010</v>
      </c>
      <c r="M7" s="6">
        <f t="shared" si="0"/>
        <v>10971</v>
      </c>
      <c r="N7" s="8">
        <f t="shared" si="1"/>
        <v>15287.272727272728</v>
      </c>
      <c r="O7" s="6">
        <f t="shared" si="2"/>
        <v>19977</v>
      </c>
    </row>
    <row r="8" spans="1:15" ht="15" customHeight="1">
      <c r="A8" s="11" t="s">
        <v>27</v>
      </c>
      <c r="B8" s="6">
        <v>2033</v>
      </c>
      <c r="C8" s="6">
        <v>2043</v>
      </c>
      <c r="D8" s="6">
        <v>2288</v>
      </c>
      <c r="E8" s="6">
        <v>2280</v>
      </c>
      <c r="F8" s="6">
        <v>2823</v>
      </c>
      <c r="G8" s="6">
        <v>3019</v>
      </c>
      <c r="H8" s="7">
        <v>3050</v>
      </c>
      <c r="I8" s="6">
        <v>3115</v>
      </c>
      <c r="J8" s="6">
        <v>3185</v>
      </c>
      <c r="K8" s="6">
        <v>3274</v>
      </c>
      <c r="L8" s="6">
        <v>2637</v>
      </c>
      <c r="M8" s="6">
        <f t="shared" si="0"/>
        <v>2033</v>
      </c>
      <c r="N8" s="8">
        <f t="shared" si="1"/>
        <v>2704.2727272727275</v>
      </c>
      <c r="O8" s="6">
        <f t="shared" si="2"/>
        <v>3274</v>
      </c>
    </row>
    <row r="9" spans="1:15" ht="15" customHeight="1">
      <c r="A9" s="11" t="s">
        <v>28</v>
      </c>
      <c r="B9" s="6">
        <v>5529</v>
      </c>
      <c r="C9" s="6">
        <v>5297</v>
      </c>
      <c r="D9" s="6">
        <v>5114</v>
      </c>
      <c r="E9" s="6">
        <v>4864</v>
      </c>
      <c r="F9" s="6">
        <v>4400</v>
      </c>
      <c r="G9" s="6">
        <v>4155</v>
      </c>
      <c r="H9" s="7">
        <v>4829</v>
      </c>
      <c r="I9" s="6">
        <v>5416</v>
      </c>
      <c r="J9" s="6">
        <v>5155</v>
      </c>
      <c r="K9" s="6">
        <v>3659</v>
      </c>
      <c r="L9" s="6">
        <v>2197</v>
      </c>
      <c r="M9" s="6">
        <f t="shared" si="0"/>
        <v>2197</v>
      </c>
      <c r="N9" s="8">
        <f t="shared" si="1"/>
        <v>4601.363636363636</v>
      </c>
      <c r="O9" s="6">
        <f t="shared" si="2"/>
        <v>5529</v>
      </c>
    </row>
    <row r="10" spans="1:15" ht="15" customHeight="1">
      <c r="A10" s="11" t="s">
        <v>29</v>
      </c>
      <c r="B10" s="6">
        <v>7316</v>
      </c>
      <c r="C10" s="6">
        <v>6894</v>
      </c>
      <c r="D10" s="6">
        <v>5927</v>
      </c>
      <c r="E10" s="6">
        <v>5078</v>
      </c>
      <c r="F10" s="6">
        <v>5059</v>
      </c>
      <c r="G10" s="6">
        <v>5938</v>
      </c>
      <c r="H10" s="7">
        <v>5932</v>
      </c>
      <c r="I10" s="6">
        <v>6004</v>
      </c>
      <c r="J10" s="6">
        <v>6273</v>
      </c>
      <c r="K10" s="6">
        <v>5330</v>
      </c>
      <c r="L10" s="6">
        <v>4310</v>
      </c>
      <c r="M10" s="6">
        <f t="shared" si="0"/>
        <v>4310</v>
      </c>
      <c r="N10" s="8">
        <f t="shared" si="1"/>
        <v>5823.727272727273</v>
      </c>
      <c r="O10" s="6">
        <f t="shared" si="2"/>
        <v>7316</v>
      </c>
    </row>
    <row r="11" spans="1:15" ht="15" customHeight="1">
      <c r="A11" s="11" t="s">
        <v>30</v>
      </c>
      <c r="B11" s="6">
        <v>2199</v>
      </c>
      <c r="C11" s="6">
        <v>2447</v>
      </c>
      <c r="D11" s="6">
        <v>2414</v>
      </c>
      <c r="E11" s="6">
        <v>2270</v>
      </c>
      <c r="F11" s="6">
        <v>2328</v>
      </c>
      <c r="G11" s="6">
        <v>2663</v>
      </c>
      <c r="H11" s="7">
        <v>3091</v>
      </c>
      <c r="I11" s="6">
        <v>3356</v>
      </c>
      <c r="J11" s="6">
        <v>3065</v>
      </c>
      <c r="K11" s="6">
        <v>2928</v>
      </c>
      <c r="L11" s="6">
        <v>2954</v>
      </c>
      <c r="M11" s="6">
        <f t="shared" si="0"/>
        <v>2199</v>
      </c>
      <c r="N11" s="8">
        <f t="shared" si="1"/>
        <v>2701.3636363636365</v>
      </c>
      <c r="O11" s="6">
        <f t="shared" si="2"/>
        <v>3356</v>
      </c>
    </row>
    <row r="12" spans="1:15" ht="15" customHeight="1"/>
    <row r="14" spans="1:15" ht="15" customHeight="1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5" ht="15" customHeight="1"/>
    <row r="16" spans="1:15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11042-86D0-40A8-A291-63DAD2A80FC9}">
  <sheetPr codeName="Лист38"/>
  <dimension ref="A1:O12"/>
  <sheetViews>
    <sheetView workbookViewId="0">
      <selection activeCell="O36" sqref="O36"/>
    </sheetView>
  </sheetViews>
  <sheetFormatPr defaultRowHeight="15"/>
  <cols>
    <col min="1" max="1" width="29.42578125" bestFit="1" customWidth="1"/>
    <col min="2" max="2" width="5.5703125" bestFit="1" customWidth="1"/>
    <col min="3" max="12" width="6.140625" bestFit="1" customWidth="1"/>
    <col min="13" max="13" width="6.5703125" bestFit="1" customWidth="1"/>
    <col min="14" max="14" width="9.85546875" bestFit="1" customWidth="1"/>
    <col min="15" max="15" width="7.85546875" bestFit="1" customWidth="1"/>
  </cols>
  <sheetData>
    <row r="1" spans="1:15">
      <c r="A1" s="14" t="s">
        <v>32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>
      <c r="A2" s="9" t="s">
        <v>18</v>
      </c>
      <c r="B2" s="10">
        <v>2014</v>
      </c>
      <c r="C2" s="10">
        <v>2015</v>
      </c>
      <c r="D2" s="10">
        <v>2016</v>
      </c>
      <c r="E2" s="10">
        <v>2017</v>
      </c>
      <c r="F2" s="10">
        <v>2018</v>
      </c>
      <c r="G2" s="10">
        <v>2019</v>
      </c>
      <c r="H2" s="10">
        <v>2020</v>
      </c>
      <c r="I2" s="10">
        <v>2021</v>
      </c>
      <c r="J2" s="10">
        <v>2022</v>
      </c>
      <c r="K2" s="10">
        <v>2023</v>
      </c>
      <c r="L2" s="10">
        <v>2024</v>
      </c>
      <c r="M2" s="9" t="s">
        <v>19</v>
      </c>
      <c r="N2" s="9" t="s">
        <v>20</v>
      </c>
      <c r="O2" s="9" t="s">
        <v>21</v>
      </c>
    </row>
    <row r="3" spans="1:15">
      <c r="A3" s="10" t="s">
        <v>22</v>
      </c>
      <c r="B3" s="12"/>
      <c r="C3" s="13">
        <v>0.96161109775778597</v>
      </c>
      <c r="D3" s="13">
        <v>0.95421144799642899</v>
      </c>
      <c r="E3" s="13">
        <v>0.98853140129794326</v>
      </c>
      <c r="F3" s="13">
        <v>1.2167187446348247</v>
      </c>
      <c r="G3" s="13">
        <v>1.3065446554269822</v>
      </c>
      <c r="H3" s="13">
        <v>1.3160045325000858</v>
      </c>
      <c r="I3" s="13">
        <v>1.304295573944992</v>
      </c>
      <c r="J3" s="13">
        <v>1.2821996360265082</v>
      </c>
      <c r="K3" s="13">
        <v>1.1606462246334512</v>
      </c>
      <c r="L3" s="13">
        <v>0.87308999759640149</v>
      </c>
      <c r="M3" s="13">
        <f>MIN(C3:L3)</f>
        <v>0.87308999759640149</v>
      </c>
      <c r="N3" s="13">
        <f>AVERAGE(C3:L3)</f>
        <v>1.1363853311815406</v>
      </c>
      <c r="O3" s="13">
        <f>MAX(C3:L3)</f>
        <v>1.3160045325000858</v>
      </c>
    </row>
    <row r="4" spans="1:15">
      <c r="A4" s="11" t="s">
        <v>23</v>
      </c>
      <c r="B4" s="12"/>
      <c r="C4" s="13">
        <v>0.97766749379652607</v>
      </c>
      <c r="D4" s="13">
        <v>0.82514474772539292</v>
      </c>
      <c r="E4" s="13">
        <v>1.0367245657568238</v>
      </c>
      <c r="F4" s="13">
        <v>1.4812241521918941</v>
      </c>
      <c r="G4" s="13">
        <v>1.8074441687344913</v>
      </c>
      <c r="H4" s="13">
        <v>1.6459884201819686</v>
      </c>
      <c r="I4" s="13">
        <v>1.6380479735318445</v>
      </c>
      <c r="J4" s="13">
        <v>2.2315963606286187</v>
      </c>
      <c r="K4" s="13">
        <v>2.3291976840363939</v>
      </c>
      <c r="L4" s="13">
        <v>1.415550041356493</v>
      </c>
      <c r="M4" s="13">
        <f t="shared" ref="M4:M12" si="0">MIN(C4:L4)</f>
        <v>0.82514474772539292</v>
      </c>
      <c r="N4" s="13">
        <f t="shared" ref="N4:N12" si="1">AVERAGE(C4:L4)</f>
        <v>1.5388585607940448</v>
      </c>
      <c r="O4" s="13">
        <f t="shared" ref="O4:O12" si="2">MAX(C4:L4)</f>
        <v>2.3291976840363939</v>
      </c>
    </row>
    <row r="5" spans="1:15">
      <c r="A5" s="11" t="s">
        <v>24</v>
      </c>
      <c r="B5" s="12"/>
      <c r="C5" s="13">
        <v>0.96226857276775257</v>
      </c>
      <c r="D5" s="13">
        <v>1.0760878056401844</v>
      </c>
      <c r="E5" s="13">
        <v>1.3132567768143113</v>
      </c>
      <c r="F5" s="13">
        <v>1.8335286305757363</v>
      </c>
      <c r="G5" s="13">
        <v>1.7750956956487773</v>
      </c>
      <c r="H5" s="13">
        <v>1.7560346847902508</v>
      </c>
      <c r="I5" s="13">
        <v>1.6960393719240685</v>
      </c>
      <c r="J5" s="13">
        <v>1.5423795016014374</v>
      </c>
      <c r="K5" s="13">
        <v>1.3450511678775097</v>
      </c>
      <c r="L5" s="13">
        <v>0.96742441996719009</v>
      </c>
      <c r="M5" s="13">
        <f t="shared" si="0"/>
        <v>0.96226857276775257</v>
      </c>
      <c r="N5" s="13">
        <f t="shared" si="1"/>
        <v>1.4267166627607217</v>
      </c>
      <c r="O5" s="13">
        <f t="shared" si="2"/>
        <v>1.8335286305757363</v>
      </c>
    </row>
    <row r="6" spans="1:15">
      <c r="A6" s="11" t="s">
        <v>31</v>
      </c>
      <c r="B6" s="12"/>
      <c r="C6" s="13">
        <v>1.0534921747255315</v>
      </c>
      <c r="D6" s="13">
        <v>1.0885307171221676</v>
      </c>
      <c r="E6" s="13">
        <v>0.98037841625788369</v>
      </c>
      <c r="F6" s="13">
        <v>0.98154636767110492</v>
      </c>
      <c r="G6" s="13">
        <v>1.0091100210231254</v>
      </c>
      <c r="H6" s="13">
        <v>1.0490539593552908</v>
      </c>
      <c r="I6" s="13">
        <v>0.99065638869423034</v>
      </c>
      <c r="J6" s="13">
        <v>0.87199252511095537</v>
      </c>
      <c r="K6" s="13">
        <v>0.64494277038075221</v>
      </c>
      <c r="L6" s="13">
        <v>0.52441018453632327</v>
      </c>
      <c r="M6" s="13">
        <f t="shared" si="0"/>
        <v>0.52441018453632327</v>
      </c>
      <c r="N6" s="13">
        <f t="shared" si="1"/>
        <v>0.91941135248773642</v>
      </c>
      <c r="O6" s="13">
        <f t="shared" si="2"/>
        <v>1.0885307171221676</v>
      </c>
    </row>
    <row r="7" spans="1:15">
      <c r="A7" s="11" t="s">
        <v>25</v>
      </c>
      <c r="B7" s="12"/>
      <c r="C7" s="13">
        <v>0.88256343526350034</v>
      </c>
      <c r="D7" s="13">
        <v>0.88516590761223157</v>
      </c>
      <c r="E7" s="13">
        <v>0.66476903057905012</v>
      </c>
      <c r="F7" s="13">
        <v>0.66167859466493173</v>
      </c>
      <c r="G7" s="13">
        <v>0.46811971372804162</v>
      </c>
      <c r="H7" s="13">
        <v>0.46405335068314901</v>
      </c>
      <c r="I7" s="13">
        <v>0.45234222511385819</v>
      </c>
      <c r="J7" s="13">
        <v>0.40370852309694211</v>
      </c>
      <c r="K7" s="13">
        <v>0.32156798959011063</v>
      </c>
      <c r="L7" s="13">
        <v>0.25374105400130126</v>
      </c>
      <c r="M7" s="13">
        <f t="shared" si="0"/>
        <v>0.25374105400130126</v>
      </c>
      <c r="N7" s="13">
        <f t="shared" si="1"/>
        <v>0.54577098243331157</v>
      </c>
      <c r="O7" s="13">
        <f t="shared" si="2"/>
        <v>0.88516590761223157</v>
      </c>
    </row>
    <row r="8" spans="1:15">
      <c r="A8" s="11" t="s">
        <v>26</v>
      </c>
      <c r="B8" s="12"/>
      <c r="C8" s="13">
        <v>0.93870859256768113</v>
      </c>
      <c r="D8" s="13">
        <v>0.92239784765427946</v>
      </c>
      <c r="E8" s="13">
        <v>0.98570707919959644</v>
      </c>
      <c r="F8" s="13">
        <v>1.3085589372793005</v>
      </c>
      <c r="G8" s="13">
        <v>1.6377164957121237</v>
      </c>
      <c r="H8" s="13">
        <v>1.6795863460568354</v>
      </c>
      <c r="I8" s="13">
        <v>1.6347738355473347</v>
      </c>
      <c r="J8" s="13">
        <v>1.476038338658147</v>
      </c>
      <c r="K8" s="13">
        <v>1.3768286531024045</v>
      </c>
      <c r="L8" s="13">
        <v>1.1779048259626703</v>
      </c>
      <c r="M8" s="13">
        <f t="shared" si="0"/>
        <v>0.92239784765427946</v>
      </c>
      <c r="N8" s="13">
        <f t="shared" si="1"/>
        <v>1.3138220951740374</v>
      </c>
      <c r="O8" s="13">
        <f t="shared" si="2"/>
        <v>1.6795863460568354</v>
      </c>
    </row>
    <row r="9" spans="1:15">
      <c r="A9" s="11" t="s">
        <v>27</v>
      </c>
      <c r="B9" s="12"/>
      <c r="C9" s="13">
        <v>1.0049188391539596</v>
      </c>
      <c r="D9" s="13">
        <v>1.1254303984259715</v>
      </c>
      <c r="E9" s="13">
        <v>1.1214953271028036</v>
      </c>
      <c r="F9" s="13">
        <v>1.3885882931628135</v>
      </c>
      <c r="G9" s="13">
        <v>1.484997540580423</v>
      </c>
      <c r="H9" s="13">
        <v>1.5002459419576979</v>
      </c>
      <c r="I9" s="13">
        <v>1.5322183964584357</v>
      </c>
      <c r="J9" s="13">
        <v>1.5666502705361536</v>
      </c>
      <c r="K9" s="13">
        <v>1.6104279390063945</v>
      </c>
      <c r="L9" s="13">
        <v>1.2970978848991639</v>
      </c>
      <c r="M9" s="13">
        <f t="shared" si="0"/>
        <v>1.0049188391539596</v>
      </c>
      <c r="N9" s="13">
        <f t="shared" si="1"/>
        <v>1.3632070831283816</v>
      </c>
      <c r="O9" s="13">
        <f t="shared" si="2"/>
        <v>1.6104279390063945</v>
      </c>
    </row>
    <row r="10" spans="1:15">
      <c r="A10" s="11" t="s">
        <v>28</v>
      </c>
      <c r="B10" s="12"/>
      <c r="C10" s="13">
        <v>0.95803942846807744</v>
      </c>
      <c r="D10" s="13">
        <v>0.92494121902694881</v>
      </c>
      <c r="E10" s="13">
        <v>0.8797250859106529</v>
      </c>
      <c r="F10" s="13">
        <v>0.79580394284680778</v>
      </c>
      <c r="G10" s="13">
        <v>0.75149213239283774</v>
      </c>
      <c r="H10" s="13">
        <v>0.87339482727437145</v>
      </c>
      <c r="I10" s="13">
        <v>0.97956230783143428</v>
      </c>
      <c r="J10" s="13">
        <v>0.93235666485802138</v>
      </c>
      <c r="K10" s="13">
        <v>0.66178332429010667</v>
      </c>
      <c r="L10" s="13">
        <v>0.39735937782600833</v>
      </c>
      <c r="M10" s="13">
        <f t="shared" si="0"/>
        <v>0.39735937782600833</v>
      </c>
      <c r="N10" s="13">
        <f t="shared" si="1"/>
        <v>0.81544583107252655</v>
      </c>
      <c r="O10" s="13">
        <f t="shared" si="2"/>
        <v>0.97956230783143428</v>
      </c>
    </row>
    <row r="11" spans="1:15">
      <c r="A11" s="11" t="s">
        <v>29</v>
      </c>
      <c r="B11" s="12"/>
      <c r="C11" s="13">
        <v>0.94231820667031163</v>
      </c>
      <c r="D11" s="13">
        <v>0.81014215418261348</v>
      </c>
      <c r="E11" s="13">
        <v>0.69409513395297973</v>
      </c>
      <c r="F11" s="13">
        <v>0.6914980863860033</v>
      </c>
      <c r="G11" s="13">
        <v>0.81164570803717884</v>
      </c>
      <c r="H11" s="13">
        <v>0.81082558775287039</v>
      </c>
      <c r="I11" s="13">
        <v>0.82066703116457085</v>
      </c>
      <c r="J11" s="13">
        <v>0.8574357572443958</v>
      </c>
      <c r="K11" s="13">
        <v>0.7285401858939311</v>
      </c>
      <c r="L11" s="13">
        <v>0.58911973756150904</v>
      </c>
      <c r="M11" s="13">
        <f t="shared" si="0"/>
        <v>0.58911973756150904</v>
      </c>
      <c r="N11" s="13">
        <f t="shared" si="1"/>
        <v>0.77562875888463645</v>
      </c>
      <c r="O11" s="13">
        <f t="shared" si="2"/>
        <v>0.94231820667031163</v>
      </c>
    </row>
    <row r="12" spans="1:15">
      <c r="A12" s="11" t="s">
        <v>30</v>
      </c>
      <c r="B12" s="12"/>
      <c r="C12" s="13">
        <v>1.1127785356980446</v>
      </c>
      <c r="D12" s="13">
        <v>1.0977717144156436</v>
      </c>
      <c r="E12" s="13">
        <v>1.0322874033651659</v>
      </c>
      <c r="F12" s="13">
        <v>1.0586630286493861</v>
      </c>
      <c r="G12" s="13">
        <v>1.2110050022737608</v>
      </c>
      <c r="H12" s="13">
        <v>1.4056389267849023</v>
      </c>
      <c r="I12" s="13">
        <v>1.5261482492041838</v>
      </c>
      <c r="J12" s="13">
        <v>1.3938153706230105</v>
      </c>
      <c r="K12" s="13">
        <v>1.3315143246930423</v>
      </c>
      <c r="L12" s="13">
        <v>1.3433378808549341</v>
      </c>
      <c r="M12" s="13">
        <f t="shared" si="0"/>
        <v>1.0322874033651659</v>
      </c>
      <c r="N12" s="13">
        <f t="shared" si="1"/>
        <v>1.2512960436562073</v>
      </c>
      <c r="O12" s="13">
        <f t="shared" si="2"/>
        <v>1.5261482492041838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Диаграммы</vt:lpstr>
      </vt:variant>
      <vt:variant>
        <vt:i4>18</vt:i4>
      </vt:variant>
    </vt:vector>
  </HeadingPairs>
  <TitlesOfParts>
    <vt:vector size="39" baseType="lpstr">
      <vt:lpstr>Задание 1</vt:lpstr>
      <vt:lpstr>Задание 2</vt:lpstr>
      <vt:lpstr>Астроида</vt:lpstr>
      <vt:lpstr>Задание 3</vt:lpstr>
      <vt:lpstr>y1</vt:lpstr>
      <vt:lpstr>y2</vt:lpstr>
      <vt:lpstr>y3</vt:lpstr>
      <vt:lpstr>y4</vt:lpstr>
      <vt:lpstr>Задание 4</vt:lpstr>
      <vt:lpstr>g1</vt:lpstr>
      <vt:lpstr>g2</vt:lpstr>
      <vt:lpstr>g3</vt:lpstr>
      <vt:lpstr>g4</vt:lpstr>
      <vt:lpstr>g5</vt:lpstr>
      <vt:lpstr>Задание 5</vt:lpstr>
      <vt:lpstr>z1</vt:lpstr>
      <vt:lpstr>z2</vt:lpstr>
      <vt:lpstr>z3</vt:lpstr>
      <vt:lpstr>z4</vt:lpstr>
      <vt:lpstr>Задание 6</vt:lpstr>
      <vt:lpstr>Задание 7</vt:lpstr>
      <vt:lpstr>Диаграмма1</vt:lpstr>
      <vt:lpstr>Диаграмма2</vt:lpstr>
      <vt:lpstr>Диаграмма3</vt:lpstr>
      <vt:lpstr>Диаграмма4</vt:lpstr>
      <vt:lpstr>Диаграмма5</vt:lpstr>
      <vt:lpstr>Диаграмма6</vt:lpstr>
      <vt:lpstr>Диаграмма7</vt:lpstr>
      <vt:lpstr>Диаграмма8</vt:lpstr>
      <vt:lpstr>Диаграмма9</vt:lpstr>
      <vt:lpstr>Диаграмма10</vt:lpstr>
      <vt:lpstr>Диаграмма11</vt:lpstr>
      <vt:lpstr>Диаграмма12</vt:lpstr>
      <vt:lpstr>dir</vt:lpstr>
      <vt:lpstr>dis</vt:lpstr>
      <vt:lpstr>dit</vt:lpstr>
      <vt:lpstr>zig</vt:lpstr>
      <vt:lpstr>Диаграмма18</vt:lpstr>
      <vt:lpstr>Диаграмма19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Студент KRSU</dc:creator>
  <dc:description/>
  <cp:lastModifiedBy>Студент KRSU</cp:lastModifiedBy>
  <cp:revision>3</cp:revision>
  <dcterms:created xsi:type="dcterms:W3CDTF">2015-06-05T18:17:20Z</dcterms:created>
  <dcterms:modified xsi:type="dcterms:W3CDTF">2026-03-12T08:59:57Z</dcterms:modified>
  <dc:language>en-US</dc:language>
</cp:coreProperties>
</file>