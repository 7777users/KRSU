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-11-213-00\Downloads\"/>
    </mc:Choice>
  </mc:AlternateContent>
  <xr:revisionPtr revIDLastSave="0" documentId="13_ncr:1_{6ECBBEFE-E43E-4E69-876E-CF9A2CC1249C}" xr6:coauthVersionLast="47" xr6:coauthVersionMax="47" xr10:uidLastSave="{00000000-0000-0000-0000-000000000000}"/>
  <bookViews>
    <workbookView xWindow="-120" yWindow="-120" windowWidth="20730" windowHeight="11160" tabRatio="500" activeTab="3" xr2:uid="{00000000-000D-0000-FFFF-FFFF00000000}"/>
  </bookViews>
  <sheets>
    <sheet name="Задание 1" sheetId="1" r:id="rId1"/>
    <sheet name="Задание 2" sheetId="2" r:id="rId2"/>
    <sheet name="Задание 3" sheetId="3" r:id="rId3"/>
    <sheet name="Задание 4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2" i="2"/>
  <c r="C7" i="1"/>
  <c r="C17" i="1"/>
  <c r="C27" i="1"/>
  <c r="C37" i="1"/>
  <c r="C47" i="1"/>
  <c r="E47" i="1"/>
  <c r="E52" i="1"/>
  <c r="D52" i="1"/>
  <c r="C57" i="1"/>
  <c r="E57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G2" i="3"/>
  <c r="F2" i="3"/>
  <c r="E2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2" i="2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D57" i="1"/>
  <c r="E56" i="1"/>
  <c r="D56" i="1"/>
  <c r="C56" i="1"/>
  <c r="E55" i="1"/>
  <c r="D55" i="1"/>
  <c r="C55" i="1"/>
  <c r="E54" i="1"/>
  <c r="D54" i="1"/>
  <c r="C54" i="1"/>
  <c r="E53" i="1"/>
  <c r="D53" i="1"/>
  <c r="C53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D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E16" i="1"/>
  <c r="D16" i="1"/>
  <c r="C16" i="1"/>
  <c r="E15" i="1"/>
  <c r="D15" i="1"/>
  <c r="C15" i="1"/>
  <c r="C3" i="1"/>
  <c r="D3" i="1"/>
  <c r="E3" i="1"/>
  <c r="C4" i="1"/>
  <c r="D4" i="1"/>
  <c r="E4" i="1"/>
  <c r="C5" i="1"/>
  <c r="D5" i="1"/>
  <c r="E5" i="1"/>
  <c r="C6" i="1"/>
  <c r="D6" i="1"/>
  <c r="E6" i="1"/>
  <c r="D7" i="1"/>
  <c r="E7" i="1"/>
  <c r="C8" i="1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2" i="1"/>
  <c r="E2" i="1"/>
  <c r="D2" i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F4" i="4"/>
  <c r="E4" i="4"/>
  <c r="E3" i="4"/>
  <c r="F3" i="4" s="1"/>
  <c r="E2" i="4"/>
  <c r="E12" i="4" s="1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102" i="2"/>
  <c r="B102" i="2"/>
  <c r="E101" i="2"/>
  <c r="B101" i="2"/>
  <c r="E100" i="2"/>
  <c r="B100" i="2"/>
  <c r="E99" i="2"/>
  <c r="B99" i="2"/>
  <c r="E98" i="2"/>
  <c r="B98" i="2"/>
  <c r="E97" i="2"/>
  <c r="B97" i="2"/>
  <c r="E96" i="2"/>
  <c r="B96" i="2"/>
  <c r="E95" i="2"/>
  <c r="B95" i="2"/>
  <c r="E94" i="2"/>
  <c r="B94" i="2"/>
  <c r="E93" i="2"/>
  <c r="B93" i="2"/>
  <c r="E92" i="2"/>
  <c r="B92" i="2"/>
  <c r="E91" i="2"/>
  <c r="B91" i="2"/>
  <c r="E90" i="2"/>
  <c r="B90" i="2"/>
  <c r="E89" i="2"/>
  <c r="B89" i="2"/>
  <c r="E88" i="2"/>
  <c r="B88" i="2"/>
  <c r="E87" i="2"/>
  <c r="B87" i="2"/>
  <c r="E86" i="2"/>
  <c r="B86" i="2"/>
  <c r="E85" i="2"/>
  <c r="B85" i="2"/>
  <c r="E84" i="2"/>
  <c r="B84" i="2"/>
  <c r="E83" i="2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E65" i="2"/>
  <c r="B65" i="2"/>
  <c r="E64" i="2"/>
  <c r="B64" i="2"/>
  <c r="E63" i="2"/>
  <c r="B63" i="2"/>
  <c r="E62" i="2"/>
  <c r="B62" i="2"/>
  <c r="E61" i="2"/>
  <c r="B61" i="2"/>
  <c r="E60" i="2"/>
  <c r="B60" i="2"/>
  <c r="E59" i="2"/>
  <c r="B59" i="2"/>
  <c r="E58" i="2"/>
  <c r="B58" i="2"/>
  <c r="E57" i="2"/>
  <c r="B57" i="2"/>
  <c r="E56" i="2"/>
  <c r="B56" i="2"/>
  <c r="E55" i="2"/>
  <c r="B55" i="2"/>
  <c r="E54" i="2"/>
  <c r="B54" i="2"/>
  <c r="E53" i="2"/>
  <c r="B53" i="2"/>
  <c r="E52" i="2"/>
  <c r="B52" i="2"/>
  <c r="E51" i="2"/>
  <c r="B51" i="2"/>
  <c r="E50" i="2"/>
  <c r="B50" i="2"/>
  <c r="E49" i="2"/>
  <c r="B49" i="2"/>
  <c r="E48" i="2"/>
  <c r="B48" i="2"/>
  <c r="E47" i="2"/>
  <c r="B47" i="2"/>
  <c r="E46" i="2"/>
  <c r="B46" i="2"/>
  <c r="E45" i="2"/>
  <c r="B45" i="2"/>
  <c r="E44" i="2"/>
  <c r="B44" i="2"/>
  <c r="E43" i="2"/>
  <c r="B43" i="2"/>
  <c r="E42" i="2"/>
  <c r="B42" i="2"/>
  <c r="E41" i="2"/>
  <c r="B41" i="2"/>
  <c r="E40" i="2"/>
  <c r="B40" i="2"/>
  <c r="E39" i="2"/>
  <c r="B39" i="2"/>
  <c r="E38" i="2"/>
  <c r="B38" i="2"/>
  <c r="E37" i="2"/>
  <c r="B37" i="2"/>
  <c r="E36" i="2"/>
  <c r="B36" i="2"/>
  <c r="E35" i="2"/>
  <c r="B35" i="2"/>
  <c r="E34" i="2"/>
  <c r="B34" i="2"/>
  <c r="E33" i="2"/>
  <c r="B33" i="2"/>
  <c r="E32" i="2"/>
  <c r="B32" i="2"/>
  <c r="E31" i="2"/>
  <c r="B31" i="2"/>
  <c r="E30" i="2"/>
  <c r="B30" i="2"/>
  <c r="E29" i="2"/>
  <c r="B29" i="2"/>
  <c r="E28" i="2"/>
  <c r="B28" i="2"/>
  <c r="E27" i="2"/>
  <c r="B27" i="2"/>
  <c r="E26" i="2"/>
  <c r="B26" i="2"/>
  <c r="E25" i="2"/>
  <c r="B25" i="2"/>
  <c r="E24" i="2"/>
  <c r="B24" i="2"/>
  <c r="E23" i="2"/>
  <c r="B23" i="2"/>
  <c r="E22" i="2"/>
  <c r="B22" i="2"/>
  <c r="E21" i="2"/>
  <c r="B21" i="2"/>
  <c r="E20" i="2"/>
  <c r="B20" i="2"/>
  <c r="E19" i="2"/>
  <c r="B19" i="2"/>
  <c r="E18" i="2"/>
  <c r="B18" i="2"/>
  <c r="E17" i="2"/>
  <c r="B17" i="2"/>
  <c r="E16" i="2"/>
  <c r="B16" i="2"/>
  <c r="E15" i="2"/>
  <c r="B15" i="2"/>
  <c r="E14" i="2"/>
  <c r="B14" i="2"/>
  <c r="E13" i="2"/>
  <c r="B13" i="2"/>
  <c r="E12" i="2"/>
  <c r="B12" i="2"/>
  <c r="E11" i="2"/>
  <c r="B11" i="2"/>
  <c r="E10" i="2"/>
  <c r="B10" i="2"/>
  <c r="E9" i="2"/>
  <c r="B9" i="2"/>
  <c r="E8" i="2"/>
  <c r="B8" i="2"/>
  <c r="E7" i="2"/>
  <c r="B7" i="2"/>
  <c r="E6" i="2"/>
  <c r="B6" i="2"/>
  <c r="E5" i="2"/>
  <c r="B5" i="2"/>
  <c r="E4" i="2"/>
  <c r="B4" i="2"/>
  <c r="E3" i="2"/>
  <c r="B3" i="2"/>
  <c r="B2" i="2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F2" i="4" l="1"/>
  <c r="F12" i="4"/>
</calcChain>
</file>

<file path=xl/sharedStrings.xml><?xml version="1.0" encoding="utf-8"?>
<sst xmlns="http://schemas.openxmlformats.org/spreadsheetml/2006/main" count="35" uniqueCount="33">
  <si>
    <t>x</t>
  </si>
  <si>
    <t>y</t>
  </si>
  <si>
    <t>t</t>
  </si>
  <si>
    <t>№</t>
  </si>
  <si>
    <t>ФИО сотрудника</t>
  </si>
  <si>
    <t>Стаж (лет)</t>
  </si>
  <si>
    <t>Оклад, сом</t>
  </si>
  <si>
    <t>Премия, сом</t>
  </si>
  <si>
    <t>Заработная плата, сом</t>
  </si>
  <si>
    <t>Петров И.А.</t>
  </si>
  <si>
    <t>Иванова М.С.</t>
  </si>
  <si>
    <t>Сидоров К.В.</t>
  </si>
  <si>
    <t>Козлова Е.Н.</t>
  </si>
  <si>
    <t>Морозов Д.О.</t>
  </si>
  <si>
    <t>Белова Т.Р.</t>
  </si>
  <si>
    <t>Кузнецов А.Г.</t>
  </si>
  <si>
    <t>Попова О.И.</t>
  </si>
  <si>
    <t>Новиков С.П.</t>
  </si>
  <si>
    <t>Лебедева Ж.Д.</t>
  </si>
  <si>
    <t>Итого</t>
  </si>
  <si>
    <t>y1</t>
  </si>
  <si>
    <t>y2</t>
  </si>
  <si>
    <t>y3</t>
  </si>
  <si>
    <t>y4</t>
  </si>
  <si>
    <t>g1</t>
  </si>
  <si>
    <t>g2</t>
  </si>
  <si>
    <t>g3</t>
  </si>
  <si>
    <t>g4</t>
  </si>
  <si>
    <t>g5</t>
  </si>
  <si>
    <t>z1</t>
  </si>
  <si>
    <t>z2</t>
  </si>
  <si>
    <t>z3</t>
  </si>
  <si>
    <t>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</si>
</sst>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name val="Arial"/>
      <family val="2"/>
      <charset val="204"/>
    </font>
    <font>
      <i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9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rgb="FF99CCFF"/>
      </patternFill>
    </fill>
    <fill>
      <patternFill patternType="solid">
        <fgColor theme="1" tint="0.499984740745262"/>
        <bgColor rgb="FFFCE4D6"/>
      </patternFill>
    </fill>
    <fill>
      <patternFill patternType="solid">
        <fgColor theme="1" tint="0.499984740745262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13</xdr:col>
      <xdr:colOff>387985</xdr:colOff>
      <xdr:row>3</xdr:row>
      <xdr:rowOff>139065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BD6F597-08B9-35E0-6472-B64B976EE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5230" b="82028"/>
        <a:stretch>
          <a:fillRect/>
        </a:stretch>
      </xdr:blipFill>
      <xdr:spPr bwMode="auto">
        <a:xfrm>
          <a:off x="8582025" y="390525"/>
          <a:ext cx="4455160" cy="329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12</xdr:col>
      <xdr:colOff>277495</xdr:colOff>
      <xdr:row>8</xdr:row>
      <xdr:rowOff>45085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BA982C1-D19A-AECB-DAEE-53E2AF756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9579" b="70305"/>
        <a:stretch>
          <a:fillRect/>
        </a:stretch>
      </xdr:blipFill>
      <xdr:spPr bwMode="auto">
        <a:xfrm>
          <a:off x="8582025" y="962025"/>
          <a:ext cx="3763645" cy="6165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11</xdr:col>
      <xdr:colOff>40005</xdr:colOff>
      <xdr:row>14</xdr:row>
      <xdr:rowOff>24765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466FE6E-8086-35B3-FF1D-6234084C6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8898" b="61438"/>
        <a:stretch>
          <a:fillRect/>
        </a:stretch>
      </xdr:blipFill>
      <xdr:spPr bwMode="auto">
        <a:xfrm>
          <a:off x="8582025" y="1914525"/>
          <a:ext cx="2945130" cy="7867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9</xdr:col>
      <xdr:colOff>426085</xdr:colOff>
      <xdr:row>19</xdr:row>
      <xdr:rowOff>109855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00BBC1C-B6FB-D683-6FF3-BF3DB2E5F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14967" r="28217" b="60966"/>
        <a:stretch>
          <a:fillRect/>
        </a:stretch>
      </xdr:blipFill>
      <xdr:spPr bwMode="auto">
        <a:xfrm>
          <a:off x="8582025" y="2867025"/>
          <a:ext cx="2169160" cy="8718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10</xdr:col>
      <xdr:colOff>315595</xdr:colOff>
      <xdr:row>4</xdr:row>
      <xdr:rowOff>172720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89549DF-8233-7A54-7C9C-A45340041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9517" t="29892" r="35548" b="34935"/>
        <a:stretch>
          <a:fillRect/>
        </a:stretch>
      </xdr:blipFill>
      <xdr:spPr bwMode="auto">
        <a:xfrm>
          <a:off x="8048625" y="200025"/>
          <a:ext cx="1477645" cy="7442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13</xdr:col>
      <xdr:colOff>284480</xdr:colOff>
      <xdr:row>9</xdr:row>
      <xdr:rowOff>2540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4E23916-29AB-3BB7-8549-FC6BEEF9B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24413" t="22350" b="55257"/>
        <a:stretch>
          <a:fillRect/>
        </a:stretch>
      </xdr:blipFill>
      <xdr:spPr bwMode="auto">
        <a:xfrm>
          <a:off x="8048625" y="1152525"/>
          <a:ext cx="3189605" cy="5740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11</xdr:col>
      <xdr:colOff>404495</xdr:colOff>
      <xdr:row>14</xdr:row>
      <xdr:rowOff>13970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C9E6290-1F1E-06C5-9F4D-737B6AA09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21782" t="25244" r="29767"/>
        <a:stretch>
          <a:fillRect/>
        </a:stretch>
      </xdr:blipFill>
      <xdr:spPr bwMode="auto">
        <a:xfrm>
          <a:off x="8048625" y="1914525"/>
          <a:ext cx="2147570" cy="7759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13</xdr:col>
      <xdr:colOff>61595</xdr:colOff>
      <xdr:row>19</xdr:row>
      <xdr:rowOff>56515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AF9FED3-5ACB-8CE6-AB9C-588A61051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24031" t="26611" r="11081" b="36859"/>
        <a:stretch>
          <a:fillRect/>
        </a:stretch>
      </xdr:blipFill>
      <xdr:spPr bwMode="auto">
        <a:xfrm>
          <a:off x="8048625" y="2867025"/>
          <a:ext cx="2966720" cy="8185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zoomScaleNormal="100" workbookViewId="0">
      <selection activeCell="D12" sqref="D12"/>
    </sheetView>
  </sheetViews>
  <sheetFormatPr defaultColWidth="8.7109375" defaultRowHeight="15" x14ac:dyDescent="0.25"/>
  <cols>
    <col min="1" max="1" width="8" customWidth="1"/>
    <col min="2" max="5" width="28" customWidth="1"/>
  </cols>
  <sheetData>
    <row r="1" spans="1:6" ht="15.75" customHeight="1" x14ac:dyDescent="0.25">
      <c r="A1" s="5" t="s">
        <v>0</v>
      </c>
      <c r="B1" s="6" t="s">
        <v>20</v>
      </c>
      <c r="C1" s="6" t="s">
        <v>21</v>
      </c>
      <c r="D1" s="6" t="s">
        <v>22</v>
      </c>
      <c r="E1" s="6" t="s">
        <v>23</v>
      </c>
      <c r="F1" s="4"/>
    </row>
    <row r="2" spans="1:6" ht="15" customHeight="1" x14ac:dyDescent="0.25">
      <c r="A2" s="2">
        <v>-10</v>
      </c>
      <c r="B2" s="2">
        <f t="shared" ref="B2:B33" si="0">3*SIN(0.5*PI()*A2)*SIN(0.3*PI()*A2)-0.5*COS(PI()*A2)</f>
        <v>-0.5</v>
      </c>
      <c r="C2" s="2">
        <f>COS(PI()*A2)*(SIN(PI()*A2))/(1+COS(PI()*A2))+2*COS(5*PI()*A2)</f>
        <v>2.0000000000000004</v>
      </c>
      <c r="D2" s="2">
        <f>((4*COS(PI()*A2)*SIN(5*PI()*A2))/A2)-A2</f>
        <v>10</v>
      </c>
      <c r="E2" s="2">
        <f>(2*COS(3*PI()*A2))/LN(ABS(A2))</f>
        <v>0.86858896380650352</v>
      </c>
      <c r="F2" s="3"/>
    </row>
    <row r="3" spans="1:6" ht="15" customHeight="1" x14ac:dyDescent="0.25">
      <c r="A3" s="2">
        <v>-9.8000000000000007</v>
      </c>
      <c r="B3" s="2">
        <f t="shared" si="0"/>
        <v>-0.23079646528155431</v>
      </c>
      <c r="C3" s="2">
        <f t="shared" ref="C3:C15" si="1">COS(PI()*A3)*(SIN(PI()*A3))/(1+COS(PI()*A3))+2*COS(5*PI()*A3)</f>
        <v>-1.7371344439404339</v>
      </c>
      <c r="D3" s="2">
        <f t="shared" ref="D3:D15" si="2">((4*COS(PI()*A3)*SIN(5*PI()*A3))/A3)-A3</f>
        <v>9.7999999999999972</v>
      </c>
      <c r="E3" s="2">
        <f t="shared" ref="E3:E15" si="3">(2*COS(3*PI()*A3))/LN(ABS(A3))</f>
        <v>-0.27078459447832121</v>
      </c>
    </row>
    <row r="4" spans="1:6" ht="15" customHeight="1" x14ac:dyDescent="0.25">
      <c r="A4" s="2">
        <v>-9.6</v>
      </c>
      <c r="B4" s="2">
        <f t="shared" si="0"/>
        <v>0.49462605203697907</v>
      </c>
      <c r="C4" s="2">
        <f t="shared" si="1"/>
        <v>2.2245139882897922</v>
      </c>
      <c r="D4" s="2">
        <f t="shared" si="2"/>
        <v>9.6</v>
      </c>
      <c r="E4" s="2">
        <f t="shared" si="3"/>
        <v>-0.71538614713526794</v>
      </c>
    </row>
    <row r="5" spans="1:6" ht="15" customHeight="1" x14ac:dyDescent="0.25">
      <c r="A5" s="2">
        <v>-9.4</v>
      </c>
      <c r="B5" s="2">
        <f t="shared" si="0"/>
        <v>1.4549874467258832</v>
      </c>
      <c r="C5" s="2">
        <f t="shared" si="1"/>
        <v>-2.4253254041760219</v>
      </c>
      <c r="D5" s="2">
        <f t="shared" si="2"/>
        <v>9.4</v>
      </c>
      <c r="E5" s="2">
        <f t="shared" si="3"/>
        <v>0.72210781989911899</v>
      </c>
    </row>
    <row r="6" spans="1:6" ht="15" customHeight="1" x14ac:dyDescent="0.25">
      <c r="A6" s="2">
        <v>-9.1999999999999993</v>
      </c>
      <c r="B6" s="2">
        <f t="shared" si="0"/>
        <v>2.357637454600884</v>
      </c>
      <c r="C6" s="2">
        <f t="shared" si="1"/>
        <v>-0.48989828488280951</v>
      </c>
      <c r="D6" s="2">
        <f t="shared" si="2"/>
        <v>9.2000000000000046</v>
      </c>
      <c r="E6" s="2">
        <f t="shared" si="3"/>
        <v>0.27849360961735009</v>
      </c>
    </row>
    <row r="7" spans="1:6" ht="15" customHeight="1" x14ac:dyDescent="0.25">
      <c r="A7" s="2">
        <v>-9</v>
      </c>
      <c r="B7" s="2">
        <f t="shared" si="0"/>
        <v>2.9270509831248432</v>
      </c>
      <c r="C7" s="2" t="e">
        <f t="shared" si="1"/>
        <v>#DIV/0!</v>
      </c>
      <c r="D7" s="2">
        <f t="shared" si="2"/>
        <v>9</v>
      </c>
      <c r="E7" s="2">
        <f t="shared" si="3"/>
        <v>-0.91023922662683732</v>
      </c>
    </row>
    <row r="8" spans="1:6" ht="15" customHeight="1" x14ac:dyDescent="0.25">
      <c r="A8" s="2">
        <v>-8.8000000000000007</v>
      </c>
      <c r="B8" s="2">
        <f t="shared" si="0"/>
        <v>2.986133490291309</v>
      </c>
      <c r="C8" s="2">
        <f t="shared" si="1"/>
        <v>4.4898982848827957</v>
      </c>
      <c r="D8" s="2">
        <f t="shared" si="2"/>
        <v>8.7999999999999972</v>
      </c>
      <c r="E8" s="2">
        <f t="shared" si="3"/>
        <v>0.28418599817367807</v>
      </c>
    </row>
    <row r="9" spans="1:6" ht="15" customHeight="1" x14ac:dyDescent="0.25">
      <c r="A9" s="2">
        <v>-8.6</v>
      </c>
      <c r="B9" s="2">
        <f t="shared" si="0"/>
        <v>2.505309210642884</v>
      </c>
      <c r="C9" s="2">
        <f t="shared" si="1"/>
        <v>-1.5746745958239821</v>
      </c>
      <c r="D9" s="2">
        <f t="shared" si="2"/>
        <v>8.5999999999999979</v>
      </c>
      <c r="E9" s="2">
        <f t="shared" si="3"/>
        <v>0.751957621664196</v>
      </c>
    </row>
    <row r="10" spans="1:6" ht="15" customHeight="1" x14ac:dyDescent="0.25">
      <c r="A10" s="2">
        <v>-8.4</v>
      </c>
      <c r="B10" s="2">
        <f t="shared" si="0"/>
        <v>1.6053676799040539</v>
      </c>
      <c r="C10" s="2">
        <f t="shared" si="1"/>
        <v>1.7754860117102069</v>
      </c>
      <c r="D10" s="2">
        <f t="shared" si="2"/>
        <v>8.4</v>
      </c>
      <c r="E10" s="2">
        <f t="shared" si="3"/>
        <v>-0.76027153636648592</v>
      </c>
    </row>
    <row r="11" spans="1:6" ht="15" customHeight="1" x14ac:dyDescent="0.25">
      <c r="A11" s="2">
        <v>-8.1999999999999993</v>
      </c>
      <c r="B11" s="2">
        <f t="shared" si="0"/>
        <v>0.51523241203871417</v>
      </c>
      <c r="C11" s="2">
        <f t="shared" si="1"/>
        <v>-2.2628655560595656</v>
      </c>
      <c r="D11" s="2">
        <f t="shared" si="2"/>
        <v>8.2000000000000046</v>
      </c>
      <c r="E11" s="2">
        <f t="shared" si="3"/>
        <v>-0.29372366181862569</v>
      </c>
    </row>
    <row r="12" spans="1:6" ht="15" customHeight="1" x14ac:dyDescent="0.25">
      <c r="A12" s="2">
        <v>-8</v>
      </c>
      <c r="B12" s="2">
        <f t="shared" si="0"/>
        <v>-0.50000000000000144</v>
      </c>
      <c r="C12" s="2">
        <f t="shared" si="1"/>
        <v>2.0000000000000004</v>
      </c>
      <c r="D12" s="2">
        <f t="shared" si="2"/>
        <v>7.9999999999999973</v>
      </c>
      <c r="E12" s="2">
        <f t="shared" si="3"/>
        <v>0.96179669392597567</v>
      </c>
    </row>
    <row r="13" spans="1:6" ht="15" customHeight="1" x14ac:dyDescent="0.25">
      <c r="A13" s="2">
        <v>-7.8</v>
      </c>
      <c r="B13" s="2">
        <f t="shared" si="0"/>
        <v>-1.216889466441005</v>
      </c>
      <c r="C13" s="2">
        <f t="shared" si="1"/>
        <v>-1.737134443940433</v>
      </c>
      <c r="D13" s="2">
        <f t="shared" si="2"/>
        <v>7.8000000000000034</v>
      </c>
      <c r="E13" s="2">
        <f t="shared" si="3"/>
        <v>-0.30087476163765314</v>
      </c>
    </row>
    <row r="14" spans="1:6" ht="15" customHeight="1" x14ac:dyDescent="0.25">
      <c r="A14" s="2">
        <v>-7.6</v>
      </c>
      <c r="B14" s="2">
        <f t="shared" si="0"/>
        <v>-1.5131974595864499</v>
      </c>
      <c r="C14" s="2">
        <f t="shared" si="1"/>
        <v>2.2245139882897922</v>
      </c>
      <c r="D14" s="2">
        <f t="shared" si="2"/>
        <v>7.5999999999999979</v>
      </c>
      <c r="E14" s="2">
        <f t="shared" si="3"/>
        <v>-0.7977888159359493</v>
      </c>
    </row>
    <row r="15" spans="1:6" ht="15" customHeight="1" x14ac:dyDescent="0.25">
      <c r="A15" s="2">
        <v>-7.4</v>
      </c>
      <c r="B15" s="2">
        <f t="shared" si="0"/>
        <v>-1.3925520237994435</v>
      </c>
      <c r="C15" s="2">
        <f t="shared" si="1"/>
        <v>-2.4253254041760215</v>
      </c>
      <c r="D15" s="2">
        <f t="shared" si="2"/>
        <v>7.4</v>
      </c>
      <c r="E15" s="2">
        <f t="shared" si="3"/>
        <v>0.80841876440435767</v>
      </c>
    </row>
    <row r="16" spans="1:6" ht="15" customHeight="1" x14ac:dyDescent="0.25">
      <c r="A16" s="2">
        <v>-7.2</v>
      </c>
      <c r="B16" s="2">
        <f t="shared" si="0"/>
        <v>-0.97001641582322939</v>
      </c>
      <c r="C16" s="2">
        <f t="shared" ref="C16:C79" si="4">COS(PI()*A16)*(SIN(PI()*A16))/(1+COS(PI()*A16))+2*COS(5*PI()*A16)</f>
        <v>-0.48989828488278508</v>
      </c>
      <c r="D16" s="2">
        <f t="shared" ref="D16:D79" si="5">((4*COS(PI()*A16)*SIN(5*PI()*A16))/A16)-A16</f>
        <v>7.200000000000002</v>
      </c>
      <c r="E16" s="2">
        <f t="shared" ref="E16:E79" si="6">(2*COS(3*PI()*A16))/LN(ABS(A16))</f>
        <v>0.31307427638636304</v>
      </c>
    </row>
    <row r="17" spans="1:5" ht="15" customHeight="1" x14ac:dyDescent="0.25">
      <c r="A17" s="2">
        <v>-7</v>
      </c>
      <c r="B17" s="2">
        <f t="shared" si="0"/>
        <v>-0.42705098312484147</v>
      </c>
      <c r="C17" s="2" t="e">
        <f t="shared" si="4"/>
        <v>#DIV/0!</v>
      </c>
      <c r="D17" s="2">
        <f t="shared" si="5"/>
        <v>6.9999999999999956</v>
      </c>
      <c r="E17" s="2">
        <f t="shared" si="6"/>
        <v>-1.0277966847395015</v>
      </c>
    </row>
    <row r="18" spans="1:5" ht="15" customHeight="1" x14ac:dyDescent="0.25">
      <c r="A18" s="2">
        <v>-6.8</v>
      </c>
      <c r="B18" s="2">
        <f t="shared" si="0"/>
        <v>4.6911531718451693E-2</v>
      </c>
      <c r="C18" s="2">
        <f t="shared" si="4"/>
        <v>4.4898982848827753</v>
      </c>
      <c r="D18" s="2">
        <f t="shared" si="5"/>
        <v>6.8000000000000052</v>
      </c>
      <c r="E18" s="2">
        <f t="shared" si="6"/>
        <v>0.32240946234464624</v>
      </c>
    </row>
    <row r="19" spans="1:5" ht="15" customHeight="1" x14ac:dyDescent="0.25">
      <c r="A19" s="2">
        <v>-6.6</v>
      </c>
      <c r="B19" s="2">
        <f t="shared" si="0"/>
        <v>0.3069042893420148</v>
      </c>
      <c r="C19" s="2">
        <f t="shared" si="4"/>
        <v>-1.5746745958239814</v>
      </c>
      <c r="D19" s="2">
        <f t="shared" si="5"/>
        <v>6.599999999999997</v>
      </c>
      <c r="E19" s="2">
        <f t="shared" si="6"/>
        <v>0.85743204527694905</v>
      </c>
    </row>
    <row r="20" spans="1:5" ht="15" customHeight="1" x14ac:dyDescent="0.25">
      <c r="A20" s="2">
        <v>-6.4</v>
      </c>
      <c r="B20" s="2">
        <f t="shared" si="0"/>
        <v>0.28402024702186768</v>
      </c>
      <c r="C20" s="2">
        <f t="shared" si="4"/>
        <v>1.7754860117102069</v>
      </c>
      <c r="D20" s="2">
        <f t="shared" si="5"/>
        <v>6.3999999999999995</v>
      </c>
      <c r="E20" s="2">
        <f t="shared" si="6"/>
        <v>-0.87164560708876326</v>
      </c>
    </row>
    <row r="21" spans="1:5" ht="15" customHeight="1" x14ac:dyDescent="0.25">
      <c r="A21" s="2">
        <v>-6.2</v>
      </c>
      <c r="B21" s="2">
        <f t="shared" si="0"/>
        <v>-9.789386347874629E-3</v>
      </c>
      <c r="C21" s="2">
        <f t="shared" si="4"/>
        <v>-2.2628655560595665</v>
      </c>
      <c r="D21" s="2">
        <f t="shared" si="5"/>
        <v>6.2000000000000037</v>
      </c>
      <c r="E21" s="2">
        <f t="shared" si="6"/>
        <v>-0.33873241542032634</v>
      </c>
    </row>
    <row r="22" spans="1:5" ht="15" customHeight="1" x14ac:dyDescent="0.25">
      <c r="A22" s="2">
        <v>-6</v>
      </c>
      <c r="B22" s="2">
        <f t="shared" si="0"/>
        <v>-0.50000000000000067</v>
      </c>
      <c r="C22" s="2">
        <f t="shared" si="4"/>
        <v>2.0000000000000004</v>
      </c>
      <c r="D22" s="2">
        <f t="shared" si="5"/>
        <v>5.9999999999999929</v>
      </c>
      <c r="E22" s="2">
        <f t="shared" si="6"/>
        <v>1.1162212531024944</v>
      </c>
    </row>
    <row r="23" spans="1:5" ht="15" customHeight="1" x14ac:dyDescent="0.25">
      <c r="A23" s="2">
        <v>-5.8</v>
      </c>
      <c r="B23" s="2">
        <f t="shared" si="0"/>
        <v>-1.0802995799056607</v>
      </c>
      <c r="C23" s="2">
        <f t="shared" si="4"/>
        <v>-1.737134443940433</v>
      </c>
      <c r="D23" s="2">
        <f t="shared" si="5"/>
        <v>5.8</v>
      </c>
      <c r="E23" s="2">
        <f t="shared" si="6"/>
        <v>-0.35158358510024001</v>
      </c>
    </row>
    <row r="24" spans="1:5" ht="15" customHeight="1" x14ac:dyDescent="0.25">
      <c r="A24" s="2">
        <v>-5.6</v>
      </c>
      <c r="B24" s="2">
        <f t="shared" si="0"/>
        <v>-1.6433590053138221</v>
      </c>
      <c r="C24" s="2">
        <f t="shared" si="4"/>
        <v>2.2245139882897922</v>
      </c>
      <c r="D24" s="2">
        <f t="shared" si="5"/>
        <v>5.5999999999999988</v>
      </c>
      <c r="E24" s="2">
        <f t="shared" si="6"/>
        <v>-0.93920673344344108</v>
      </c>
    </row>
    <row r="25" spans="1:5" ht="15" customHeight="1" x14ac:dyDescent="0.25">
      <c r="A25" s="2">
        <v>-5.4</v>
      </c>
      <c r="B25" s="2">
        <f t="shared" si="0"/>
        <v>-2.1021064369739682</v>
      </c>
      <c r="C25" s="2">
        <f t="shared" si="4"/>
        <v>-2.425325404176021</v>
      </c>
      <c r="D25" s="2">
        <f t="shared" si="5"/>
        <v>5.4000000000000021</v>
      </c>
      <c r="E25" s="2">
        <f t="shared" si="6"/>
        <v>0.95946097767933125</v>
      </c>
    </row>
    <row r="26" spans="1:5" ht="15" customHeight="1" x14ac:dyDescent="0.25">
      <c r="A26" s="2">
        <v>-5.2</v>
      </c>
      <c r="B26" s="2">
        <f t="shared" si="0"/>
        <v>-2.3981235748500387</v>
      </c>
      <c r="C26" s="2">
        <f t="shared" si="4"/>
        <v>-0.48989828488278375</v>
      </c>
      <c r="D26" s="2">
        <f t="shared" si="5"/>
        <v>5.1999999999999975</v>
      </c>
      <c r="E26" s="2">
        <f t="shared" si="6"/>
        <v>0.3748708065805309</v>
      </c>
    </row>
    <row r="27" spans="1:5" ht="15" customHeight="1" x14ac:dyDescent="0.25">
      <c r="A27" s="2">
        <v>-5</v>
      </c>
      <c r="B27" s="2">
        <f t="shared" si="0"/>
        <v>-2.5</v>
      </c>
      <c r="C27" s="2" t="e">
        <f t="shared" si="4"/>
        <v>#DIV/0!</v>
      </c>
      <c r="D27" s="2">
        <f t="shared" si="5"/>
        <v>5</v>
      </c>
      <c r="E27" s="2">
        <f t="shared" si="6"/>
        <v>-1.2426698691192237</v>
      </c>
    </row>
    <row r="28" spans="1:5" ht="15" customHeight="1" x14ac:dyDescent="0.25">
      <c r="A28" s="2">
        <v>-4.8</v>
      </c>
      <c r="B28" s="2">
        <f t="shared" si="0"/>
        <v>-2.3981235748500382</v>
      </c>
      <c r="C28" s="2">
        <f t="shared" si="4"/>
        <v>4.4898982848827771</v>
      </c>
      <c r="D28" s="2">
        <f t="shared" si="5"/>
        <v>4.8000000000000016</v>
      </c>
      <c r="E28" s="2">
        <f t="shared" si="6"/>
        <v>0.39399956464284913</v>
      </c>
    </row>
    <row r="29" spans="1:5" ht="15" customHeight="1" x14ac:dyDescent="0.25">
      <c r="A29" s="2">
        <v>-4.5999999999999996</v>
      </c>
      <c r="B29" s="2">
        <f t="shared" si="0"/>
        <v>-2.1021064369739668</v>
      </c>
      <c r="C29" s="2">
        <f t="shared" si="4"/>
        <v>-1.5746745958239843</v>
      </c>
      <c r="D29" s="2">
        <f t="shared" si="5"/>
        <v>4.5999999999999979</v>
      </c>
      <c r="E29" s="2">
        <f t="shared" si="6"/>
        <v>1.0602714887020799</v>
      </c>
    </row>
    <row r="30" spans="1:5" ht="15" customHeight="1" x14ac:dyDescent="0.25">
      <c r="A30" s="2">
        <v>-4.4000000000000004</v>
      </c>
      <c r="B30" s="2">
        <f t="shared" si="0"/>
        <v>-1.6433590053138218</v>
      </c>
      <c r="C30" s="2">
        <f t="shared" si="4"/>
        <v>1.7754860117102078</v>
      </c>
      <c r="D30" s="2">
        <f t="shared" si="5"/>
        <v>4.4000000000000012</v>
      </c>
      <c r="E30" s="2">
        <f t="shared" si="6"/>
        <v>-1.0920822284606237</v>
      </c>
    </row>
    <row r="31" spans="1:5" ht="15" customHeight="1" x14ac:dyDescent="0.25">
      <c r="A31" s="2">
        <v>-4.2</v>
      </c>
      <c r="B31" s="2">
        <f t="shared" si="0"/>
        <v>-1.0802995799056596</v>
      </c>
      <c r="C31" s="2">
        <f t="shared" si="4"/>
        <v>-2.2628655560595665</v>
      </c>
      <c r="D31" s="2">
        <f t="shared" si="5"/>
        <v>4.1999999999999993</v>
      </c>
      <c r="E31" s="2">
        <f t="shared" si="6"/>
        <v>-0.43066033941471066</v>
      </c>
    </row>
    <row r="32" spans="1:5" ht="15" customHeight="1" x14ac:dyDescent="0.25">
      <c r="A32" s="2">
        <v>-4</v>
      </c>
      <c r="B32" s="2">
        <f t="shared" si="0"/>
        <v>-0.49999999999999956</v>
      </c>
      <c r="C32" s="2">
        <f t="shared" si="4"/>
        <v>2.0000000000000004</v>
      </c>
      <c r="D32" s="2">
        <f t="shared" si="5"/>
        <v>3.9999999999999973</v>
      </c>
      <c r="E32" s="2">
        <f t="shared" si="6"/>
        <v>1.4426950408889634</v>
      </c>
    </row>
    <row r="33" spans="1:5" ht="15" customHeight="1" x14ac:dyDescent="0.25">
      <c r="A33" s="2">
        <v>-3.8</v>
      </c>
      <c r="B33" s="2">
        <f t="shared" si="0"/>
        <v>-9.7893863478742404E-3</v>
      </c>
      <c r="C33" s="2">
        <f t="shared" si="4"/>
        <v>-1.737134443940433</v>
      </c>
      <c r="D33" s="2">
        <f t="shared" si="5"/>
        <v>3.8000000000000047</v>
      </c>
      <c r="E33" s="2">
        <f t="shared" si="6"/>
        <v>-0.46294643813480674</v>
      </c>
    </row>
    <row r="34" spans="1:5" ht="15" customHeight="1" x14ac:dyDescent="0.25">
      <c r="A34" s="2">
        <v>-3.6</v>
      </c>
      <c r="B34" s="2">
        <f t="shared" ref="B34:B65" si="7">3*SIN(0.5*PI()*A34)*SIN(0.3*PI()*A34)-0.5*COS(PI()*A34)</f>
        <v>0.28402024702186884</v>
      </c>
      <c r="C34" s="2">
        <f t="shared" si="4"/>
        <v>2.2245139882897926</v>
      </c>
      <c r="D34" s="2">
        <f t="shared" si="5"/>
        <v>3.5999999999999992</v>
      </c>
      <c r="E34" s="2">
        <f t="shared" si="6"/>
        <v>-1.2631674886896511</v>
      </c>
    </row>
    <row r="35" spans="1:5" ht="15" customHeight="1" x14ac:dyDescent="0.25">
      <c r="A35" s="2">
        <v>-3.4</v>
      </c>
      <c r="B35" s="2">
        <f t="shared" si="7"/>
        <v>0.30690428934201353</v>
      </c>
      <c r="C35" s="2">
        <f t="shared" si="4"/>
        <v>-2.4253254041760206</v>
      </c>
      <c r="D35" s="2">
        <f t="shared" si="5"/>
        <v>3.3999999999999977</v>
      </c>
      <c r="E35" s="2">
        <f t="shared" si="6"/>
        <v>1.3221657723633122</v>
      </c>
    </row>
    <row r="36" spans="1:5" ht="15" customHeight="1" x14ac:dyDescent="0.25">
      <c r="A36" s="2">
        <v>-3.2</v>
      </c>
      <c r="B36" s="2">
        <f t="shared" si="7"/>
        <v>4.6911531718452248E-2</v>
      </c>
      <c r="C36" s="2">
        <f t="shared" si="4"/>
        <v>-0.48989828488278286</v>
      </c>
      <c r="D36" s="2">
        <f t="shared" si="5"/>
        <v>3.200000000000002</v>
      </c>
      <c r="E36" s="2">
        <f t="shared" si="6"/>
        <v>0.53134467477449721</v>
      </c>
    </row>
    <row r="37" spans="1:5" ht="15" customHeight="1" x14ac:dyDescent="0.25">
      <c r="A37" s="2">
        <v>-3</v>
      </c>
      <c r="B37" s="2">
        <f t="shared" si="7"/>
        <v>-0.42705098312484258</v>
      </c>
      <c r="C37" s="2" t="e">
        <f t="shared" si="4"/>
        <v>#DIV/0!</v>
      </c>
      <c r="D37" s="2">
        <f t="shared" si="5"/>
        <v>2.9999999999999929</v>
      </c>
      <c r="E37" s="2">
        <f t="shared" si="6"/>
        <v>-1.8204784532536746</v>
      </c>
    </row>
    <row r="38" spans="1:5" ht="15" customHeight="1" x14ac:dyDescent="0.25">
      <c r="A38" s="2">
        <v>-2.8</v>
      </c>
      <c r="B38" s="2">
        <f t="shared" si="7"/>
        <v>-0.9700164158232315</v>
      </c>
      <c r="C38" s="2">
        <f t="shared" si="4"/>
        <v>4.4898982848827789</v>
      </c>
      <c r="D38" s="2">
        <f t="shared" si="5"/>
        <v>2.8000000000000016</v>
      </c>
      <c r="E38" s="2">
        <f t="shared" si="6"/>
        <v>0.60025479166070905</v>
      </c>
    </row>
    <row r="39" spans="1:5" ht="15" customHeight="1" x14ac:dyDescent="0.25">
      <c r="A39" s="2">
        <v>-2.6</v>
      </c>
      <c r="B39" s="2">
        <f t="shared" si="7"/>
        <v>-1.3925520237994433</v>
      </c>
      <c r="C39" s="2">
        <f t="shared" si="4"/>
        <v>-1.5746745958239807</v>
      </c>
      <c r="D39" s="2">
        <f t="shared" si="5"/>
        <v>2.600000000000001</v>
      </c>
      <c r="E39" s="2">
        <f t="shared" si="6"/>
        <v>1.6933695532065907</v>
      </c>
    </row>
    <row r="40" spans="1:5" ht="15" customHeight="1" x14ac:dyDescent="0.25">
      <c r="A40" s="2">
        <v>-2.4</v>
      </c>
      <c r="B40" s="2">
        <f t="shared" si="7"/>
        <v>-1.5131974595864504</v>
      </c>
      <c r="C40" s="2">
        <f t="shared" si="4"/>
        <v>1.7754860117102071</v>
      </c>
      <c r="D40" s="2">
        <f t="shared" si="5"/>
        <v>2.399999999999999</v>
      </c>
      <c r="E40" s="2">
        <f t="shared" si="6"/>
        <v>-1.8481916254832764</v>
      </c>
    </row>
    <row r="41" spans="1:5" ht="15" customHeight="1" x14ac:dyDescent="0.25">
      <c r="A41" s="2">
        <v>-2.2000000000000002</v>
      </c>
      <c r="B41" s="2">
        <f t="shared" si="7"/>
        <v>-1.2168894664410046</v>
      </c>
      <c r="C41" s="2">
        <f t="shared" si="4"/>
        <v>-2.262865556059567</v>
      </c>
      <c r="D41" s="2">
        <f t="shared" si="5"/>
        <v>2.1999999999999971</v>
      </c>
      <c r="E41" s="2">
        <f t="shared" si="6"/>
        <v>-0.78385213940340326</v>
      </c>
    </row>
    <row r="42" spans="1:5" ht="15" customHeight="1" x14ac:dyDescent="0.25">
      <c r="A42" s="2">
        <v>-2</v>
      </c>
      <c r="B42" s="2">
        <f t="shared" si="7"/>
        <v>-0.49999999999999967</v>
      </c>
      <c r="C42" s="2">
        <f t="shared" si="4"/>
        <v>2</v>
      </c>
      <c r="D42" s="2">
        <f t="shared" si="5"/>
        <v>1.9999999999999976</v>
      </c>
      <c r="E42" s="2">
        <f t="shared" si="6"/>
        <v>2.8853900817779268</v>
      </c>
    </row>
    <row r="43" spans="1:5" ht="15" customHeight="1" x14ac:dyDescent="0.25">
      <c r="A43" s="2">
        <v>-1.8</v>
      </c>
      <c r="B43" s="2">
        <f t="shared" si="7"/>
        <v>0.51523241203872261</v>
      </c>
      <c r="C43" s="2">
        <f t="shared" si="4"/>
        <v>-1.737134443940433</v>
      </c>
      <c r="D43" s="2">
        <f t="shared" si="5"/>
        <v>1.800000000000002</v>
      </c>
      <c r="E43" s="2">
        <f t="shared" si="6"/>
        <v>-1.0514596972913872</v>
      </c>
    </row>
    <row r="44" spans="1:5" ht="15" customHeight="1" x14ac:dyDescent="0.25">
      <c r="A44" s="2">
        <v>-1.6</v>
      </c>
      <c r="B44" s="2">
        <f t="shared" si="7"/>
        <v>1.6053676799040559</v>
      </c>
      <c r="C44" s="2">
        <f t="shared" si="4"/>
        <v>2.2245139882897926</v>
      </c>
      <c r="D44" s="2">
        <f t="shared" si="5"/>
        <v>1.5999999999999994</v>
      </c>
      <c r="E44" s="2">
        <f t="shared" si="6"/>
        <v>-3.4425989249200564</v>
      </c>
    </row>
    <row r="45" spans="1:5" ht="15" customHeight="1" x14ac:dyDescent="0.25">
      <c r="A45" s="2">
        <v>-1.4</v>
      </c>
      <c r="B45" s="2">
        <f t="shared" si="7"/>
        <v>2.5053092106428854</v>
      </c>
      <c r="C45" s="2">
        <f t="shared" si="4"/>
        <v>-2.4253254041760202</v>
      </c>
      <c r="D45" s="2">
        <f t="shared" si="5"/>
        <v>1.3999999999999992</v>
      </c>
      <c r="E45" s="2">
        <f t="shared" si="6"/>
        <v>4.8088187156178765</v>
      </c>
    </row>
    <row r="46" spans="1:5" ht="15" customHeight="1" x14ac:dyDescent="0.25">
      <c r="A46" s="2">
        <v>-1.2</v>
      </c>
      <c r="B46" s="2">
        <f t="shared" si="7"/>
        <v>2.9861334902913081</v>
      </c>
      <c r="C46" s="2">
        <f t="shared" si="4"/>
        <v>-0.48989828488278198</v>
      </c>
      <c r="D46" s="2">
        <f t="shared" si="5"/>
        <v>1.200000000000002</v>
      </c>
      <c r="E46" s="2">
        <f t="shared" si="6"/>
        <v>3.3898020597111684</v>
      </c>
    </row>
    <row r="47" spans="1:5" ht="15" customHeight="1" x14ac:dyDescent="0.25">
      <c r="A47" s="2">
        <v>-1</v>
      </c>
      <c r="B47" s="2">
        <f t="shared" si="7"/>
        <v>2.9270509831248424</v>
      </c>
      <c r="C47" s="2" t="e">
        <f t="shared" si="4"/>
        <v>#DIV/0!</v>
      </c>
      <c r="D47" s="2">
        <f t="shared" si="5"/>
        <v>0.99999999999999756</v>
      </c>
      <c r="E47" s="2" t="e">
        <f t="shared" si="6"/>
        <v>#DIV/0!</v>
      </c>
    </row>
    <row r="48" spans="1:5" ht="15" customHeight="1" x14ac:dyDescent="0.25">
      <c r="A48" s="2">
        <v>-0.8</v>
      </c>
      <c r="B48" s="2">
        <f t="shared" si="7"/>
        <v>2.3576374546008778</v>
      </c>
      <c r="C48" s="2">
        <f t="shared" si="4"/>
        <v>4.4898982848827789</v>
      </c>
      <c r="D48" s="2">
        <f t="shared" si="5"/>
        <v>0.80000000000000204</v>
      </c>
      <c r="E48" s="2">
        <f t="shared" si="6"/>
        <v>-2.76966995062133</v>
      </c>
    </row>
    <row r="49" spans="1:5" ht="15" customHeight="1" x14ac:dyDescent="0.25">
      <c r="A49" s="2">
        <v>-0.6</v>
      </c>
      <c r="B49" s="2">
        <f t="shared" si="7"/>
        <v>1.454987446725881</v>
      </c>
      <c r="C49" s="2">
        <f t="shared" si="4"/>
        <v>-1.5746745958239803</v>
      </c>
      <c r="D49" s="2">
        <f t="shared" si="5"/>
        <v>0.5999999999999992</v>
      </c>
      <c r="E49" s="2">
        <f t="shared" si="6"/>
        <v>-3.1674879126484781</v>
      </c>
    </row>
    <row r="50" spans="1:5" ht="15" customHeight="1" x14ac:dyDescent="0.25">
      <c r="A50" s="2">
        <v>-0.4</v>
      </c>
      <c r="B50" s="2">
        <f t="shared" si="7"/>
        <v>0.49462605203697807</v>
      </c>
      <c r="C50" s="2">
        <f t="shared" si="4"/>
        <v>1.7754860117102074</v>
      </c>
      <c r="D50" s="2">
        <f t="shared" si="5"/>
        <v>0.39999999999999925</v>
      </c>
      <c r="E50" s="2">
        <f t="shared" si="6"/>
        <v>1.7658521825713707</v>
      </c>
    </row>
    <row r="51" spans="1:5" ht="15" customHeight="1" x14ac:dyDescent="0.25">
      <c r="A51" s="2">
        <v>-0.2</v>
      </c>
      <c r="B51" s="2">
        <f t="shared" si="7"/>
        <v>-0.2307964652815524</v>
      </c>
      <c r="C51" s="2">
        <f t="shared" si="4"/>
        <v>-2.262865556059567</v>
      </c>
      <c r="D51" s="2">
        <f t="shared" si="5"/>
        <v>0.20000000000000198</v>
      </c>
      <c r="E51" s="2">
        <f t="shared" si="6"/>
        <v>0.38400610795553169</v>
      </c>
    </row>
    <row r="52" spans="1:5" ht="15" customHeight="1" x14ac:dyDescent="0.25">
      <c r="A52" s="2">
        <v>0</v>
      </c>
      <c r="B52" s="2">
        <f t="shared" si="7"/>
        <v>-0.5</v>
      </c>
      <c r="C52" s="2">
        <f t="shared" si="4"/>
        <v>2</v>
      </c>
      <c r="D52" s="2" t="e">
        <f t="shared" si="5"/>
        <v>#DIV/0!</v>
      </c>
      <c r="E52" s="2" t="e">
        <f t="shared" si="6"/>
        <v>#NUM!</v>
      </c>
    </row>
    <row r="53" spans="1:5" ht="15" customHeight="1" x14ac:dyDescent="0.25">
      <c r="A53" s="2">
        <v>0.2</v>
      </c>
      <c r="B53" s="2">
        <f t="shared" si="7"/>
        <v>-0.2307964652815524</v>
      </c>
      <c r="C53" s="2">
        <f t="shared" si="4"/>
        <v>-1.7371344439404333</v>
      </c>
      <c r="D53" s="2">
        <f t="shared" si="5"/>
        <v>-0.19999999999999804</v>
      </c>
      <c r="E53" s="2">
        <f t="shared" si="6"/>
        <v>0.38400610795553169</v>
      </c>
    </row>
    <row r="54" spans="1:5" ht="15" customHeight="1" x14ac:dyDescent="0.25">
      <c r="A54" s="2">
        <v>0.4</v>
      </c>
      <c r="B54" s="2">
        <f t="shared" si="7"/>
        <v>0.49462605203697807</v>
      </c>
      <c r="C54" s="2">
        <f t="shared" si="4"/>
        <v>2.2245139882897926</v>
      </c>
      <c r="D54" s="2">
        <f t="shared" si="5"/>
        <v>-0.4000000000000008</v>
      </c>
      <c r="E54" s="2">
        <f t="shared" si="6"/>
        <v>1.7658521825713707</v>
      </c>
    </row>
    <row r="55" spans="1:5" ht="15" customHeight="1" x14ac:dyDescent="0.25">
      <c r="A55" s="2">
        <v>0.6</v>
      </c>
      <c r="B55" s="2">
        <f t="shared" si="7"/>
        <v>1.454987446725881</v>
      </c>
      <c r="C55" s="2">
        <f t="shared" si="4"/>
        <v>-2.4253254041760197</v>
      </c>
      <c r="D55" s="2">
        <f t="shared" si="5"/>
        <v>-0.60000000000000075</v>
      </c>
      <c r="E55" s="2">
        <f t="shared" si="6"/>
        <v>-3.1674879126484781</v>
      </c>
    </row>
    <row r="56" spans="1:5" ht="15" customHeight="1" x14ac:dyDescent="0.25">
      <c r="A56" s="2">
        <v>0.8</v>
      </c>
      <c r="B56" s="2">
        <f t="shared" si="7"/>
        <v>2.3576374546008778</v>
      </c>
      <c r="C56" s="2">
        <f t="shared" si="4"/>
        <v>-0.48989828488277931</v>
      </c>
      <c r="D56" s="2">
        <f t="shared" si="5"/>
        <v>-0.79999999999999805</v>
      </c>
      <c r="E56" s="2">
        <f t="shared" si="6"/>
        <v>-2.76966995062133</v>
      </c>
    </row>
    <row r="57" spans="1:5" ht="15" customHeight="1" x14ac:dyDescent="0.25">
      <c r="A57" s="2">
        <v>1</v>
      </c>
      <c r="B57" s="2">
        <f t="shared" si="7"/>
        <v>2.9270509831248424</v>
      </c>
      <c r="C57" s="2" t="e">
        <f t="shared" si="4"/>
        <v>#DIV/0!</v>
      </c>
      <c r="D57" s="2">
        <f t="shared" si="5"/>
        <v>-1.0000000000000024</v>
      </c>
      <c r="E57" s="2" t="e">
        <f t="shared" si="6"/>
        <v>#DIV/0!</v>
      </c>
    </row>
    <row r="58" spans="1:5" ht="15" customHeight="1" x14ac:dyDescent="0.25">
      <c r="A58" s="2">
        <v>1.2</v>
      </c>
      <c r="B58" s="2">
        <f t="shared" si="7"/>
        <v>2.9861334902913081</v>
      </c>
      <c r="C58" s="2">
        <f t="shared" si="4"/>
        <v>4.4898982848827824</v>
      </c>
      <c r="D58" s="2">
        <f t="shared" si="5"/>
        <v>-1.199999999999998</v>
      </c>
      <c r="E58" s="2">
        <f t="shared" si="6"/>
        <v>3.3898020597111684</v>
      </c>
    </row>
    <row r="59" spans="1:5" ht="15" customHeight="1" x14ac:dyDescent="0.25">
      <c r="A59" s="2">
        <v>1.4</v>
      </c>
      <c r="B59" s="2">
        <f t="shared" si="7"/>
        <v>2.5053092106428854</v>
      </c>
      <c r="C59" s="2">
        <f t="shared" si="4"/>
        <v>-1.5746745958239798</v>
      </c>
      <c r="D59" s="2">
        <f t="shared" si="5"/>
        <v>-1.4000000000000006</v>
      </c>
      <c r="E59" s="2">
        <f t="shared" si="6"/>
        <v>4.8088187156178765</v>
      </c>
    </row>
    <row r="60" spans="1:5" ht="15" customHeight="1" x14ac:dyDescent="0.25">
      <c r="A60" s="2">
        <v>1.6</v>
      </c>
      <c r="B60" s="2">
        <f t="shared" si="7"/>
        <v>1.6053676799040559</v>
      </c>
      <c r="C60" s="2">
        <f t="shared" si="4"/>
        <v>1.7754860117102074</v>
      </c>
      <c r="D60" s="2">
        <f t="shared" si="5"/>
        <v>-1.6000000000000008</v>
      </c>
      <c r="E60" s="2">
        <f t="shared" si="6"/>
        <v>-3.4425989249200564</v>
      </c>
    </row>
    <row r="61" spans="1:5" ht="15" customHeight="1" x14ac:dyDescent="0.25">
      <c r="A61" s="2">
        <v>1.8</v>
      </c>
      <c r="B61" s="2">
        <f t="shared" si="7"/>
        <v>0.51523241203872261</v>
      </c>
      <c r="C61" s="2">
        <f t="shared" si="4"/>
        <v>-2.262865556059567</v>
      </c>
      <c r="D61" s="2">
        <f t="shared" si="5"/>
        <v>-1.799999999999998</v>
      </c>
      <c r="E61" s="2">
        <f t="shared" si="6"/>
        <v>-1.0514596972913872</v>
      </c>
    </row>
    <row r="62" spans="1:5" ht="15" customHeight="1" x14ac:dyDescent="0.25">
      <c r="A62" s="2">
        <v>2</v>
      </c>
      <c r="B62" s="2">
        <f t="shared" si="7"/>
        <v>-0.49999999999999967</v>
      </c>
      <c r="C62" s="2">
        <f t="shared" si="4"/>
        <v>1.9999999999999998</v>
      </c>
      <c r="D62" s="2">
        <f t="shared" si="5"/>
        <v>-2.0000000000000027</v>
      </c>
      <c r="E62" s="2">
        <f t="shared" si="6"/>
        <v>2.8853900817779268</v>
      </c>
    </row>
    <row r="63" spans="1:5" ht="15" customHeight="1" x14ac:dyDescent="0.25">
      <c r="A63" s="2">
        <v>2.2000000000000002</v>
      </c>
      <c r="B63" s="2">
        <f t="shared" si="7"/>
        <v>-1.2168894664410046</v>
      </c>
      <c r="C63" s="2">
        <f t="shared" si="4"/>
        <v>-1.737134443940433</v>
      </c>
      <c r="D63" s="2">
        <f t="shared" si="5"/>
        <v>-2.2000000000000033</v>
      </c>
      <c r="E63" s="2">
        <f t="shared" si="6"/>
        <v>-0.78385213940340326</v>
      </c>
    </row>
    <row r="64" spans="1:5" ht="15" customHeight="1" x14ac:dyDescent="0.25">
      <c r="A64" s="2">
        <v>2.4</v>
      </c>
      <c r="B64" s="2">
        <f t="shared" si="7"/>
        <v>-1.5131974595864504</v>
      </c>
      <c r="C64" s="2">
        <f t="shared" si="4"/>
        <v>2.2245139882897931</v>
      </c>
      <c r="D64" s="2">
        <f t="shared" si="5"/>
        <v>-2.4000000000000008</v>
      </c>
      <c r="E64" s="2">
        <f t="shared" si="6"/>
        <v>-1.8481916254832764</v>
      </c>
    </row>
    <row r="65" spans="1:5" ht="15" customHeight="1" x14ac:dyDescent="0.25">
      <c r="A65" s="2">
        <v>2.6</v>
      </c>
      <c r="B65" s="2">
        <f t="shared" si="7"/>
        <v>-1.3925520237994433</v>
      </c>
      <c r="C65" s="2">
        <f t="shared" si="4"/>
        <v>-2.4253254041760193</v>
      </c>
      <c r="D65" s="2">
        <f t="shared" si="5"/>
        <v>-2.5999999999999992</v>
      </c>
      <c r="E65" s="2">
        <f t="shared" si="6"/>
        <v>1.6933695532065907</v>
      </c>
    </row>
    <row r="66" spans="1:5" ht="15" customHeight="1" x14ac:dyDescent="0.25">
      <c r="A66" s="2">
        <v>2.8</v>
      </c>
      <c r="B66" s="2">
        <f t="shared" ref="B66:B97" si="8">3*SIN(0.5*PI()*A66)*SIN(0.3*PI()*A66)-0.5*COS(PI()*A66)</f>
        <v>-0.9700164158232315</v>
      </c>
      <c r="C66" s="2">
        <f t="shared" si="4"/>
        <v>-0.48989828488277842</v>
      </c>
      <c r="D66" s="2">
        <f t="shared" si="5"/>
        <v>-2.799999999999998</v>
      </c>
      <c r="E66" s="2">
        <f t="shared" si="6"/>
        <v>0.60025479166070905</v>
      </c>
    </row>
    <row r="67" spans="1:5" ht="15" customHeight="1" x14ac:dyDescent="0.25">
      <c r="A67" s="2">
        <v>3</v>
      </c>
      <c r="B67" s="2">
        <f t="shared" si="8"/>
        <v>-0.42705098312484258</v>
      </c>
      <c r="C67" s="2" t="e">
        <f t="shared" si="4"/>
        <v>#DIV/0!</v>
      </c>
      <c r="D67" s="2">
        <f t="shared" si="5"/>
        <v>-3.0000000000000071</v>
      </c>
      <c r="E67" s="2">
        <f t="shared" si="6"/>
        <v>-1.8204784532536746</v>
      </c>
    </row>
    <row r="68" spans="1:5" ht="15" customHeight="1" x14ac:dyDescent="0.25">
      <c r="A68" s="2">
        <v>3.2</v>
      </c>
      <c r="B68" s="2">
        <f t="shared" si="8"/>
        <v>4.6911531718452248E-2</v>
      </c>
      <c r="C68" s="2">
        <f t="shared" si="4"/>
        <v>4.4898982848827824</v>
      </c>
      <c r="D68" s="2">
        <f t="shared" si="5"/>
        <v>-3.1999999999999984</v>
      </c>
      <c r="E68" s="2">
        <f t="shared" si="6"/>
        <v>0.53134467477449721</v>
      </c>
    </row>
    <row r="69" spans="1:5" ht="15" customHeight="1" x14ac:dyDescent="0.25">
      <c r="A69" s="2">
        <v>3.4</v>
      </c>
      <c r="B69" s="2">
        <f t="shared" si="8"/>
        <v>0.30690428934201353</v>
      </c>
      <c r="C69" s="2">
        <f t="shared" si="4"/>
        <v>-1.5746745958239792</v>
      </c>
      <c r="D69" s="2">
        <f t="shared" si="5"/>
        <v>-3.4000000000000021</v>
      </c>
      <c r="E69" s="2">
        <f t="shared" si="6"/>
        <v>1.3221657723633122</v>
      </c>
    </row>
    <row r="70" spans="1:5" ht="15" customHeight="1" x14ac:dyDescent="0.25">
      <c r="A70" s="2">
        <v>3.6</v>
      </c>
      <c r="B70" s="2">
        <f t="shared" si="8"/>
        <v>0.28402024702186884</v>
      </c>
      <c r="C70" s="2">
        <f t="shared" si="4"/>
        <v>1.7754860117102076</v>
      </c>
      <c r="D70" s="2">
        <f t="shared" si="5"/>
        <v>-3.600000000000001</v>
      </c>
      <c r="E70" s="2">
        <f t="shared" si="6"/>
        <v>-1.2631674886896511</v>
      </c>
    </row>
    <row r="71" spans="1:5" ht="15" customHeight="1" x14ac:dyDescent="0.25">
      <c r="A71" s="2">
        <v>3.8</v>
      </c>
      <c r="B71" s="2">
        <f t="shared" si="8"/>
        <v>-9.7893863478742404E-3</v>
      </c>
      <c r="C71" s="2">
        <f t="shared" si="4"/>
        <v>-2.262865556059567</v>
      </c>
      <c r="D71" s="2">
        <f t="shared" si="5"/>
        <v>-3.7999999999999949</v>
      </c>
      <c r="E71" s="2">
        <f t="shared" si="6"/>
        <v>-0.46294643813480674</v>
      </c>
    </row>
    <row r="72" spans="1:5" ht="15" customHeight="1" x14ac:dyDescent="0.25">
      <c r="A72" s="2">
        <v>4</v>
      </c>
      <c r="B72" s="2">
        <f t="shared" si="8"/>
        <v>-0.49999999999999956</v>
      </c>
      <c r="C72" s="2">
        <f t="shared" si="4"/>
        <v>1.9999999999999998</v>
      </c>
      <c r="D72" s="2">
        <f t="shared" si="5"/>
        <v>-4.0000000000000027</v>
      </c>
      <c r="E72" s="2">
        <f t="shared" si="6"/>
        <v>1.4426950408889634</v>
      </c>
    </row>
    <row r="73" spans="1:5" ht="15" customHeight="1" x14ac:dyDescent="0.25">
      <c r="A73" s="2">
        <v>4.2</v>
      </c>
      <c r="B73" s="2">
        <f t="shared" si="8"/>
        <v>-1.0802995799056596</v>
      </c>
      <c r="C73" s="2">
        <f t="shared" si="4"/>
        <v>-1.7371344439404333</v>
      </c>
      <c r="D73" s="2">
        <f t="shared" si="5"/>
        <v>-4.2000000000000011</v>
      </c>
      <c r="E73" s="2">
        <f t="shared" si="6"/>
        <v>-0.43066033941471066</v>
      </c>
    </row>
    <row r="74" spans="1:5" ht="15" customHeight="1" x14ac:dyDescent="0.25">
      <c r="A74" s="2">
        <v>4.4000000000000004</v>
      </c>
      <c r="B74" s="2">
        <f t="shared" si="8"/>
        <v>-1.6433590053138218</v>
      </c>
      <c r="C74" s="2">
        <f t="shared" si="4"/>
        <v>2.2245139882897922</v>
      </c>
      <c r="D74" s="2">
        <f t="shared" si="5"/>
        <v>-4.3999999999999995</v>
      </c>
      <c r="E74" s="2">
        <f t="shared" si="6"/>
        <v>-1.0920822284606237</v>
      </c>
    </row>
    <row r="75" spans="1:5" ht="15" customHeight="1" x14ac:dyDescent="0.25">
      <c r="A75" s="2">
        <v>4.5999999999999996</v>
      </c>
      <c r="B75" s="2">
        <f t="shared" si="8"/>
        <v>-2.1021064369739668</v>
      </c>
      <c r="C75" s="2">
        <f t="shared" si="4"/>
        <v>-2.4253254041760157</v>
      </c>
      <c r="D75" s="2">
        <f t="shared" si="5"/>
        <v>-4.6000000000000014</v>
      </c>
      <c r="E75" s="2">
        <f t="shared" si="6"/>
        <v>1.0602714887020799</v>
      </c>
    </row>
    <row r="76" spans="1:5" ht="15" customHeight="1" x14ac:dyDescent="0.25">
      <c r="A76" s="2">
        <v>4.8</v>
      </c>
      <c r="B76" s="2">
        <f t="shared" si="8"/>
        <v>-2.3981235748500382</v>
      </c>
      <c r="C76" s="2">
        <f t="shared" si="4"/>
        <v>-0.48989828488277753</v>
      </c>
      <c r="D76" s="2">
        <f t="shared" si="5"/>
        <v>-4.799999999999998</v>
      </c>
      <c r="E76" s="2">
        <f t="shared" si="6"/>
        <v>0.39399956464284913</v>
      </c>
    </row>
    <row r="77" spans="1:5" ht="15" customHeight="1" x14ac:dyDescent="0.25">
      <c r="A77" s="2">
        <v>5</v>
      </c>
      <c r="B77" s="2">
        <f t="shared" si="8"/>
        <v>-2.5</v>
      </c>
      <c r="C77" s="2" t="e">
        <f t="shared" si="4"/>
        <v>#DIV/0!</v>
      </c>
      <c r="D77" s="2">
        <f t="shared" si="5"/>
        <v>-5</v>
      </c>
      <c r="E77" s="2">
        <f t="shared" si="6"/>
        <v>-1.2426698691192237</v>
      </c>
    </row>
    <row r="78" spans="1:5" ht="15" customHeight="1" x14ac:dyDescent="0.25">
      <c r="A78" s="2">
        <v>5.2</v>
      </c>
      <c r="B78" s="2">
        <f t="shared" si="8"/>
        <v>-2.3981235748500387</v>
      </c>
      <c r="C78" s="2">
        <f t="shared" si="4"/>
        <v>4.4898982848827842</v>
      </c>
      <c r="D78" s="2">
        <f t="shared" si="5"/>
        <v>-5.2000000000000028</v>
      </c>
      <c r="E78" s="2">
        <f t="shared" si="6"/>
        <v>0.3748708065805309</v>
      </c>
    </row>
    <row r="79" spans="1:5" ht="15" customHeight="1" x14ac:dyDescent="0.25">
      <c r="A79" s="2">
        <v>5.4</v>
      </c>
      <c r="B79" s="2">
        <f t="shared" si="8"/>
        <v>-2.1021064369739682</v>
      </c>
      <c r="C79" s="2">
        <f t="shared" si="4"/>
        <v>-1.5746745958239787</v>
      </c>
      <c r="D79" s="2">
        <f t="shared" si="5"/>
        <v>-5.3999999999999986</v>
      </c>
      <c r="E79" s="2">
        <f t="shared" si="6"/>
        <v>0.95946097767933125</v>
      </c>
    </row>
    <row r="80" spans="1:5" ht="15" customHeight="1" x14ac:dyDescent="0.25">
      <c r="A80" s="2">
        <v>5.6</v>
      </c>
      <c r="B80" s="2">
        <f t="shared" si="8"/>
        <v>-1.6433590053138221</v>
      </c>
      <c r="C80" s="2">
        <f t="shared" ref="C80:C102" si="9">COS(PI()*A80)*(SIN(PI()*A80))/(1+COS(PI()*A80))+2*COS(5*PI()*A80)</f>
        <v>1.7754860117102076</v>
      </c>
      <c r="D80" s="2">
        <f t="shared" ref="D80:D102" si="10">((4*COS(PI()*A80)*SIN(5*PI()*A80))/A80)-A80</f>
        <v>-5.6000000000000005</v>
      </c>
      <c r="E80" s="2">
        <f t="shared" ref="E80:E102" si="11">(2*COS(3*PI()*A80))/LN(ABS(A80))</f>
        <v>-0.93920673344344108</v>
      </c>
    </row>
    <row r="81" spans="1:5" ht="15" customHeight="1" x14ac:dyDescent="0.25">
      <c r="A81" s="2">
        <v>5.8</v>
      </c>
      <c r="B81" s="2">
        <f t="shared" si="8"/>
        <v>-1.0802995799056607</v>
      </c>
      <c r="C81" s="2">
        <f t="shared" si="9"/>
        <v>-2.262865556059567</v>
      </c>
      <c r="D81" s="2">
        <f t="shared" si="10"/>
        <v>-5.8</v>
      </c>
      <c r="E81" s="2">
        <f t="shared" si="11"/>
        <v>-0.35158358510024001</v>
      </c>
    </row>
    <row r="82" spans="1:5" ht="15" customHeight="1" x14ac:dyDescent="0.25">
      <c r="A82" s="2">
        <v>6</v>
      </c>
      <c r="B82" s="2">
        <f t="shared" si="8"/>
        <v>-0.50000000000000067</v>
      </c>
      <c r="C82" s="2">
        <f t="shared" si="9"/>
        <v>1.9999999999999996</v>
      </c>
      <c r="D82" s="2">
        <f t="shared" si="10"/>
        <v>-6.0000000000000071</v>
      </c>
      <c r="E82" s="2">
        <f t="shared" si="11"/>
        <v>1.1162212531024944</v>
      </c>
    </row>
    <row r="83" spans="1:5" ht="15" customHeight="1" x14ac:dyDescent="0.25">
      <c r="A83" s="2">
        <v>6.2</v>
      </c>
      <c r="B83" s="2">
        <f t="shared" si="8"/>
        <v>-9.789386347874629E-3</v>
      </c>
      <c r="C83" s="2">
        <f t="shared" si="9"/>
        <v>-1.7371344439404335</v>
      </c>
      <c r="D83" s="2">
        <f t="shared" si="10"/>
        <v>-6.1999999999999966</v>
      </c>
      <c r="E83" s="2">
        <f t="shared" si="11"/>
        <v>-0.33873241542032634</v>
      </c>
    </row>
    <row r="84" spans="1:5" ht="15" customHeight="1" x14ac:dyDescent="0.25">
      <c r="A84" s="2">
        <v>6.4</v>
      </c>
      <c r="B84" s="2">
        <f t="shared" si="8"/>
        <v>0.28402024702186768</v>
      </c>
      <c r="C84" s="2">
        <f t="shared" si="9"/>
        <v>2.2245139882897931</v>
      </c>
      <c r="D84" s="2">
        <f t="shared" si="10"/>
        <v>-6.4000000000000012</v>
      </c>
      <c r="E84" s="2">
        <f t="shared" si="11"/>
        <v>-0.87164560708876326</v>
      </c>
    </row>
    <row r="85" spans="1:5" ht="15" customHeight="1" x14ac:dyDescent="0.25">
      <c r="A85" s="2">
        <v>6.6</v>
      </c>
      <c r="B85" s="2">
        <f t="shared" si="8"/>
        <v>0.3069042893420148</v>
      </c>
      <c r="C85" s="2">
        <f t="shared" si="9"/>
        <v>-2.4253254041760188</v>
      </c>
      <c r="D85" s="2">
        <f t="shared" si="10"/>
        <v>-6.6000000000000023</v>
      </c>
      <c r="E85" s="2">
        <f t="shared" si="11"/>
        <v>0.85743204527694905</v>
      </c>
    </row>
    <row r="86" spans="1:5" ht="15" customHeight="1" x14ac:dyDescent="0.25">
      <c r="A86" s="2">
        <v>6.8</v>
      </c>
      <c r="B86" s="2">
        <f t="shared" si="8"/>
        <v>4.6911531718451693E-2</v>
      </c>
      <c r="C86" s="2">
        <f t="shared" si="9"/>
        <v>-0.48989828488277487</v>
      </c>
      <c r="D86" s="2">
        <f t="shared" si="10"/>
        <v>-6.7999999999999945</v>
      </c>
      <c r="E86" s="2">
        <f t="shared" si="11"/>
        <v>0.32240946234464624</v>
      </c>
    </row>
    <row r="87" spans="1:5" ht="15" customHeight="1" x14ac:dyDescent="0.25">
      <c r="A87" s="2">
        <v>7</v>
      </c>
      <c r="B87" s="2">
        <f t="shared" si="8"/>
        <v>-0.42705098312484147</v>
      </c>
      <c r="C87" s="2" t="e">
        <f t="shared" si="9"/>
        <v>#DIV/0!</v>
      </c>
      <c r="D87" s="2">
        <f t="shared" si="10"/>
        <v>-7.0000000000000044</v>
      </c>
      <c r="E87" s="2">
        <f t="shared" si="11"/>
        <v>-1.0277966847395015</v>
      </c>
    </row>
    <row r="88" spans="1:5" ht="15" customHeight="1" x14ac:dyDescent="0.25">
      <c r="A88" s="2">
        <v>7.2</v>
      </c>
      <c r="B88" s="2">
        <f t="shared" si="8"/>
        <v>-0.97001641582322939</v>
      </c>
      <c r="C88" s="2">
        <f t="shared" si="9"/>
        <v>4.4898982848827851</v>
      </c>
      <c r="D88" s="2">
        <f t="shared" si="10"/>
        <v>-7.1999999999999984</v>
      </c>
      <c r="E88" s="2">
        <f t="shared" si="11"/>
        <v>0.31307427638636304</v>
      </c>
    </row>
    <row r="89" spans="1:5" ht="15" customHeight="1" x14ac:dyDescent="0.25">
      <c r="A89" s="2">
        <v>7.4</v>
      </c>
      <c r="B89" s="2">
        <f t="shared" si="8"/>
        <v>-1.3925520237994435</v>
      </c>
      <c r="C89" s="2">
        <f t="shared" si="9"/>
        <v>-1.5746745958239785</v>
      </c>
      <c r="D89" s="2">
        <f t="shared" si="10"/>
        <v>-7.4</v>
      </c>
      <c r="E89" s="2">
        <f t="shared" si="11"/>
        <v>0.80841876440435767</v>
      </c>
    </row>
    <row r="90" spans="1:5" ht="15" customHeight="1" x14ac:dyDescent="0.25">
      <c r="A90" s="2">
        <v>7.6</v>
      </c>
      <c r="B90" s="2">
        <f t="shared" si="8"/>
        <v>-1.5131974595864499</v>
      </c>
      <c r="C90" s="2">
        <f t="shared" si="9"/>
        <v>1.7754860117102078</v>
      </c>
      <c r="D90" s="2">
        <f t="shared" si="10"/>
        <v>-7.6000000000000014</v>
      </c>
      <c r="E90" s="2">
        <f t="shared" si="11"/>
        <v>-0.7977888159359493</v>
      </c>
    </row>
    <row r="91" spans="1:5" ht="15" customHeight="1" x14ac:dyDescent="0.25">
      <c r="A91" s="2">
        <v>7.8</v>
      </c>
      <c r="B91" s="2">
        <f t="shared" si="8"/>
        <v>-1.216889466441005</v>
      </c>
      <c r="C91" s="2">
        <f t="shared" si="9"/>
        <v>-2.262865556059567</v>
      </c>
      <c r="D91" s="2">
        <f t="shared" si="10"/>
        <v>-7.7999999999999963</v>
      </c>
      <c r="E91" s="2">
        <f t="shared" si="11"/>
        <v>-0.30087476163765314</v>
      </c>
    </row>
    <row r="92" spans="1:5" ht="15" customHeight="1" x14ac:dyDescent="0.25">
      <c r="A92" s="2">
        <v>8</v>
      </c>
      <c r="B92" s="2">
        <f t="shared" si="8"/>
        <v>-0.50000000000000144</v>
      </c>
      <c r="C92" s="2">
        <f t="shared" si="9"/>
        <v>1.9999999999999996</v>
      </c>
      <c r="D92" s="2">
        <f t="shared" si="10"/>
        <v>-8.0000000000000018</v>
      </c>
      <c r="E92" s="2">
        <f t="shared" si="11"/>
        <v>0.96179669392597567</v>
      </c>
    </row>
    <row r="93" spans="1:5" ht="15" customHeight="1" x14ac:dyDescent="0.25">
      <c r="A93" s="2">
        <v>8.1999999999999993</v>
      </c>
      <c r="B93" s="2">
        <f t="shared" si="8"/>
        <v>0.51523241203871417</v>
      </c>
      <c r="C93" s="2">
        <f t="shared" si="9"/>
        <v>-1.7371344439404344</v>
      </c>
      <c r="D93" s="2">
        <f t="shared" si="10"/>
        <v>-8.199999999999994</v>
      </c>
      <c r="E93" s="2">
        <f t="shared" si="11"/>
        <v>-0.29372366181862569</v>
      </c>
    </row>
    <row r="94" spans="1:5" ht="15" customHeight="1" x14ac:dyDescent="0.25">
      <c r="A94" s="2">
        <v>8.4</v>
      </c>
      <c r="B94" s="2">
        <f t="shared" si="8"/>
        <v>1.6053676799040539</v>
      </c>
      <c r="C94" s="2">
        <f t="shared" si="9"/>
        <v>2.2245139882897931</v>
      </c>
      <c r="D94" s="2">
        <f t="shared" si="10"/>
        <v>-8.4</v>
      </c>
      <c r="E94" s="2">
        <f t="shared" si="11"/>
        <v>-0.76027153636648592</v>
      </c>
    </row>
    <row r="95" spans="1:5" ht="15" customHeight="1" x14ac:dyDescent="0.25">
      <c r="A95" s="2">
        <v>8.6</v>
      </c>
      <c r="B95" s="2">
        <f t="shared" si="8"/>
        <v>2.505309210642884</v>
      </c>
      <c r="C95" s="2">
        <f t="shared" si="9"/>
        <v>-2.4253254041760179</v>
      </c>
      <c r="D95" s="2">
        <f t="shared" si="10"/>
        <v>-8.6000000000000014</v>
      </c>
      <c r="E95" s="2">
        <f t="shared" si="11"/>
        <v>0.751957621664196</v>
      </c>
    </row>
    <row r="96" spans="1:5" ht="15" customHeight="1" x14ac:dyDescent="0.25">
      <c r="A96" s="2">
        <v>8.8000000000000007</v>
      </c>
      <c r="B96" s="2">
        <f t="shared" si="8"/>
        <v>2.986133490291309</v>
      </c>
      <c r="C96" s="2">
        <f t="shared" si="9"/>
        <v>-0.48989828488279574</v>
      </c>
      <c r="D96" s="2">
        <f t="shared" si="10"/>
        <v>-8.8000000000000043</v>
      </c>
      <c r="E96" s="2">
        <f t="shared" si="11"/>
        <v>0.28418599817367807</v>
      </c>
    </row>
    <row r="97" spans="1:5" ht="15" customHeight="1" x14ac:dyDescent="0.25">
      <c r="A97" s="2">
        <v>9</v>
      </c>
      <c r="B97" s="2">
        <f t="shared" si="8"/>
        <v>2.9270509831248432</v>
      </c>
      <c r="C97" s="2" t="e">
        <f t="shared" si="9"/>
        <v>#DIV/0!</v>
      </c>
      <c r="D97" s="2">
        <f t="shared" si="10"/>
        <v>-9</v>
      </c>
      <c r="E97" s="2">
        <f t="shared" si="11"/>
        <v>-0.91023922662683732</v>
      </c>
    </row>
    <row r="98" spans="1:5" ht="15" customHeight="1" x14ac:dyDescent="0.25">
      <c r="A98" s="2">
        <v>9.1999999999999993</v>
      </c>
      <c r="B98" s="2">
        <f>3*SIN(0.5*PI()*A98)*SIN(0.3*PI()*A98)-0.5*COS(PI()*A98)</f>
        <v>2.357637454600884</v>
      </c>
      <c r="C98" s="2">
        <f t="shared" si="9"/>
        <v>4.4898982848828091</v>
      </c>
      <c r="D98" s="2">
        <f t="shared" si="10"/>
        <v>-9.199999999999994</v>
      </c>
      <c r="E98" s="2">
        <f t="shared" si="11"/>
        <v>0.27849360961735009</v>
      </c>
    </row>
    <row r="99" spans="1:5" ht="15" customHeight="1" x14ac:dyDescent="0.25">
      <c r="A99" s="2">
        <v>9.4</v>
      </c>
      <c r="B99" s="2">
        <f>3*SIN(0.5*PI()*A99)*SIN(0.3*PI()*A99)-0.5*COS(PI()*A99)</f>
        <v>1.4549874467258832</v>
      </c>
      <c r="C99" s="2">
        <f t="shared" si="9"/>
        <v>-1.5746745958239781</v>
      </c>
      <c r="D99" s="2">
        <f t="shared" si="10"/>
        <v>-9.4</v>
      </c>
      <c r="E99" s="2">
        <f t="shared" si="11"/>
        <v>0.72210781989911899</v>
      </c>
    </row>
    <row r="100" spans="1:5" ht="15" customHeight="1" x14ac:dyDescent="0.25">
      <c r="A100" s="2">
        <v>9.6</v>
      </c>
      <c r="B100" s="2">
        <f>3*SIN(0.5*PI()*A100)*SIN(0.3*PI()*A100)-0.5*COS(PI()*A100)</f>
        <v>0.49462605203697907</v>
      </c>
      <c r="C100" s="2">
        <f t="shared" si="9"/>
        <v>1.7754860117102078</v>
      </c>
      <c r="D100" s="2">
        <f t="shared" si="10"/>
        <v>-9.6</v>
      </c>
      <c r="E100" s="2">
        <f t="shared" si="11"/>
        <v>-0.71538614713526794</v>
      </c>
    </row>
    <row r="101" spans="1:5" ht="15" customHeight="1" x14ac:dyDescent="0.25">
      <c r="A101" s="2">
        <v>9.8000000000000007</v>
      </c>
      <c r="B101" s="2">
        <f>3*SIN(0.5*PI()*A101)*SIN(0.3*PI()*A101)-0.5*COS(PI()*A101)</f>
        <v>-0.23079646528155431</v>
      </c>
      <c r="C101" s="2">
        <f t="shared" si="9"/>
        <v>-2.2628655560595661</v>
      </c>
      <c r="D101" s="2">
        <f t="shared" si="10"/>
        <v>-9.8000000000000043</v>
      </c>
      <c r="E101" s="2">
        <f t="shared" si="11"/>
        <v>-0.27078459447832121</v>
      </c>
    </row>
    <row r="102" spans="1:5" ht="15" customHeight="1" x14ac:dyDescent="0.25">
      <c r="A102" s="2">
        <v>10</v>
      </c>
      <c r="B102" s="2">
        <f>3*SIN(0.5*PI()*A102)*SIN(0.3*PI()*A102)-0.5*COS(PI()*A102)</f>
        <v>-0.5</v>
      </c>
      <c r="C102" s="2">
        <f t="shared" si="9"/>
        <v>1.9999999999999993</v>
      </c>
      <c r="D102" s="2">
        <f t="shared" si="10"/>
        <v>-10</v>
      </c>
      <c r="E102" s="2">
        <f t="shared" si="11"/>
        <v>0.86858896380650352</v>
      </c>
    </row>
    <row r="103" spans="1:5" ht="15" customHeight="1" x14ac:dyDescent="0.25"/>
    <row r="104" spans="1:5" ht="15" customHeight="1" x14ac:dyDescent="0.25"/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4"/>
  <sheetViews>
    <sheetView zoomScaleNormal="100" workbookViewId="0">
      <selection activeCell="F2" sqref="F2"/>
    </sheetView>
  </sheetViews>
  <sheetFormatPr defaultColWidth="8.7109375" defaultRowHeight="15" x14ac:dyDescent="0.25"/>
  <cols>
    <col min="1" max="1" width="8" customWidth="1"/>
    <col min="2" max="2" width="17.5703125" customWidth="1"/>
    <col min="3" max="6" width="30" customWidth="1"/>
  </cols>
  <sheetData>
    <row r="1" spans="1:7" ht="15.75" customHeight="1" x14ac:dyDescent="0.25">
      <c r="A1" s="5" t="s">
        <v>0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4"/>
    </row>
    <row r="2" spans="1:7" ht="15" customHeight="1" x14ac:dyDescent="0.25">
      <c r="A2" s="2">
        <v>-10</v>
      </c>
      <c r="B2" s="2">
        <f t="shared" ref="B2:B33" si="0">IF(A2&lt;5,ABS(A2),1+A2^2)</f>
        <v>10</v>
      </c>
      <c r="C2" s="2">
        <f>IF(A2&lt;1,ABS(A2/(A2+1)),A2^2)</f>
        <v>1.1111111111111112</v>
      </c>
      <c r="D2" s="2">
        <f>IF(A2&lt;1,ABS(SQRT(ABS(A2))/(A2+1)),1-A2^2)</f>
        <v>0.35136418446315326</v>
      </c>
      <c r="E2" s="2">
        <f>IF(A2&lt;1,ABS(A2-A2^2),A2^4-A2^2+2*A2+1)</f>
        <v>110</v>
      </c>
      <c r="F2" s="2">
        <f>IF(A2&lt;0,ABS(3*A2-5)+3*A2^3,A2^2+1/A2^2)</f>
        <v>-2965</v>
      </c>
      <c r="G2" s="3"/>
    </row>
    <row r="3" spans="1:7" ht="15" customHeight="1" x14ac:dyDescent="0.25">
      <c r="A3" s="2">
        <v>-9.8000000000000007</v>
      </c>
      <c r="B3" s="2">
        <f t="shared" si="0"/>
        <v>9.8000000000000007</v>
      </c>
      <c r="C3" s="2">
        <f t="shared" ref="C3:C66" si="1">IF(A3&lt;1,ABS(A3/(A3+1)),A3^2)</f>
        <v>1.1136363636363635</v>
      </c>
      <c r="D3" s="2">
        <f t="shared" ref="D3:D66" si="2">IF(A3&lt;1,ABS(SQRT(ABS(A3))/(A3+1)),1-A3^2)</f>
        <v>0.35573808732951195</v>
      </c>
      <c r="E3" s="2">
        <f t="shared" ref="E2:E33" si="3">IF(A3&lt;1,ABS(A3-A3^2),A3^4-A3^2+2*A3+1)</f>
        <v>105.84000000000002</v>
      </c>
      <c r="F3" s="2">
        <f t="shared" ref="F3:F66" si="4">IF(A3&lt;0,ABS(3*A3-5)+3*A3^3,A3^2+1/A3^2)</f>
        <v>-2789.1760000000008</v>
      </c>
    </row>
    <row r="4" spans="1:7" ht="15" customHeight="1" x14ac:dyDescent="0.25">
      <c r="A4" s="2">
        <v>-9.6</v>
      </c>
      <c r="B4" s="2">
        <f t="shared" si="0"/>
        <v>9.6</v>
      </c>
      <c r="C4" s="2">
        <f t="shared" si="1"/>
        <v>1.1162790697674418</v>
      </c>
      <c r="D4" s="2">
        <f t="shared" si="2"/>
        <v>0.36027752057743417</v>
      </c>
      <c r="E4" s="2">
        <f t="shared" si="3"/>
        <v>101.75999999999999</v>
      </c>
      <c r="F4" s="2">
        <f t="shared" si="4"/>
        <v>-2620.4079999999999</v>
      </c>
    </row>
    <row r="5" spans="1:7" ht="15" customHeight="1" x14ac:dyDescent="0.25">
      <c r="A5" s="2">
        <v>-9.4</v>
      </c>
      <c r="B5" s="2">
        <f t="shared" si="0"/>
        <v>9.4</v>
      </c>
      <c r="C5" s="2">
        <f t="shared" si="1"/>
        <v>1.1190476190476191</v>
      </c>
      <c r="D5" s="2">
        <f t="shared" si="2"/>
        <v>0.36499308849418788</v>
      </c>
      <c r="E5" s="2">
        <f t="shared" si="3"/>
        <v>97.760000000000019</v>
      </c>
      <c r="F5" s="2">
        <f t="shared" si="4"/>
        <v>-2458.5520000000006</v>
      </c>
    </row>
    <row r="6" spans="1:7" ht="15" customHeight="1" x14ac:dyDescent="0.25">
      <c r="A6" s="2">
        <v>-9.1999999999999993</v>
      </c>
      <c r="B6" s="2">
        <f t="shared" si="0"/>
        <v>9.1999999999999993</v>
      </c>
      <c r="C6" s="2">
        <f t="shared" si="1"/>
        <v>1.1219512195121952</v>
      </c>
      <c r="D6" s="2">
        <f t="shared" si="2"/>
        <v>0.36989636312446589</v>
      </c>
      <c r="E6" s="2">
        <f t="shared" si="3"/>
        <v>93.839999999999989</v>
      </c>
      <c r="F6" s="2">
        <f t="shared" si="4"/>
        <v>-2303.4639999999995</v>
      </c>
    </row>
    <row r="7" spans="1:7" ht="15" customHeight="1" x14ac:dyDescent="0.25">
      <c r="A7" s="2">
        <v>-9</v>
      </c>
      <c r="B7" s="2">
        <f t="shared" si="0"/>
        <v>9</v>
      </c>
      <c r="C7" s="2">
        <f t="shared" si="1"/>
        <v>1.125</v>
      </c>
      <c r="D7" s="2">
        <f t="shared" si="2"/>
        <v>0.375</v>
      </c>
      <c r="E7" s="2">
        <f t="shared" si="3"/>
        <v>90</v>
      </c>
      <c r="F7" s="2">
        <f t="shared" si="4"/>
        <v>-2155</v>
      </c>
    </row>
    <row r="8" spans="1:7" ht="15" customHeight="1" x14ac:dyDescent="0.25">
      <c r="A8" s="2">
        <v>-8.8000000000000007</v>
      </c>
      <c r="B8" s="2">
        <f t="shared" si="0"/>
        <v>8.8000000000000007</v>
      </c>
      <c r="C8" s="2">
        <f t="shared" si="1"/>
        <v>1.1282051282051282</v>
      </c>
      <c r="D8" s="2">
        <f t="shared" si="2"/>
        <v>0.38031787113311089</v>
      </c>
      <c r="E8" s="2">
        <f t="shared" si="3"/>
        <v>86.240000000000009</v>
      </c>
      <c r="F8" s="2">
        <f t="shared" si="4"/>
        <v>-2013.0160000000005</v>
      </c>
    </row>
    <row r="9" spans="1:7" ht="15" customHeight="1" x14ac:dyDescent="0.25">
      <c r="A9" s="2">
        <v>-8.6</v>
      </c>
      <c r="B9" s="2">
        <f t="shared" si="0"/>
        <v>8.6</v>
      </c>
      <c r="C9" s="2">
        <f t="shared" si="1"/>
        <v>1.131578947368421</v>
      </c>
      <c r="D9" s="2">
        <f t="shared" si="2"/>
        <v>0.38586521838461002</v>
      </c>
      <c r="E9" s="2">
        <f t="shared" si="3"/>
        <v>82.559999999999988</v>
      </c>
      <c r="F9" s="2">
        <f t="shared" si="4"/>
        <v>-1877.3679999999997</v>
      </c>
    </row>
    <row r="10" spans="1:7" ht="15" customHeight="1" x14ac:dyDescent="0.25">
      <c r="A10" s="2">
        <v>-8.4</v>
      </c>
      <c r="B10" s="2">
        <f t="shared" si="0"/>
        <v>8.4</v>
      </c>
      <c r="C10" s="2">
        <f t="shared" si="1"/>
        <v>1.1351351351351351</v>
      </c>
      <c r="D10" s="2">
        <f t="shared" si="2"/>
        <v>0.39165883097809295</v>
      </c>
      <c r="E10" s="2">
        <f t="shared" si="3"/>
        <v>78.960000000000008</v>
      </c>
      <c r="F10" s="2">
        <f t="shared" si="4"/>
        <v>-1747.912</v>
      </c>
    </row>
    <row r="11" spans="1:7" ht="15" customHeight="1" x14ac:dyDescent="0.25">
      <c r="A11" s="2">
        <v>-8.1999999999999993</v>
      </c>
      <c r="B11" s="2">
        <f t="shared" si="0"/>
        <v>8.1999999999999993</v>
      </c>
      <c r="C11" s="2">
        <f t="shared" si="1"/>
        <v>1.1388888888888888</v>
      </c>
      <c r="D11" s="2">
        <f t="shared" si="2"/>
        <v>0.39771725175767647</v>
      </c>
      <c r="E11" s="2">
        <f t="shared" si="3"/>
        <v>75.44</v>
      </c>
      <c r="F11" s="2">
        <f t="shared" si="4"/>
        <v>-1624.5039999999999</v>
      </c>
    </row>
    <row r="12" spans="1:7" ht="15" customHeight="1" x14ac:dyDescent="0.25">
      <c r="A12" s="2">
        <v>-8</v>
      </c>
      <c r="B12" s="2">
        <f t="shared" si="0"/>
        <v>8</v>
      </c>
      <c r="C12" s="2">
        <f t="shared" si="1"/>
        <v>1.1428571428571428</v>
      </c>
      <c r="D12" s="2">
        <f t="shared" si="2"/>
        <v>0.40406101782088433</v>
      </c>
      <c r="E12" s="2">
        <f t="shared" si="3"/>
        <v>72</v>
      </c>
      <c r="F12" s="2">
        <f t="shared" si="4"/>
        <v>-1507</v>
      </c>
    </row>
    <row r="13" spans="1:7" ht="15" customHeight="1" x14ac:dyDescent="0.25">
      <c r="A13" s="2">
        <v>-7.8</v>
      </c>
      <c r="B13" s="2">
        <f t="shared" si="0"/>
        <v>7.8</v>
      </c>
      <c r="C13" s="2">
        <f t="shared" si="1"/>
        <v>1.1470588235294117</v>
      </c>
      <c r="D13" s="2">
        <f t="shared" si="2"/>
        <v>0.41071294246379236</v>
      </c>
      <c r="E13" s="2">
        <f t="shared" si="3"/>
        <v>68.64</v>
      </c>
      <c r="F13" s="2">
        <f t="shared" si="4"/>
        <v>-1395.2559999999999</v>
      </c>
    </row>
    <row r="14" spans="1:7" ht="15" customHeight="1" x14ac:dyDescent="0.25">
      <c r="A14" s="2">
        <v>-7.6</v>
      </c>
      <c r="B14" s="2">
        <f t="shared" si="0"/>
        <v>7.6</v>
      </c>
      <c r="C14" s="2">
        <f t="shared" si="1"/>
        <v>1.1515151515151516</v>
      </c>
      <c r="D14" s="2">
        <f t="shared" si="2"/>
        <v>0.41769844703303705</v>
      </c>
      <c r="E14" s="2">
        <f t="shared" si="3"/>
        <v>65.36</v>
      </c>
      <c r="F14" s="2">
        <f t="shared" si="4"/>
        <v>-1289.1279999999999</v>
      </c>
    </row>
    <row r="15" spans="1:7" ht="15" customHeight="1" x14ac:dyDescent="0.25">
      <c r="A15" s="2">
        <v>-7.4</v>
      </c>
      <c r="B15" s="2">
        <f t="shared" si="0"/>
        <v>7.4</v>
      </c>
      <c r="C15" s="2">
        <f t="shared" si="1"/>
        <v>1.15625</v>
      </c>
      <c r="D15" s="2">
        <f t="shared" si="2"/>
        <v>0.42504595339798257</v>
      </c>
      <c r="E15" s="2">
        <f t="shared" si="3"/>
        <v>62.160000000000004</v>
      </c>
      <c r="F15" s="2">
        <f t="shared" si="4"/>
        <v>-1188.472</v>
      </c>
    </row>
    <row r="16" spans="1:7" ht="15" customHeight="1" x14ac:dyDescent="0.25">
      <c r="A16" s="2">
        <v>-7.2</v>
      </c>
      <c r="B16" s="2">
        <f t="shared" si="0"/>
        <v>7.2</v>
      </c>
      <c r="C16" s="2">
        <f t="shared" si="1"/>
        <v>1.1612903225806452</v>
      </c>
      <c r="D16" s="2">
        <f t="shared" si="2"/>
        <v>0.43278735048383027</v>
      </c>
      <c r="E16" s="2">
        <f t="shared" si="3"/>
        <v>59.040000000000006</v>
      </c>
      <c r="F16" s="2">
        <f t="shared" si="4"/>
        <v>-1093.1440000000002</v>
      </c>
    </row>
    <row r="17" spans="1:6" ht="15" customHeight="1" x14ac:dyDescent="0.25">
      <c r="A17" s="2">
        <v>-7</v>
      </c>
      <c r="B17" s="2">
        <f t="shared" si="0"/>
        <v>7</v>
      </c>
      <c r="C17" s="2">
        <f t="shared" si="1"/>
        <v>1.1666666666666667</v>
      </c>
      <c r="D17" s="2">
        <f t="shared" si="2"/>
        <v>0.44095855184409843</v>
      </c>
      <c r="E17" s="2">
        <f t="shared" si="3"/>
        <v>56</v>
      </c>
      <c r="F17" s="2">
        <f t="shared" si="4"/>
        <v>-1003</v>
      </c>
    </row>
    <row r="18" spans="1:6" ht="15" customHeight="1" x14ac:dyDescent="0.25">
      <c r="A18" s="2">
        <v>-6.8</v>
      </c>
      <c r="B18" s="2">
        <f t="shared" si="0"/>
        <v>6.8</v>
      </c>
      <c r="C18" s="2">
        <f t="shared" si="1"/>
        <v>1.1724137931034482</v>
      </c>
      <c r="D18" s="2">
        <f t="shared" si="2"/>
        <v>0.44960016587604473</v>
      </c>
      <c r="E18" s="2">
        <f t="shared" si="3"/>
        <v>53.039999999999992</v>
      </c>
      <c r="F18" s="2">
        <f t="shared" si="4"/>
        <v>-917.89599999999984</v>
      </c>
    </row>
    <row r="19" spans="1:6" ht="15" customHeight="1" x14ac:dyDescent="0.25">
      <c r="A19" s="2">
        <v>-6.6</v>
      </c>
      <c r="B19" s="2">
        <f t="shared" si="0"/>
        <v>6.6</v>
      </c>
      <c r="C19" s="2">
        <f t="shared" si="1"/>
        <v>1.1785714285714286</v>
      </c>
      <c r="D19" s="2">
        <f t="shared" si="2"/>
        <v>0.45875830638089748</v>
      </c>
      <c r="E19" s="2">
        <f t="shared" si="3"/>
        <v>50.16</v>
      </c>
      <c r="F19" s="2">
        <f t="shared" si="4"/>
        <v>-837.68799999999999</v>
      </c>
    </row>
    <row r="20" spans="1:6" ht="15" customHeight="1" x14ac:dyDescent="0.25">
      <c r="A20" s="2">
        <v>-6.4</v>
      </c>
      <c r="B20" s="2">
        <f t="shared" si="0"/>
        <v>6.4</v>
      </c>
      <c r="C20" s="2">
        <f t="shared" si="1"/>
        <v>1.1851851851851851</v>
      </c>
      <c r="D20" s="2">
        <f t="shared" si="2"/>
        <v>0.46848557928420431</v>
      </c>
      <c r="E20" s="2">
        <f t="shared" si="3"/>
        <v>47.360000000000007</v>
      </c>
      <c r="F20" s="2">
        <f t="shared" si="4"/>
        <v>-762.2320000000002</v>
      </c>
    </row>
    <row r="21" spans="1:6" ht="15" customHeight="1" x14ac:dyDescent="0.25">
      <c r="A21" s="2">
        <v>-6.2</v>
      </c>
      <c r="B21" s="2">
        <f t="shared" si="0"/>
        <v>6.2</v>
      </c>
      <c r="C21" s="2">
        <f t="shared" si="1"/>
        <v>1.1923076923076923</v>
      </c>
      <c r="D21" s="2">
        <f t="shared" si="2"/>
        <v>0.47884229223033581</v>
      </c>
      <c r="E21" s="2">
        <f t="shared" si="3"/>
        <v>44.640000000000008</v>
      </c>
      <c r="F21" s="2">
        <f t="shared" si="4"/>
        <v>-691.38400000000013</v>
      </c>
    </row>
    <row r="22" spans="1:6" ht="15" customHeight="1" x14ac:dyDescent="0.25">
      <c r="A22" s="2">
        <v>-6</v>
      </c>
      <c r="B22" s="2">
        <f t="shared" si="0"/>
        <v>6</v>
      </c>
      <c r="C22" s="2">
        <f t="shared" si="1"/>
        <v>1.2</v>
      </c>
      <c r="D22" s="2">
        <f t="shared" si="2"/>
        <v>0.4898979485566356</v>
      </c>
      <c r="E22" s="2">
        <f t="shared" si="3"/>
        <v>42</v>
      </c>
      <c r="F22" s="2">
        <f t="shared" si="4"/>
        <v>-625</v>
      </c>
    </row>
    <row r="23" spans="1:6" ht="15" customHeight="1" x14ac:dyDescent="0.25">
      <c r="A23" s="2">
        <v>-5.8</v>
      </c>
      <c r="B23" s="2">
        <f t="shared" si="0"/>
        <v>5.8</v>
      </c>
      <c r="C23" s="2">
        <f t="shared" si="1"/>
        <v>1.2083333333333333</v>
      </c>
      <c r="D23" s="2">
        <f t="shared" si="2"/>
        <v>0.50173310744967903</v>
      </c>
      <c r="E23" s="2">
        <f t="shared" si="3"/>
        <v>39.44</v>
      </c>
      <c r="F23" s="2">
        <f t="shared" si="4"/>
        <v>-562.93600000000004</v>
      </c>
    </row>
    <row r="24" spans="1:6" ht="15" customHeight="1" x14ac:dyDescent="0.25">
      <c r="A24" s="2">
        <v>-5.6</v>
      </c>
      <c r="B24" s="2">
        <f t="shared" si="0"/>
        <v>5.6</v>
      </c>
      <c r="C24" s="2">
        <f t="shared" si="1"/>
        <v>1.2173913043478262</v>
      </c>
      <c r="D24" s="2">
        <f t="shared" si="2"/>
        <v>0.51444172026953183</v>
      </c>
      <c r="E24" s="2">
        <f t="shared" si="3"/>
        <v>36.959999999999994</v>
      </c>
      <c r="F24" s="2">
        <f t="shared" si="4"/>
        <v>-505.04799999999983</v>
      </c>
    </row>
    <row r="25" spans="1:6" ht="15" customHeight="1" x14ac:dyDescent="0.25">
      <c r="A25" s="2">
        <v>-5.4</v>
      </c>
      <c r="B25" s="2">
        <f t="shared" si="0"/>
        <v>5.4</v>
      </c>
      <c r="C25" s="2">
        <f t="shared" si="1"/>
        <v>1.2272727272727273</v>
      </c>
      <c r="D25" s="2">
        <f t="shared" si="2"/>
        <v>0.52813409266464773</v>
      </c>
      <c r="E25" s="2">
        <f t="shared" si="3"/>
        <v>34.56</v>
      </c>
      <c r="F25" s="2">
        <f t="shared" si="4"/>
        <v>-451.19200000000006</v>
      </c>
    </row>
    <row r="26" spans="1:6" ht="15" customHeight="1" x14ac:dyDescent="0.25">
      <c r="A26" s="2">
        <v>-5.2</v>
      </c>
      <c r="B26" s="2">
        <f t="shared" si="0"/>
        <v>5.2</v>
      </c>
      <c r="C26" s="2">
        <f t="shared" si="1"/>
        <v>1.2380952380952381</v>
      </c>
      <c r="D26" s="2">
        <f t="shared" si="2"/>
        <v>0.54294067861863715</v>
      </c>
      <c r="E26" s="2">
        <f t="shared" si="3"/>
        <v>32.24</v>
      </c>
      <c r="F26" s="2">
        <f t="shared" si="4"/>
        <v>-401.22400000000005</v>
      </c>
    </row>
    <row r="27" spans="1:6" ht="15" customHeight="1" x14ac:dyDescent="0.25">
      <c r="A27" s="2">
        <v>-5</v>
      </c>
      <c r="B27" s="2">
        <f t="shared" si="0"/>
        <v>5</v>
      </c>
      <c r="C27" s="2">
        <f t="shared" si="1"/>
        <v>1.25</v>
      </c>
      <c r="D27" s="2">
        <f t="shared" si="2"/>
        <v>0.55901699437494745</v>
      </c>
      <c r="E27" s="2">
        <f t="shared" si="3"/>
        <v>30</v>
      </c>
      <c r="F27" s="2">
        <f t="shared" si="4"/>
        <v>-355</v>
      </c>
    </row>
    <row r="28" spans="1:6" ht="15" customHeight="1" x14ac:dyDescent="0.25">
      <c r="A28" s="2">
        <v>-4.8</v>
      </c>
      <c r="B28" s="2">
        <f t="shared" si="0"/>
        <v>4.8</v>
      </c>
      <c r="C28" s="2">
        <f t="shared" si="1"/>
        <v>1.263157894736842</v>
      </c>
      <c r="D28" s="2">
        <f t="shared" si="2"/>
        <v>0.57655006053175384</v>
      </c>
      <c r="E28" s="2">
        <f t="shared" si="3"/>
        <v>27.84</v>
      </c>
      <c r="F28" s="2">
        <f t="shared" si="4"/>
        <v>-312.37600000000003</v>
      </c>
    </row>
    <row r="29" spans="1:6" ht="15" customHeight="1" x14ac:dyDescent="0.25">
      <c r="A29" s="2">
        <v>-4.5999999999999996</v>
      </c>
      <c r="B29" s="2">
        <f t="shared" si="0"/>
        <v>4.5999999999999996</v>
      </c>
      <c r="C29" s="2">
        <f t="shared" si="1"/>
        <v>1.2777777777777779</v>
      </c>
      <c r="D29" s="2">
        <f t="shared" si="2"/>
        <v>0.59576696082020053</v>
      </c>
      <c r="E29" s="2">
        <f t="shared" si="3"/>
        <v>25.759999999999998</v>
      </c>
      <c r="F29" s="2">
        <f t="shared" si="4"/>
        <v>-273.20799999999991</v>
      </c>
    </row>
    <row r="30" spans="1:6" ht="15" customHeight="1" x14ac:dyDescent="0.25">
      <c r="A30" s="2">
        <v>-4.4000000000000004</v>
      </c>
      <c r="B30" s="2">
        <f t="shared" si="0"/>
        <v>4.4000000000000004</v>
      </c>
      <c r="C30" s="2">
        <f t="shared" si="1"/>
        <v>1.2941176470588236</v>
      </c>
      <c r="D30" s="2">
        <f t="shared" si="2"/>
        <v>0.61694638127655976</v>
      </c>
      <c r="E30" s="2">
        <f t="shared" si="3"/>
        <v>23.760000000000005</v>
      </c>
      <c r="F30" s="2">
        <f t="shared" si="4"/>
        <v>-237.35200000000009</v>
      </c>
    </row>
    <row r="31" spans="1:6" ht="15" customHeight="1" x14ac:dyDescent="0.25">
      <c r="A31" s="2">
        <v>-4.2</v>
      </c>
      <c r="B31" s="2">
        <f t="shared" si="0"/>
        <v>4.2</v>
      </c>
      <c r="C31" s="2">
        <f t="shared" si="1"/>
        <v>1.3125</v>
      </c>
      <c r="D31" s="2">
        <f t="shared" si="2"/>
        <v>0.64043442287247487</v>
      </c>
      <c r="E31" s="2">
        <f t="shared" si="3"/>
        <v>21.84</v>
      </c>
      <c r="F31" s="2">
        <f t="shared" si="4"/>
        <v>-204.66400000000002</v>
      </c>
    </row>
    <row r="32" spans="1:6" ht="15" customHeight="1" x14ac:dyDescent="0.25">
      <c r="A32" s="2">
        <v>-4</v>
      </c>
      <c r="B32" s="2">
        <f t="shared" si="0"/>
        <v>4</v>
      </c>
      <c r="C32" s="2">
        <f t="shared" si="1"/>
        <v>1.3333333333333333</v>
      </c>
      <c r="D32" s="2">
        <f t="shared" si="2"/>
        <v>0.66666666666666663</v>
      </c>
      <c r="E32" s="2">
        <f t="shared" si="3"/>
        <v>20</v>
      </c>
      <c r="F32" s="2">
        <f t="shared" si="4"/>
        <v>-175</v>
      </c>
    </row>
    <row r="33" spans="1:6" ht="15" customHeight="1" x14ac:dyDescent="0.25">
      <c r="A33" s="2">
        <v>-3.8</v>
      </c>
      <c r="B33" s="2">
        <f t="shared" si="0"/>
        <v>3.8</v>
      </c>
      <c r="C33" s="2">
        <f t="shared" si="1"/>
        <v>1.3571428571428572</v>
      </c>
      <c r="D33" s="2">
        <f t="shared" si="2"/>
        <v>0.69619959605778314</v>
      </c>
      <c r="E33" s="2">
        <f t="shared" si="3"/>
        <v>18.239999999999998</v>
      </c>
      <c r="F33" s="2">
        <f t="shared" si="4"/>
        <v>-148.21599999999998</v>
      </c>
    </row>
    <row r="34" spans="1:6" ht="15" customHeight="1" x14ac:dyDescent="0.25">
      <c r="A34" s="2">
        <v>-3.6</v>
      </c>
      <c r="B34" s="2">
        <f t="shared" ref="B34:B65" si="5">IF(A34&lt;5,ABS(A34),1+A34^2)</f>
        <v>3.6</v>
      </c>
      <c r="C34" s="2">
        <f t="shared" si="1"/>
        <v>1.3846153846153846</v>
      </c>
      <c r="D34" s="2">
        <f t="shared" si="2"/>
        <v>0.72975638311577984</v>
      </c>
      <c r="E34" s="2">
        <f t="shared" ref="E34:E65" si="6">IF(A34&lt;1,ABS(A34-A34^2),A34^4-A34^2+2*A34+1)</f>
        <v>16.560000000000002</v>
      </c>
      <c r="F34" s="2">
        <f t="shared" si="4"/>
        <v>-124.16800000000002</v>
      </c>
    </row>
    <row r="35" spans="1:6" ht="15" customHeight="1" x14ac:dyDescent="0.25">
      <c r="A35" s="2">
        <v>-3.4</v>
      </c>
      <c r="B35" s="2">
        <f t="shared" si="5"/>
        <v>3.4</v>
      </c>
      <c r="C35" s="2">
        <f t="shared" si="1"/>
        <v>1.4166666666666667</v>
      </c>
      <c r="D35" s="2">
        <f t="shared" si="2"/>
        <v>0.76829537144107396</v>
      </c>
      <c r="E35" s="2">
        <f t="shared" si="6"/>
        <v>14.959999999999999</v>
      </c>
      <c r="F35" s="2">
        <f t="shared" si="4"/>
        <v>-102.71199999999997</v>
      </c>
    </row>
    <row r="36" spans="1:6" ht="15" customHeight="1" x14ac:dyDescent="0.25">
      <c r="A36" s="2">
        <v>-3.2</v>
      </c>
      <c r="B36" s="2">
        <f t="shared" si="5"/>
        <v>3.2</v>
      </c>
      <c r="C36" s="2">
        <f t="shared" si="1"/>
        <v>1.4545454545454546</v>
      </c>
      <c r="D36" s="2">
        <f t="shared" si="2"/>
        <v>0.81311562818174166</v>
      </c>
      <c r="E36" s="2">
        <f t="shared" si="6"/>
        <v>13.440000000000001</v>
      </c>
      <c r="F36" s="2">
        <f t="shared" si="4"/>
        <v>-83.704000000000036</v>
      </c>
    </row>
    <row r="37" spans="1:6" ht="15" customHeight="1" x14ac:dyDescent="0.25">
      <c r="A37" s="2">
        <v>-3</v>
      </c>
      <c r="B37" s="2">
        <f t="shared" si="5"/>
        <v>3</v>
      </c>
      <c r="C37" s="2">
        <f t="shared" si="1"/>
        <v>1.5</v>
      </c>
      <c r="D37" s="2">
        <f t="shared" si="2"/>
        <v>0.8660254037844386</v>
      </c>
      <c r="E37" s="2">
        <f t="shared" si="6"/>
        <v>12</v>
      </c>
      <c r="F37" s="2">
        <f t="shared" si="4"/>
        <v>-67</v>
      </c>
    </row>
    <row r="38" spans="1:6" ht="15" customHeight="1" x14ac:dyDescent="0.25">
      <c r="A38" s="2">
        <v>-2.8</v>
      </c>
      <c r="B38" s="2">
        <f t="shared" si="5"/>
        <v>2.8</v>
      </c>
      <c r="C38" s="2">
        <f t="shared" si="1"/>
        <v>1.5555555555555556</v>
      </c>
      <c r="D38" s="2">
        <f t="shared" si="2"/>
        <v>0.9296222517045285</v>
      </c>
      <c r="E38" s="2">
        <f t="shared" si="6"/>
        <v>10.639999999999999</v>
      </c>
      <c r="F38" s="2">
        <f t="shared" si="4"/>
        <v>-52.455999999999982</v>
      </c>
    </row>
    <row r="39" spans="1:6" ht="15" customHeight="1" x14ac:dyDescent="0.25">
      <c r="A39" s="2">
        <v>-2.6</v>
      </c>
      <c r="B39" s="2">
        <f t="shared" si="5"/>
        <v>2.6</v>
      </c>
      <c r="C39" s="2">
        <f t="shared" si="1"/>
        <v>1.625</v>
      </c>
      <c r="D39" s="2">
        <f t="shared" si="2"/>
        <v>1.0077822185373186</v>
      </c>
      <c r="E39" s="2">
        <f t="shared" si="6"/>
        <v>9.3600000000000012</v>
      </c>
      <c r="F39" s="2">
        <f t="shared" si="4"/>
        <v>-39.928000000000011</v>
      </c>
    </row>
    <row r="40" spans="1:6" ht="15" customHeight="1" x14ac:dyDescent="0.25">
      <c r="A40" s="2">
        <v>-2.4</v>
      </c>
      <c r="B40" s="2">
        <f t="shared" si="5"/>
        <v>2.4</v>
      </c>
      <c r="C40" s="2">
        <f t="shared" si="1"/>
        <v>1.7142857142857144</v>
      </c>
      <c r="D40" s="2">
        <f t="shared" si="2"/>
        <v>1.1065666703449764</v>
      </c>
      <c r="E40" s="2">
        <f t="shared" si="6"/>
        <v>8.16</v>
      </c>
      <c r="F40" s="2">
        <f t="shared" si="4"/>
        <v>-29.272000000000002</v>
      </c>
    </row>
    <row r="41" spans="1:6" ht="15" customHeight="1" x14ac:dyDescent="0.25">
      <c r="A41" s="2">
        <v>-2.2000000000000002</v>
      </c>
      <c r="B41" s="2">
        <f t="shared" si="5"/>
        <v>2.2000000000000002</v>
      </c>
      <c r="C41" s="2">
        <f t="shared" si="1"/>
        <v>1.8333333333333333</v>
      </c>
      <c r="D41" s="2">
        <f t="shared" si="2"/>
        <v>1.2360330811826103</v>
      </c>
      <c r="E41" s="2">
        <f t="shared" si="6"/>
        <v>7.0400000000000009</v>
      </c>
      <c r="F41" s="2">
        <f t="shared" si="4"/>
        <v>-20.344000000000008</v>
      </c>
    </row>
    <row r="42" spans="1:6" ht="15" customHeight="1" x14ac:dyDescent="0.25">
      <c r="A42" s="2">
        <v>-2</v>
      </c>
      <c r="B42" s="2">
        <f t="shared" si="5"/>
        <v>2</v>
      </c>
      <c r="C42" s="2">
        <f t="shared" si="1"/>
        <v>2</v>
      </c>
      <c r="D42" s="2">
        <f t="shared" si="2"/>
        <v>1.4142135623730951</v>
      </c>
      <c r="E42" s="2">
        <f t="shared" si="6"/>
        <v>6</v>
      </c>
      <c r="F42" s="2">
        <f t="shared" si="4"/>
        <v>-13</v>
      </c>
    </row>
    <row r="43" spans="1:6" ht="15" customHeight="1" x14ac:dyDescent="0.25">
      <c r="A43" s="2">
        <v>-1.8</v>
      </c>
      <c r="B43" s="2">
        <f t="shared" si="5"/>
        <v>1.8</v>
      </c>
      <c r="C43" s="2">
        <f t="shared" si="1"/>
        <v>2.25</v>
      </c>
      <c r="D43" s="2">
        <f t="shared" si="2"/>
        <v>1.6770509831248421</v>
      </c>
      <c r="E43" s="2">
        <f t="shared" si="6"/>
        <v>5.04</v>
      </c>
      <c r="F43" s="2">
        <f t="shared" si="4"/>
        <v>-7.0960000000000019</v>
      </c>
    </row>
    <row r="44" spans="1:6" ht="15" customHeight="1" x14ac:dyDescent="0.25">
      <c r="A44" s="2">
        <v>-1.6</v>
      </c>
      <c r="B44" s="2">
        <f t="shared" si="5"/>
        <v>1.6</v>
      </c>
      <c r="C44" s="2">
        <f t="shared" si="1"/>
        <v>2.6666666666666665</v>
      </c>
      <c r="D44" s="2">
        <f t="shared" si="2"/>
        <v>2.1081851067789192</v>
      </c>
      <c r="E44" s="2">
        <f t="shared" si="6"/>
        <v>4.16</v>
      </c>
      <c r="F44" s="2">
        <f t="shared" si="4"/>
        <v>-2.4880000000000031</v>
      </c>
    </row>
    <row r="45" spans="1:6" ht="15" customHeight="1" x14ac:dyDescent="0.25">
      <c r="A45" s="2">
        <v>-1.4</v>
      </c>
      <c r="B45" s="2">
        <f t="shared" si="5"/>
        <v>1.4</v>
      </c>
      <c r="C45" s="2">
        <f t="shared" si="1"/>
        <v>3.5000000000000004</v>
      </c>
      <c r="D45" s="2">
        <f t="shared" si="2"/>
        <v>2.9580398915498085</v>
      </c>
      <c r="E45" s="2">
        <f t="shared" si="6"/>
        <v>3.3599999999999994</v>
      </c>
      <c r="F45" s="2">
        <f t="shared" si="4"/>
        <v>0.96800000000000175</v>
      </c>
    </row>
    <row r="46" spans="1:6" ht="15" customHeight="1" x14ac:dyDescent="0.25">
      <c r="A46" s="2">
        <v>-1.2</v>
      </c>
      <c r="B46" s="2">
        <f t="shared" si="5"/>
        <v>1.2</v>
      </c>
      <c r="C46" s="2">
        <f t="shared" si="1"/>
        <v>6.0000000000000009</v>
      </c>
      <c r="D46" s="2">
        <f t="shared" si="2"/>
        <v>5.4772255750516621</v>
      </c>
      <c r="E46" s="2">
        <f t="shared" si="6"/>
        <v>2.6399999999999997</v>
      </c>
      <c r="F46" s="2">
        <f t="shared" si="4"/>
        <v>3.4159999999999995</v>
      </c>
    </row>
    <row r="47" spans="1:6" ht="15" customHeight="1" x14ac:dyDescent="0.25">
      <c r="A47" s="2">
        <v>-1</v>
      </c>
      <c r="B47" s="2">
        <f t="shared" si="5"/>
        <v>1</v>
      </c>
      <c r="C47" s="2" t="e">
        <f t="shared" si="1"/>
        <v>#DIV/0!</v>
      </c>
      <c r="D47" s="2" t="e">
        <f t="shared" si="2"/>
        <v>#DIV/0!</v>
      </c>
      <c r="E47" s="2">
        <f t="shared" si="6"/>
        <v>2</v>
      </c>
      <c r="F47" s="2">
        <f t="shared" si="4"/>
        <v>5</v>
      </c>
    </row>
    <row r="48" spans="1:6" ht="15" customHeight="1" x14ac:dyDescent="0.25">
      <c r="A48" s="2">
        <v>-0.8</v>
      </c>
      <c r="B48" s="2">
        <f t="shared" si="5"/>
        <v>0.8</v>
      </c>
      <c r="C48" s="2">
        <f t="shared" si="1"/>
        <v>4.0000000000000009</v>
      </c>
      <c r="D48" s="2">
        <f t="shared" si="2"/>
        <v>4.4721359549995805</v>
      </c>
      <c r="E48" s="2">
        <f t="shared" si="6"/>
        <v>1.4400000000000002</v>
      </c>
      <c r="F48" s="2">
        <f t="shared" si="4"/>
        <v>5.8639999999999999</v>
      </c>
    </row>
    <row r="49" spans="1:6" ht="15" customHeight="1" x14ac:dyDescent="0.25">
      <c r="A49" s="2">
        <v>-0.6</v>
      </c>
      <c r="B49" s="2">
        <f t="shared" si="5"/>
        <v>0.6</v>
      </c>
      <c r="C49" s="2">
        <f t="shared" si="1"/>
        <v>1.4999999999999998</v>
      </c>
      <c r="D49" s="2">
        <f t="shared" si="2"/>
        <v>1.9364916731037085</v>
      </c>
      <c r="E49" s="2">
        <f t="shared" si="6"/>
        <v>0.96</v>
      </c>
      <c r="F49" s="2">
        <f t="shared" si="4"/>
        <v>6.1520000000000001</v>
      </c>
    </row>
    <row r="50" spans="1:6" ht="15" customHeight="1" x14ac:dyDescent="0.25">
      <c r="A50" s="2">
        <v>-0.4</v>
      </c>
      <c r="B50" s="2">
        <f t="shared" si="5"/>
        <v>0.4</v>
      </c>
      <c r="C50" s="2">
        <f t="shared" si="1"/>
        <v>0.66666666666666674</v>
      </c>
      <c r="D50" s="2">
        <f t="shared" si="2"/>
        <v>1.0540925533894598</v>
      </c>
      <c r="E50" s="2">
        <f t="shared" si="6"/>
        <v>0.56000000000000005</v>
      </c>
      <c r="F50" s="2">
        <f t="shared" si="4"/>
        <v>6.008</v>
      </c>
    </row>
    <row r="51" spans="1:6" ht="15" customHeight="1" x14ac:dyDescent="0.25">
      <c r="A51" s="2">
        <v>-0.2</v>
      </c>
      <c r="B51" s="2">
        <f t="shared" si="5"/>
        <v>0.2</v>
      </c>
      <c r="C51" s="2">
        <f t="shared" si="1"/>
        <v>0.25</v>
      </c>
      <c r="D51" s="2">
        <f t="shared" si="2"/>
        <v>0.55901699437494734</v>
      </c>
      <c r="E51" s="2">
        <f t="shared" si="6"/>
        <v>0.24000000000000002</v>
      </c>
      <c r="F51" s="2">
        <f t="shared" si="4"/>
        <v>5.5759999999999996</v>
      </c>
    </row>
    <row r="52" spans="1:6" ht="15" customHeight="1" x14ac:dyDescent="0.25">
      <c r="A52" s="2">
        <v>0</v>
      </c>
      <c r="B52" s="2">
        <f t="shared" si="5"/>
        <v>0</v>
      </c>
      <c r="C52" s="2">
        <f t="shared" si="1"/>
        <v>0</v>
      </c>
      <c r="D52" s="2">
        <f t="shared" si="2"/>
        <v>0</v>
      </c>
      <c r="E52" s="2">
        <f t="shared" si="6"/>
        <v>0</v>
      </c>
      <c r="F52" s="2" t="e">
        <f t="shared" si="4"/>
        <v>#DIV/0!</v>
      </c>
    </row>
    <row r="53" spans="1:6" ht="15" customHeight="1" x14ac:dyDescent="0.25">
      <c r="A53" s="2">
        <v>0.2</v>
      </c>
      <c r="B53" s="2">
        <f t="shared" si="5"/>
        <v>0.2</v>
      </c>
      <c r="C53" s="2">
        <f t="shared" si="1"/>
        <v>0.16666666666666669</v>
      </c>
      <c r="D53" s="2">
        <f t="shared" si="2"/>
        <v>0.37267799624996495</v>
      </c>
      <c r="E53" s="2">
        <f t="shared" si="6"/>
        <v>0.16</v>
      </c>
      <c r="F53" s="2">
        <f t="shared" si="4"/>
        <v>25.039999999999996</v>
      </c>
    </row>
    <row r="54" spans="1:6" ht="15" customHeight="1" x14ac:dyDescent="0.25">
      <c r="A54" s="2">
        <v>0.4</v>
      </c>
      <c r="B54" s="2">
        <f t="shared" si="5"/>
        <v>0.4</v>
      </c>
      <c r="C54" s="2">
        <f t="shared" si="1"/>
        <v>0.28571428571428575</v>
      </c>
      <c r="D54" s="2">
        <f t="shared" si="2"/>
        <v>0.45175395145262565</v>
      </c>
      <c r="E54" s="2">
        <f t="shared" si="6"/>
        <v>0.24</v>
      </c>
      <c r="F54" s="2">
        <f t="shared" si="4"/>
        <v>6.4099999999999993</v>
      </c>
    </row>
    <row r="55" spans="1:6" ht="15" customHeight="1" x14ac:dyDescent="0.25">
      <c r="A55" s="2">
        <v>0.6</v>
      </c>
      <c r="B55" s="2">
        <f t="shared" si="5"/>
        <v>0.6</v>
      </c>
      <c r="C55" s="2">
        <f t="shared" si="1"/>
        <v>0.37499999999999994</v>
      </c>
      <c r="D55" s="2">
        <f t="shared" si="2"/>
        <v>0.48412291827592713</v>
      </c>
      <c r="E55" s="2">
        <f t="shared" si="6"/>
        <v>0.24</v>
      </c>
      <c r="F55" s="2">
        <f t="shared" si="4"/>
        <v>3.1377777777777776</v>
      </c>
    </row>
    <row r="56" spans="1:6" ht="15" customHeight="1" x14ac:dyDescent="0.25">
      <c r="A56" s="2">
        <v>0.8</v>
      </c>
      <c r="B56" s="2">
        <f t="shared" si="5"/>
        <v>0.8</v>
      </c>
      <c r="C56" s="2">
        <f t="shared" si="1"/>
        <v>0.44444444444444448</v>
      </c>
      <c r="D56" s="2">
        <f t="shared" si="2"/>
        <v>0.49690399499995325</v>
      </c>
      <c r="E56" s="2">
        <f t="shared" si="6"/>
        <v>0.15999999999999992</v>
      </c>
      <c r="F56" s="2">
        <f t="shared" si="4"/>
        <v>2.2024999999999997</v>
      </c>
    </row>
    <row r="57" spans="1:6" ht="15" customHeight="1" x14ac:dyDescent="0.25">
      <c r="A57" s="2">
        <v>1</v>
      </c>
      <c r="B57" s="2">
        <f t="shared" si="5"/>
        <v>1</v>
      </c>
      <c r="C57" s="2">
        <f t="shared" si="1"/>
        <v>1</v>
      </c>
      <c r="D57" s="2">
        <f t="shared" si="2"/>
        <v>0</v>
      </c>
      <c r="E57" s="2">
        <f t="shared" si="6"/>
        <v>3</v>
      </c>
      <c r="F57" s="2">
        <f t="shared" si="4"/>
        <v>2</v>
      </c>
    </row>
    <row r="58" spans="1:6" ht="15" customHeight="1" x14ac:dyDescent="0.25">
      <c r="A58" s="2">
        <v>1.2</v>
      </c>
      <c r="B58" s="2">
        <f t="shared" si="5"/>
        <v>1.2</v>
      </c>
      <c r="C58" s="2">
        <f t="shared" si="1"/>
        <v>1.44</v>
      </c>
      <c r="D58" s="2">
        <f t="shared" si="2"/>
        <v>-0.43999999999999995</v>
      </c>
      <c r="E58" s="2">
        <f t="shared" si="6"/>
        <v>4.0335999999999999</v>
      </c>
      <c r="F58" s="2">
        <f t="shared" si="4"/>
        <v>2.1344444444444441</v>
      </c>
    </row>
    <row r="59" spans="1:6" ht="15" customHeight="1" x14ac:dyDescent="0.25">
      <c r="A59" s="2">
        <v>1.4</v>
      </c>
      <c r="B59" s="2">
        <f t="shared" si="5"/>
        <v>1.4</v>
      </c>
      <c r="C59" s="2">
        <f t="shared" si="1"/>
        <v>1.9599999999999997</v>
      </c>
      <c r="D59" s="2">
        <f t="shared" si="2"/>
        <v>-0.95999999999999974</v>
      </c>
      <c r="E59" s="2">
        <f t="shared" si="6"/>
        <v>5.6815999999999987</v>
      </c>
      <c r="F59" s="2">
        <f t="shared" si="4"/>
        <v>2.4702040816326529</v>
      </c>
    </row>
    <row r="60" spans="1:6" ht="15" customHeight="1" x14ac:dyDescent="0.25">
      <c r="A60" s="2">
        <v>1.6</v>
      </c>
      <c r="B60" s="2">
        <f t="shared" si="5"/>
        <v>1.6</v>
      </c>
      <c r="C60" s="2">
        <f t="shared" si="1"/>
        <v>2.5600000000000005</v>
      </c>
      <c r="D60" s="2">
        <f t="shared" si="2"/>
        <v>-1.5600000000000005</v>
      </c>
      <c r="E60" s="2">
        <f t="shared" si="6"/>
        <v>8.1936000000000035</v>
      </c>
      <c r="F60" s="2">
        <f t="shared" si="4"/>
        <v>2.9506250000000005</v>
      </c>
    </row>
    <row r="61" spans="1:6" ht="15" customHeight="1" x14ac:dyDescent="0.25">
      <c r="A61" s="2">
        <v>1.8</v>
      </c>
      <c r="B61" s="2">
        <f t="shared" si="5"/>
        <v>1.8</v>
      </c>
      <c r="C61" s="2">
        <f t="shared" si="1"/>
        <v>3.24</v>
      </c>
      <c r="D61" s="2">
        <f t="shared" si="2"/>
        <v>-2.2400000000000002</v>
      </c>
      <c r="E61" s="2">
        <f t="shared" si="6"/>
        <v>11.857600000000001</v>
      </c>
      <c r="F61" s="2">
        <f t="shared" si="4"/>
        <v>3.5486419753086422</v>
      </c>
    </row>
    <row r="62" spans="1:6" ht="15" customHeight="1" x14ac:dyDescent="0.25">
      <c r="A62" s="2">
        <v>2</v>
      </c>
      <c r="B62" s="2">
        <f t="shared" si="5"/>
        <v>2</v>
      </c>
      <c r="C62" s="2">
        <f t="shared" si="1"/>
        <v>4</v>
      </c>
      <c r="D62" s="2">
        <f t="shared" si="2"/>
        <v>-3</v>
      </c>
      <c r="E62" s="2">
        <f t="shared" si="6"/>
        <v>17</v>
      </c>
      <c r="F62" s="2">
        <f t="shared" si="4"/>
        <v>4.25</v>
      </c>
    </row>
    <row r="63" spans="1:6" ht="15" customHeight="1" x14ac:dyDescent="0.25">
      <c r="A63" s="2">
        <v>2.2000000000000002</v>
      </c>
      <c r="B63" s="2">
        <f t="shared" si="5"/>
        <v>2.2000000000000002</v>
      </c>
      <c r="C63" s="2">
        <f t="shared" si="1"/>
        <v>4.8400000000000007</v>
      </c>
      <c r="D63" s="2">
        <f t="shared" si="2"/>
        <v>-3.8400000000000007</v>
      </c>
      <c r="E63" s="2">
        <f t="shared" si="6"/>
        <v>23.985600000000005</v>
      </c>
      <c r="F63" s="2">
        <f t="shared" si="4"/>
        <v>5.0466115702479346</v>
      </c>
    </row>
    <row r="64" spans="1:6" ht="15" customHeight="1" x14ac:dyDescent="0.25">
      <c r="A64" s="2">
        <v>2.4</v>
      </c>
      <c r="B64" s="2">
        <f t="shared" si="5"/>
        <v>2.4</v>
      </c>
      <c r="C64" s="2">
        <f t="shared" si="1"/>
        <v>5.76</v>
      </c>
      <c r="D64" s="2">
        <f t="shared" si="2"/>
        <v>-4.76</v>
      </c>
      <c r="E64" s="2">
        <f t="shared" si="6"/>
        <v>33.217599999999997</v>
      </c>
      <c r="F64" s="2">
        <f t="shared" si="4"/>
        <v>5.9336111111111105</v>
      </c>
    </row>
    <row r="65" spans="1:6" ht="15" customHeight="1" x14ac:dyDescent="0.25">
      <c r="A65" s="2">
        <v>2.6</v>
      </c>
      <c r="B65" s="2">
        <f t="shared" si="5"/>
        <v>2.6</v>
      </c>
      <c r="C65" s="2">
        <f t="shared" si="1"/>
        <v>6.7600000000000007</v>
      </c>
      <c r="D65" s="2">
        <f t="shared" si="2"/>
        <v>-5.7600000000000007</v>
      </c>
      <c r="E65" s="2">
        <f t="shared" si="6"/>
        <v>45.137600000000013</v>
      </c>
      <c r="F65" s="2">
        <f t="shared" si="4"/>
        <v>6.907928994082841</v>
      </c>
    </row>
    <row r="66" spans="1:6" ht="15" customHeight="1" x14ac:dyDescent="0.25">
      <c r="A66" s="2">
        <v>2.8</v>
      </c>
      <c r="B66" s="2">
        <f t="shared" ref="B66:B97" si="7">IF(A66&lt;5,ABS(A66),1+A66^2)</f>
        <v>2.8</v>
      </c>
      <c r="C66" s="2">
        <f t="shared" si="1"/>
        <v>7.839999999999999</v>
      </c>
      <c r="D66" s="2">
        <f t="shared" si="2"/>
        <v>-6.839999999999999</v>
      </c>
      <c r="E66" s="2">
        <f t="shared" ref="E66:E102" si="8">IF(A66&lt;1,ABS(A66-A66^2),A66^4-A66^2+2*A66+1)</f>
        <v>60.225599999999986</v>
      </c>
      <c r="F66" s="2">
        <f t="shared" si="4"/>
        <v>7.9675510204081625</v>
      </c>
    </row>
    <row r="67" spans="1:6" ht="15" customHeight="1" x14ac:dyDescent="0.25">
      <c r="A67" s="2">
        <v>3</v>
      </c>
      <c r="B67" s="2">
        <f t="shared" si="7"/>
        <v>3</v>
      </c>
      <c r="C67" s="2">
        <f t="shared" ref="C67:C102" si="9">IF(A67&lt;1,ABS(A67/(A67+1)),A67^2)</f>
        <v>9</v>
      </c>
      <c r="D67" s="2">
        <f t="shared" ref="D67:D102" si="10">IF(A67&lt;1,ABS(SQRT(ABS(A67))/(A67+1)),1-A67^2)</f>
        <v>-8</v>
      </c>
      <c r="E67" s="2">
        <f t="shared" si="8"/>
        <v>79</v>
      </c>
      <c r="F67" s="2">
        <f t="shared" ref="F67:F102" si="11">IF(A67&lt;0,ABS(3*A67-5)+3*A67^3,A67^2+1/A67^2)</f>
        <v>9.1111111111111107</v>
      </c>
    </row>
    <row r="68" spans="1:6" ht="15" customHeight="1" x14ac:dyDescent="0.25">
      <c r="A68" s="2">
        <v>3.2</v>
      </c>
      <c r="B68" s="2">
        <f t="shared" si="7"/>
        <v>3.2</v>
      </c>
      <c r="C68" s="2">
        <f t="shared" si="9"/>
        <v>10.240000000000002</v>
      </c>
      <c r="D68" s="2">
        <f t="shared" si="10"/>
        <v>-9.240000000000002</v>
      </c>
      <c r="E68" s="2">
        <f t="shared" si="8"/>
        <v>102.01760000000004</v>
      </c>
      <c r="F68" s="2">
        <f t="shared" si="11"/>
        <v>10.337656250000002</v>
      </c>
    </row>
    <row r="69" spans="1:6" ht="15" customHeight="1" x14ac:dyDescent="0.25">
      <c r="A69" s="2">
        <v>3.4</v>
      </c>
      <c r="B69" s="2">
        <f t="shared" si="7"/>
        <v>3.4</v>
      </c>
      <c r="C69" s="2">
        <f t="shared" si="9"/>
        <v>11.559999999999999</v>
      </c>
      <c r="D69" s="2">
        <f t="shared" si="10"/>
        <v>-10.559999999999999</v>
      </c>
      <c r="E69" s="2">
        <f t="shared" si="8"/>
        <v>129.87359999999998</v>
      </c>
      <c r="F69" s="2">
        <f t="shared" si="11"/>
        <v>11.646505190311418</v>
      </c>
    </row>
    <row r="70" spans="1:6" ht="15" customHeight="1" x14ac:dyDescent="0.25">
      <c r="A70" s="2">
        <v>3.6</v>
      </c>
      <c r="B70" s="2">
        <f t="shared" si="7"/>
        <v>3.6</v>
      </c>
      <c r="C70" s="2">
        <f t="shared" si="9"/>
        <v>12.96</v>
      </c>
      <c r="D70" s="2">
        <f t="shared" si="10"/>
        <v>-11.96</v>
      </c>
      <c r="E70" s="2">
        <f t="shared" si="8"/>
        <v>163.20160000000001</v>
      </c>
      <c r="F70" s="2">
        <f t="shared" si="11"/>
        <v>13.037160493827161</v>
      </c>
    </row>
    <row r="71" spans="1:6" ht="15" customHeight="1" x14ac:dyDescent="0.25">
      <c r="A71" s="2">
        <v>3.8</v>
      </c>
      <c r="B71" s="2">
        <f t="shared" si="7"/>
        <v>3.8</v>
      </c>
      <c r="C71" s="2">
        <f t="shared" si="9"/>
        <v>14.44</v>
      </c>
      <c r="D71" s="2">
        <f t="shared" si="10"/>
        <v>-13.44</v>
      </c>
      <c r="E71" s="2">
        <f t="shared" si="8"/>
        <v>202.67359999999999</v>
      </c>
      <c r="F71" s="2">
        <f t="shared" si="11"/>
        <v>14.509252077562326</v>
      </c>
    </row>
    <row r="72" spans="1:6" ht="15" customHeight="1" x14ac:dyDescent="0.25">
      <c r="A72" s="2">
        <v>4</v>
      </c>
      <c r="B72" s="2">
        <f t="shared" si="7"/>
        <v>4</v>
      </c>
      <c r="C72" s="2">
        <f t="shared" si="9"/>
        <v>16</v>
      </c>
      <c r="D72" s="2">
        <f t="shared" si="10"/>
        <v>-15</v>
      </c>
      <c r="E72" s="2">
        <f t="shared" si="8"/>
        <v>249</v>
      </c>
      <c r="F72" s="2">
        <f t="shared" si="11"/>
        <v>16.0625</v>
      </c>
    </row>
    <row r="73" spans="1:6" ht="15" customHeight="1" x14ac:dyDescent="0.25">
      <c r="A73" s="2">
        <v>4.2</v>
      </c>
      <c r="B73" s="2">
        <f t="shared" si="7"/>
        <v>4.2</v>
      </c>
      <c r="C73" s="2">
        <f t="shared" si="9"/>
        <v>17.64</v>
      </c>
      <c r="D73" s="2">
        <f t="shared" si="10"/>
        <v>-16.64</v>
      </c>
      <c r="E73" s="2">
        <f t="shared" si="8"/>
        <v>302.92959999999999</v>
      </c>
      <c r="F73" s="2">
        <f t="shared" si="11"/>
        <v>17.69668934240363</v>
      </c>
    </row>
    <row r="74" spans="1:6" ht="15" customHeight="1" x14ac:dyDescent="0.25">
      <c r="A74" s="2">
        <v>4.4000000000000004</v>
      </c>
      <c r="B74" s="2">
        <f t="shared" si="7"/>
        <v>4.4000000000000004</v>
      </c>
      <c r="C74" s="2">
        <f t="shared" si="9"/>
        <v>19.360000000000003</v>
      </c>
      <c r="D74" s="2">
        <f t="shared" si="10"/>
        <v>-18.360000000000003</v>
      </c>
      <c r="E74" s="2">
        <f t="shared" si="8"/>
        <v>365.2496000000001</v>
      </c>
      <c r="F74" s="2">
        <f t="shared" si="11"/>
        <v>19.411652892561985</v>
      </c>
    </row>
    <row r="75" spans="1:6" ht="15" customHeight="1" x14ac:dyDescent="0.25">
      <c r="A75" s="2">
        <v>4.5999999999999996</v>
      </c>
      <c r="B75" s="2">
        <f t="shared" si="7"/>
        <v>4.5999999999999996</v>
      </c>
      <c r="C75" s="2">
        <f t="shared" si="9"/>
        <v>21.159999999999997</v>
      </c>
      <c r="D75" s="2">
        <f t="shared" si="10"/>
        <v>-20.159999999999997</v>
      </c>
      <c r="E75" s="2">
        <f t="shared" si="8"/>
        <v>436.78559999999987</v>
      </c>
      <c r="F75" s="2">
        <f t="shared" si="11"/>
        <v>21.207258979206046</v>
      </c>
    </row>
    <row r="76" spans="1:6" ht="15" customHeight="1" x14ac:dyDescent="0.25">
      <c r="A76" s="2">
        <v>4.8</v>
      </c>
      <c r="B76" s="2">
        <f t="shared" si="7"/>
        <v>4.8</v>
      </c>
      <c r="C76" s="2">
        <f t="shared" si="9"/>
        <v>23.04</v>
      </c>
      <c r="D76" s="2">
        <f t="shared" si="10"/>
        <v>-22.04</v>
      </c>
      <c r="E76" s="2">
        <f t="shared" si="8"/>
        <v>518.40159999999992</v>
      </c>
      <c r="F76" s="2">
        <f t="shared" si="11"/>
        <v>23.083402777777778</v>
      </c>
    </row>
    <row r="77" spans="1:6" ht="15" customHeight="1" x14ac:dyDescent="0.25">
      <c r="A77" s="2">
        <v>5</v>
      </c>
      <c r="B77" s="2">
        <f t="shared" si="7"/>
        <v>26</v>
      </c>
      <c r="C77" s="2">
        <f t="shared" si="9"/>
        <v>25</v>
      </c>
      <c r="D77" s="2">
        <f t="shared" si="10"/>
        <v>-24</v>
      </c>
      <c r="E77" s="2">
        <f t="shared" si="8"/>
        <v>611</v>
      </c>
      <c r="F77" s="2">
        <f t="shared" si="11"/>
        <v>25.04</v>
      </c>
    </row>
    <row r="78" spans="1:6" ht="15" customHeight="1" x14ac:dyDescent="0.25">
      <c r="A78" s="2">
        <v>5.2</v>
      </c>
      <c r="B78" s="2">
        <f t="shared" si="7"/>
        <v>28.040000000000003</v>
      </c>
      <c r="C78" s="2">
        <f t="shared" si="9"/>
        <v>27.040000000000003</v>
      </c>
      <c r="D78" s="2">
        <f t="shared" si="10"/>
        <v>-26.040000000000003</v>
      </c>
      <c r="E78" s="2">
        <f t="shared" si="8"/>
        <v>715.52160000000015</v>
      </c>
      <c r="F78" s="2">
        <f t="shared" si="11"/>
        <v>27.076982248520714</v>
      </c>
    </row>
    <row r="79" spans="1:6" ht="15" customHeight="1" x14ac:dyDescent="0.25">
      <c r="A79" s="2">
        <v>5.4</v>
      </c>
      <c r="B79" s="2">
        <f t="shared" si="7"/>
        <v>30.160000000000004</v>
      </c>
      <c r="C79" s="2">
        <f t="shared" si="9"/>
        <v>29.160000000000004</v>
      </c>
      <c r="D79" s="2">
        <f t="shared" si="10"/>
        <v>-28.160000000000004</v>
      </c>
      <c r="E79" s="2">
        <f t="shared" si="8"/>
        <v>832.94560000000024</v>
      </c>
      <c r="F79" s="2">
        <f t="shared" si="11"/>
        <v>29.194293552812074</v>
      </c>
    </row>
    <row r="80" spans="1:6" ht="15" customHeight="1" x14ac:dyDescent="0.25">
      <c r="A80" s="2">
        <v>5.6</v>
      </c>
      <c r="B80" s="2">
        <f t="shared" si="7"/>
        <v>32.36</v>
      </c>
      <c r="C80" s="2">
        <f t="shared" si="9"/>
        <v>31.359999999999996</v>
      </c>
      <c r="D80" s="2">
        <f t="shared" si="10"/>
        <v>-30.359999999999996</v>
      </c>
      <c r="E80" s="2">
        <f t="shared" si="8"/>
        <v>964.28959999999972</v>
      </c>
      <c r="F80" s="2">
        <f t="shared" si="11"/>
        <v>31.391887755102037</v>
      </c>
    </row>
    <row r="81" spans="1:6" ht="15" customHeight="1" x14ac:dyDescent="0.25">
      <c r="A81" s="2">
        <v>5.8</v>
      </c>
      <c r="B81" s="2">
        <f t="shared" si="7"/>
        <v>34.64</v>
      </c>
      <c r="C81" s="2">
        <f t="shared" si="9"/>
        <v>33.64</v>
      </c>
      <c r="D81" s="2">
        <f t="shared" si="10"/>
        <v>-32.64</v>
      </c>
      <c r="E81" s="2">
        <f t="shared" si="8"/>
        <v>1110.6095999999998</v>
      </c>
      <c r="F81" s="2">
        <f t="shared" si="11"/>
        <v>33.669726516052322</v>
      </c>
    </row>
    <row r="82" spans="1:6" ht="15" customHeight="1" x14ac:dyDescent="0.25">
      <c r="A82" s="2">
        <v>6</v>
      </c>
      <c r="B82" s="2">
        <f t="shared" si="7"/>
        <v>37</v>
      </c>
      <c r="C82" s="2">
        <f t="shared" si="9"/>
        <v>36</v>
      </c>
      <c r="D82" s="2">
        <f t="shared" si="10"/>
        <v>-35</v>
      </c>
      <c r="E82" s="2">
        <f t="shared" si="8"/>
        <v>1273</v>
      </c>
      <c r="F82" s="2">
        <f t="shared" si="11"/>
        <v>36.027777777777779</v>
      </c>
    </row>
    <row r="83" spans="1:6" ht="15" customHeight="1" x14ac:dyDescent="0.25">
      <c r="A83" s="2">
        <v>6.2</v>
      </c>
      <c r="B83" s="2">
        <f t="shared" si="7"/>
        <v>39.440000000000005</v>
      </c>
      <c r="C83" s="2">
        <f t="shared" si="9"/>
        <v>38.440000000000005</v>
      </c>
      <c r="D83" s="2">
        <f t="shared" si="10"/>
        <v>-37.440000000000005</v>
      </c>
      <c r="E83" s="2">
        <f t="shared" si="8"/>
        <v>1452.5936000000004</v>
      </c>
      <c r="F83" s="2">
        <f t="shared" si="11"/>
        <v>38.466014568158172</v>
      </c>
    </row>
    <row r="84" spans="1:6" ht="15" customHeight="1" x14ac:dyDescent="0.25">
      <c r="A84" s="2">
        <v>6.4</v>
      </c>
      <c r="B84" s="2">
        <f t="shared" si="7"/>
        <v>41.960000000000008</v>
      </c>
      <c r="C84" s="2">
        <f t="shared" si="9"/>
        <v>40.960000000000008</v>
      </c>
      <c r="D84" s="2">
        <f t="shared" si="10"/>
        <v>-39.960000000000008</v>
      </c>
      <c r="E84" s="2">
        <f t="shared" si="8"/>
        <v>1650.5616000000007</v>
      </c>
      <c r="F84" s="2">
        <f t="shared" si="11"/>
        <v>40.984414062500008</v>
      </c>
    </row>
    <row r="85" spans="1:6" ht="15" customHeight="1" x14ac:dyDescent="0.25">
      <c r="A85" s="2">
        <v>6.6</v>
      </c>
      <c r="B85" s="2">
        <f t="shared" si="7"/>
        <v>44.559999999999995</v>
      </c>
      <c r="C85" s="2">
        <f t="shared" si="9"/>
        <v>43.559999999999995</v>
      </c>
      <c r="D85" s="2">
        <f t="shared" si="10"/>
        <v>-42.559999999999995</v>
      </c>
      <c r="E85" s="2">
        <f t="shared" si="8"/>
        <v>1868.1135999999997</v>
      </c>
      <c r="F85" s="2">
        <f t="shared" si="11"/>
        <v>43.582956841138653</v>
      </c>
    </row>
    <row r="86" spans="1:6" ht="15" customHeight="1" x14ac:dyDescent="0.25">
      <c r="A86" s="2">
        <v>6.8</v>
      </c>
      <c r="B86" s="2">
        <f t="shared" si="7"/>
        <v>47.239999999999995</v>
      </c>
      <c r="C86" s="2">
        <f t="shared" si="9"/>
        <v>46.239999999999995</v>
      </c>
      <c r="D86" s="2">
        <f t="shared" si="10"/>
        <v>-45.239999999999995</v>
      </c>
      <c r="E86" s="2">
        <f t="shared" si="8"/>
        <v>2106.4975999999997</v>
      </c>
      <c r="F86" s="2">
        <f t="shared" si="11"/>
        <v>46.261626297577848</v>
      </c>
    </row>
    <row r="87" spans="1:6" ht="15" customHeight="1" x14ac:dyDescent="0.25">
      <c r="A87" s="2">
        <v>7</v>
      </c>
      <c r="B87" s="2">
        <f t="shared" si="7"/>
        <v>50</v>
      </c>
      <c r="C87" s="2">
        <f t="shared" si="9"/>
        <v>49</v>
      </c>
      <c r="D87" s="2">
        <f t="shared" si="10"/>
        <v>-48</v>
      </c>
      <c r="E87" s="2">
        <f t="shared" si="8"/>
        <v>2367</v>
      </c>
      <c r="F87" s="2">
        <f t="shared" si="11"/>
        <v>49.020408163265309</v>
      </c>
    </row>
    <row r="88" spans="1:6" ht="15" customHeight="1" x14ac:dyDescent="0.25">
      <c r="A88" s="2">
        <v>7.2</v>
      </c>
      <c r="B88" s="2">
        <f t="shared" si="7"/>
        <v>52.84</v>
      </c>
      <c r="C88" s="2">
        <f t="shared" si="9"/>
        <v>51.84</v>
      </c>
      <c r="D88" s="2">
        <f t="shared" si="10"/>
        <v>-50.84</v>
      </c>
      <c r="E88" s="2">
        <f t="shared" si="8"/>
        <v>2650.9456000000005</v>
      </c>
      <c r="F88" s="2">
        <f t="shared" si="11"/>
        <v>51.859290123456795</v>
      </c>
    </row>
    <row r="89" spans="1:6" ht="15" customHeight="1" x14ac:dyDescent="0.25">
      <c r="A89" s="2">
        <v>7.4</v>
      </c>
      <c r="B89" s="2">
        <f t="shared" si="7"/>
        <v>55.760000000000005</v>
      </c>
      <c r="C89" s="2">
        <f t="shared" si="9"/>
        <v>54.760000000000005</v>
      </c>
      <c r="D89" s="2">
        <f t="shared" si="10"/>
        <v>-53.760000000000005</v>
      </c>
      <c r="E89" s="2">
        <f t="shared" si="8"/>
        <v>2959.6976000000004</v>
      </c>
      <c r="F89" s="2">
        <f t="shared" si="11"/>
        <v>54.778261504747995</v>
      </c>
    </row>
    <row r="90" spans="1:6" ht="15" customHeight="1" x14ac:dyDescent="0.25">
      <c r="A90" s="2">
        <v>7.6</v>
      </c>
      <c r="B90" s="2">
        <f t="shared" si="7"/>
        <v>58.76</v>
      </c>
      <c r="C90" s="2">
        <f t="shared" si="9"/>
        <v>57.76</v>
      </c>
      <c r="D90" s="2">
        <f t="shared" si="10"/>
        <v>-56.76</v>
      </c>
      <c r="E90" s="2">
        <f t="shared" si="8"/>
        <v>3294.6575999999995</v>
      </c>
      <c r="F90" s="2">
        <f t="shared" si="11"/>
        <v>57.777313019390583</v>
      </c>
    </row>
    <row r="91" spans="1:6" ht="15" customHeight="1" x14ac:dyDescent="0.25">
      <c r="A91" s="2">
        <v>7.8</v>
      </c>
      <c r="B91" s="2">
        <f t="shared" si="7"/>
        <v>61.839999999999996</v>
      </c>
      <c r="C91" s="2">
        <f t="shared" si="9"/>
        <v>60.839999999999996</v>
      </c>
      <c r="D91" s="2">
        <f t="shared" si="10"/>
        <v>-59.839999999999996</v>
      </c>
      <c r="E91" s="2">
        <f t="shared" si="8"/>
        <v>3657.2655999999993</v>
      </c>
      <c r="F91" s="2">
        <f t="shared" si="11"/>
        <v>60.856436554898089</v>
      </c>
    </row>
    <row r="92" spans="1:6" ht="15" customHeight="1" x14ac:dyDescent="0.25">
      <c r="A92" s="2">
        <v>8</v>
      </c>
      <c r="B92" s="2">
        <f t="shared" si="7"/>
        <v>65</v>
      </c>
      <c r="C92" s="2">
        <f t="shared" si="9"/>
        <v>64</v>
      </c>
      <c r="D92" s="2">
        <f t="shared" si="10"/>
        <v>-63</v>
      </c>
      <c r="E92" s="2">
        <f t="shared" si="8"/>
        <v>4049</v>
      </c>
      <c r="F92" s="2">
        <f t="shared" si="11"/>
        <v>64.015625</v>
      </c>
    </row>
    <row r="93" spans="1:6" ht="15" customHeight="1" x14ac:dyDescent="0.25">
      <c r="A93" s="2">
        <v>8.1999999999999993</v>
      </c>
      <c r="B93" s="2">
        <f t="shared" si="7"/>
        <v>68.239999999999995</v>
      </c>
      <c r="C93" s="2">
        <f t="shared" si="9"/>
        <v>67.239999999999995</v>
      </c>
      <c r="D93" s="2">
        <f t="shared" si="10"/>
        <v>-66.239999999999995</v>
      </c>
      <c r="E93" s="2">
        <f t="shared" si="8"/>
        <v>4471.3775999999989</v>
      </c>
      <c r="F93" s="2">
        <f t="shared" si="11"/>
        <v>67.254872099940513</v>
      </c>
    </row>
    <row r="94" spans="1:6" ht="15" customHeight="1" x14ac:dyDescent="0.25">
      <c r="A94" s="2">
        <v>8.4</v>
      </c>
      <c r="B94" s="2">
        <f t="shared" si="7"/>
        <v>71.56</v>
      </c>
      <c r="C94" s="2">
        <f t="shared" si="9"/>
        <v>70.56</v>
      </c>
      <c r="D94" s="2">
        <f t="shared" si="10"/>
        <v>-69.56</v>
      </c>
      <c r="E94" s="2">
        <f t="shared" si="8"/>
        <v>4925.9535999999998</v>
      </c>
      <c r="F94" s="2">
        <f t="shared" si="11"/>
        <v>70.574172335600906</v>
      </c>
    </row>
    <row r="95" spans="1:6" ht="15" customHeight="1" x14ac:dyDescent="0.25">
      <c r="A95" s="2">
        <v>8.6</v>
      </c>
      <c r="B95" s="2">
        <f t="shared" si="7"/>
        <v>74.959999999999994</v>
      </c>
      <c r="C95" s="2">
        <f t="shared" si="9"/>
        <v>73.959999999999994</v>
      </c>
      <c r="D95" s="2">
        <f t="shared" si="10"/>
        <v>-72.959999999999994</v>
      </c>
      <c r="E95" s="2">
        <f t="shared" si="8"/>
        <v>5414.3215999999993</v>
      </c>
      <c r="F95" s="2">
        <f t="shared" si="11"/>
        <v>73.973520822065979</v>
      </c>
    </row>
    <row r="96" spans="1:6" ht="15" customHeight="1" x14ac:dyDescent="0.25">
      <c r="A96" s="2">
        <v>8.8000000000000007</v>
      </c>
      <c r="B96" s="2">
        <f t="shared" si="7"/>
        <v>78.440000000000012</v>
      </c>
      <c r="C96" s="2">
        <f t="shared" si="9"/>
        <v>77.440000000000012</v>
      </c>
      <c r="D96" s="2">
        <f t="shared" si="10"/>
        <v>-76.440000000000012</v>
      </c>
      <c r="E96" s="2">
        <f t="shared" si="8"/>
        <v>5938.1136000000024</v>
      </c>
      <c r="F96" s="2">
        <f t="shared" si="11"/>
        <v>77.452913223140513</v>
      </c>
    </row>
    <row r="97" spans="1:6" ht="15" customHeight="1" x14ac:dyDescent="0.25">
      <c r="A97" s="2">
        <v>9</v>
      </c>
      <c r="B97" s="2">
        <f t="shared" si="7"/>
        <v>82</v>
      </c>
      <c r="C97" s="2">
        <f t="shared" si="9"/>
        <v>81</v>
      </c>
      <c r="D97" s="2">
        <f t="shared" si="10"/>
        <v>-80</v>
      </c>
      <c r="E97" s="2">
        <f t="shared" si="8"/>
        <v>6499</v>
      </c>
      <c r="F97" s="2">
        <f t="shared" si="11"/>
        <v>81.012345679012341</v>
      </c>
    </row>
    <row r="98" spans="1:6" ht="15" customHeight="1" x14ac:dyDescent="0.25">
      <c r="A98" s="2">
        <v>9.1999999999999993</v>
      </c>
      <c r="B98" s="2">
        <f>IF(A98&lt;5,ABS(A98),1+A98^2)</f>
        <v>85.639999999999986</v>
      </c>
      <c r="C98" s="2">
        <f t="shared" si="9"/>
        <v>84.639999999999986</v>
      </c>
      <c r="D98" s="2">
        <f t="shared" si="10"/>
        <v>-83.639999999999986</v>
      </c>
      <c r="E98" s="2">
        <f t="shared" si="8"/>
        <v>7098.689599999997</v>
      </c>
      <c r="F98" s="2">
        <f t="shared" si="11"/>
        <v>84.651814744801499</v>
      </c>
    </row>
    <row r="99" spans="1:6" ht="15" customHeight="1" x14ac:dyDescent="0.25">
      <c r="A99" s="2">
        <v>9.4</v>
      </c>
      <c r="B99" s="2">
        <f>IF(A99&lt;5,ABS(A99),1+A99^2)</f>
        <v>89.360000000000014</v>
      </c>
      <c r="C99" s="2">
        <f t="shared" si="9"/>
        <v>88.360000000000014</v>
      </c>
      <c r="D99" s="2">
        <f t="shared" si="10"/>
        <v>-87.360000000000014</v>
      </c>
      <c r="E99" s="2">
        <f t="shared" si="8"/>
        <v>7738.9296000000031</v>
      </c>
      <c r="F99" s="2">
        <f t="shared" si="11"/>
        <v>88.371317338162072</v>
      </c>
    </row>
    <row r="100" spans="1:6" ht="15" customHeight="1" x14ac:dyDescent="0.25">
      <c r="A100" s="2">
        <v>9.6</v>
      </c>
      <c r="B100" s="2">
        <f>IF(A100&lt;5,ABS(A100),1+A100^2)</f>
        <v>93.16</v>
      </c>
      <c r="C100" s="2">
        <f t="shared" si="9"/>
        <v>92.16</v>
      </c>
      <c r="D100" s="2">
        <f t="shared" si="10"/>
        <v>-91.16</v>
      </c>
      <c r="E100" s="2">
        <f t="shared" si="8"/>
        <v>8421.5056000000004</v>
      </c>
      <c r="F100" s="2">
        <f t="shared" si="11"/>
        <v>92.170850694444439</v>
      </c>
    </row>
    <row r="101" spans="1:6" ht="15" customHeight="1" x14ac:dyDescent="0.25">
      <c r="A101" s="2">
        <v>9.8000000000000007</v>
      </c>
      <c r="B101" s="2">
        <f>IF(A101&lt;5,ABS(A101),1+A101^2)</f>
        <v>97.04000000000002</v>
      </c>
      <c r="C101" s="2">
        <f t="shared" si="9"/>
        <v>96.04000000000002</v>
      </c>
      <c r="D101" s="2">
        <f t="shared" si="10"/>
        <v>-95.04000000000002</v>
      </c>
      <c r="E101" s="2">
        <f t="shared" si="8"/>
        <v>9148.241600000003</v>
      </c>
      <c r="F101" s="2">
        <f t="shared" si="11"/>
        <v>96.0504123281966</v>
      </c>
    </row>
    <row r="102" spans="1:6" ht="15" customHeight="1" x14ac:dyDescent="0.25">
      <c r="A102" s="2">
        <v>10</v>
      </c>
      <c r="B102" s="2">
        <f>IF(A102&lt;5,ABS(A102),1+A102^2)</f>
        <v>101</v>
      </c>
      <c r="C102" s="2">
        <f t="shared" si="9"/>
        <v>100</v>
      </c>
      <c r="D102" s="2">
        <f t="shared" si="10"/>
        <v>-99</v>
      </c>
      <c r="E102" s="2">
        <f t="shared" si="8"/>
        <v>9921</v>
      </c>
      <c r="F102" s="2">
        <f t="shared" si="11"/>
        <v>100.01</v>
      </c>
    </row>
    <row r="103" spans="1:6" ht="15" customHeight="1" x14ac:dyDescent="0.25"/>
    <row r="104" spans="1:6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"/>
  <sheetViews>
    <sheetView zoomScaleNormal="100" workbookViewId="0">
      <selection activeCell="G2" sqref="G2"/>
    </sheetView>
  </sheetViews>
  <sheetFormatPr defaultColWidth="8.7109375" defaultRowHeight="15" x14ac:dyDescent="0.25"/>
  <cols>
    <col min="1" max="3" width="8" customWidth="1"/>
    <col min="4" max="7" width="22" customWidth="1"/>
  </cols>
  <sheetData>
    <row r="1" spans="1:7" ht="15.75" customHeight="1" x14ac:dyDescent="0.25">
      <c r="A1" s="5" t="s">
        <v>0</v>
      </c>
      <c r="B1" s="5" t="s">
        <v>1</v>
      </c>
      <c r="C1" s="5" t="s">
        <v>2</v>
      </c>
      <c r="D1" s="7" t="s">
        <v>29</v>
      </c>
      <c r="E1" s="7" t="s">
        <v>30</v>
      </c>
      <c r="F1" s="7" t="s">
        <v>31</v>
      </c>
      <c r="G1" s="7" t="s">
        <v>32</v>
      </c>
    </row>
    <row r="2" spans="1:7" ht="15" customHeight="1" x14ac:dyDescent="0.25">
      <c r="A2" s="2">
        <v>-10</v>
      </c>
      <c r="B2" s="2">
        <v>-8</v>
      </c>
      <c r="C2" s="2">
        <v>-6</v>
      </c>
      <c r="D2" s="2">
        <f>(A2^3+B2^3+C2^3)/(A2-B2-C2)</f>
        <v>-432</v>
      </c>
      <c r="E2" s="2">
        <f>(SQRT(ABS(A2-B2-C2))-A2*B2*C2)*(1+C2^3)</f>
        <v>-103630</v>
      </c>
      <c r="F2" s="2">
        <f>(5*C2)/(B2^3+A2^2+C2^3)-C2^2-1</f>
        <v>-36.952229299363054</v>
      </c>
      <c r="G2" s="2">
        <f>(1-A2^3*B2^3-A2^2-B2^2)/(A2^3+B2^3)*C2-(A2^3/B2^2)-(1/C2)</f>
        <v>-2016.6011904761901</v>
      </c>
    </row>
    <row r="3" spans="1:7" ht="15" customHeight="1" x14ac:dyDescent="0.25">
      <c r="A3" s="2">
        <v>-9.8000000000000007</v>
      </c>
      <c r="B3" s="2">
        <v>-7.8</v>
      </c>
      <c r="C3" s="2">
        <v>-5.8</v>
      </c>
      <c r="D3" s="2">
        <f t="shared" ref="D3:D66" si="0">(A3^3+B3^3+C3^3)/(A3-B3-C3)</f>
        <v>-423.9094736842107</v>
      </c>
      <c r="E3" s="2">
        <f t="shared" ref="E2:E33" si="1">(SQRT(ABS(A3-B3-C3))-A3*B3*C3)*(1+C3^3)</f>
        <v>-86438.337372771901</v>
      </c>
      <c r="F3" s="2">
        <f t="shared" ref="F3:F66" si="2">(5*C3)/(B3^3+A3^2+C3^3)-C3^2-1</f>
        <v>-34.58944423524818</v>
      </c>
      <c r="G3" s="2">
        <f t="shared" ref="G3:G66" si="3">(1-A3^3*B3^3-A3^2-B3^2)/(A3^3+B3^3)*C3-(A3^3/B3^2)-(1/C3)</f>
        <v>-1814.8032994594842</v>
      </c>
    </row>
    <row r="4" spans="1:7" ht="15" customHeight="1" x14ac:dyDescent="0.25">
      <c r="A4" s="2">
        <v>-9.6</v>
      </c>
      <c r="B4" s="2">
        <v>-7.6</v>
      </c>
      <c r="C4" s="2">
        <v>-5.6</v>
      </c>
      <c r="D4" s="2">
        <f t="shared" si="0"/>
        <v>-416.48</v>
      </c>
      <c r="E4" s="2">
        <f t="shared" si="1"/>
        <v>-71675.21738154476</v>
      </c>
      <c r="F4" s="2">
        <f t="shared" si="2"/>
        <v>-32.306404508146514</v>
      </c>
      <c r="G4" s="2">
        <f t="shared" si="3"/>
        <v>-1628.1772427443482</v>
      </c>
    </row>
    <row r="5" spans="1:7" ht="15" customHeight="1" x14ac:dyDescent="0.25">
      <c r="A5" s="2">
        <v>-9.4</v>
      </c>
      <c r="B5" s="2">
        <v>-7.4</v>
      </c>
      <c r="C5" s="2">
        <v>-5.4</v>
      </c>
      <c r="D5" s="2">
        <f t="shared" si="0"/>
        <v>-409.7858823529412</v>
      </c>
      <c r="E5" s="2">
        <f t="shared" si="1"/>
        <v>-59060.138896793185</v>
      </c>
      <c r="F5" s="2">
        <f t="shared" si="2"/>
        <v>-30.103077364186809</v>
      </c>
      <c r="G5" s="2">
        <f t="shared" si="3"/>
        <v>-1455.9592551519468</v>
      </c>
    </row>
    <row r="6" spans="1:7" ht="15" customHeight="1" x14ac:dyDescent="0.25">
      <c r="A6" s="2">
        <v>-9.1999999999999993</v>
      </c>
      <c r="B6" s="2">
        <v>-7.2</v>
      </c>
      <c r="C6" s="2">
        <v>-5.2</v>
      </c>
      <c r="D6" s="2">
        <f t="shared" si="0"/>
        <v>-403.91999999999973</v>
      </c>
      <c r="E6" s="2">
        <f t="shared" si="1"/>
        <v>-48337.434766562241</v>
      </c>
      <c r="F6" s="2">
        <f t="shared" si="2"/>
        <v>-27.979424438977116</v>
      </c>
      <c r="G6" s="2">
        <f t="shared" si="3"/>
        <v>-1297.4047119426655</v>
      </c>
    </row>
    <row r="7" spans="1:7" ht="15" customHeight="1" x14ac:dyDescent="0.25">
      <c r="A7" s="2">
        <v>-9</v>
      </c>
      <c r="B7" s="2">
        <v>-7</v>
      </c>
      <c r="C7" s="2">
        <v>-5</v>
      </c>
      <c r="D7" s="2">
        <f t="shared" si="0"/>
        <v>-399</v>
      </c>
      <c r="E7" s="2">
        <f t="shared" si="1"/>
        <v>-39274.774300138546</v>
      </c>
      <c r="F7" s="2">
        <f t="shared" si="2"/>
        <v>-25.935400516795866</v>
      </c>
      <c r="G7" s="2">
        <f t="shared" si="3"/>
        <v>-1151.7881206213829</v>
      </c>
    </row>
    <row r="8" spans="1:7" ht="15" customHeight="1" x14ac:dyDescent="0.25">
      <c r="A8" s="2">
        <v>-8.8000000000000007</v>
      </c>
      <c r="B8" s="2">
        <v>-6.8</v>
      </c>
      <c r="C8" s="2">
        <v>-4.8</v>
      </c>
      <c r="D8" s="2">
        <f t="shared" si="0"/>
        <v>-395.17714285714311</v>
      </c>
      <c r="E8" s="2">
        <f t="shared" si="1"/>
        <v>-31661.711835255846</v>
      </c>
      <c r="F8" s="2">
        <f t="shared" si="2"/>
        <v>-23.970951942552016</v>
      </c>
      <c r="G8" s="2">
        <f t="shared" si="3"/>
        <v>-1018.4031113059464</v>
      </c>
    </row>
    <row r="9" spans="1:7" ht="15" customHeight="1" x14ac:dyDescent="0.25">
      <c r="A9" s="2">
        <v>-8.6</v>
      </c>
      <c r="B9" s="2">
        <v>-6.6</v>
      </c>
      <c r="C9" s="2">
        <v>-4.5999999999999996</v>
      </c>
      <c r="D9" s="2">
        <f t="shared" si="0"/>
        <v>-392.64923076923077</v>
      </c>
      <c r="E9" s="2">
        <f t="shared" si="1"/>
        <v>-25308.281388488009</v>
      </c>
      <c r="F9" s="2">
        <f t="shared" si="2"/>
        <v>-22.086014565480323</v>
      </c>
      <c r="G9" s="2">
        <f t="shared" si="3"/>
        <v>-896.5624253412509</v>
      </c>
    </row>
    <row r="10" spans="1:7" ht="15" customHeight="1" x14ac:dyDescent="0.25">
      <c r="A10" s="2">
        <v>-8.4</v>
      </c>
      <c r="B10" s="2">
        <v>-6.4</v>
      </c>
      <c r="C10" s="2">
        <v>-4.4000000000000004</v>
      </c>
      <c r="D10" s="2">
        <f t="shared" si="0"/>
        <v>-391.68</v>
      </c>
      <c r="E10" s="2">
        <f t="shared" si="1"/>
        <v>-20043.63738800686</v>
      </c>
      <c r="F10" s="2">
        <f t="shared" si="2"/>
        <v>-20.280511041738933</v>
      </c>
      <c r="G10" s="2">
        <f t="shared" si="3"/>
        <v>-785.59790175333694</v>
      </c>
    </row>
    <row r="11" spans="1:7" ht="15" customHeight="1" x14ac:dyDescent="0.25">
      <c r="A11" s="2">
        <v>-8.1999999999999993</v>
      </c>
      <c r="B11" s="2">
        <v>-6.2</v>
      </c>
      <c r="C11" s="2">
        <v>-4.2</v>
      </c>
      <c r="D11" s="2">
        <f t="shared" si="0"/>
        <v>-392.62909090909068</v>
      </c>
      <c r="E11" s="2">
        <f t="shared" si="1"/>
        <v>-15714.741487004971</v>
      </c>
      <c r="F11" s="2">
        <f t="shared" si="2"/>
        <v>-18.554347244428492</v>
      </c>
      <c r="G11" s="2">
        <f t="shared" si="3"/>
        <v>-684.86046101963234</v>
      </c>
    </row>
    <row r="12" spans="1:7" ht="15" customHeight="1" x14ac:dyDescent="0.25">
      <c r="A12" s="2">
        <v>-8</v>
      </c>
      <c r="B12" s="2">
        <v>-6</v>
      </c>
      <c r="C12" s="2">
        <v>-4</v>
      </c>
      <c r="D12" s="2">
        <f t="shared" si="0"/>
        <v>-396</v>
      </c>
      <c r="E12" s="2">
        <f t="shared" si="1"/>
        <v>-12185.095454429505</v>
      </c>
      <c r="F12" s="2">
        <f t="shared" si="2"/>
        <v>-16.907407407407405</v>
      </c>
      <c r="G12" s="2">
        <f t="shared" si="3"/>
        <v>-593.72008547008556</v>
      </c>
    </row>
    <row r="13" spans="1:7" ht="15" customHeight="1" x14ac:dyDescent="0.25">
      <c r="A13" s="2">
        <v>-7.8</v>
      </c>
      <c r="B13" s="2">
        <v>-5.8</v>
      </c>
      <c r="C13" s="2">
        <v>-3.8</v>
      </c>
      <c r="D13" s="2">
        <f t="shared" si="0"/>
        <v>-402.52</v>
      </c>
      <c r="E13" s="2">
        <f t="shared" si="1"/>
        <v>-9333.5201364503191</v>
      </c>
      <c r="F13" s="2">
        <f t="shared" si="2"/>
        <v>-15.339547434758702</v>
      </c>
      <c r="G13" s="2">
        <f t="shared" si="3"/>
        <v>-511.56579541004993</v>
      </c>
    </row>
    <row r="14" spans="1:7" ht="15" customHeight="1" x14ac:dyDescent="0.25">
      <c r="A14" s="2">
        <v>-7.6</v>
      </c>
      <c r="B14" s="2">
        <v>-5.6</v>
      </c>
      <c r="C14" s="2">
        <v>-3.6</v>
      </c>
      <c r="D14" s="2">
        <f t="shared" si="0"/>
        <v>-413.27999999999986</v>
      </c>
      <c r="E14" s="2">
        <f t="shared" si="1"/>
        <v>-7052.9804755410587</v>
      </c>
      <c r="F14" s="2">
        <f t="shared" si="2"/>
        <v>-13.850585489204436</v>
      </c>
      <c r="G14" s="2">
        <f t="shared" si="3"/>
        <v>-437.80561973957964</v>
      </c>
    </row>
    <row r="15" spans="1:7" ht="15" customHeight="1" x14ac:dyDescent="0.25">
      <c r="A15" s="2">
        <v>-7.4</v>
      </c>
      <c r="B15" s="2">
        <v>-5.4</v>
      </c>
      <c r="C15" s="2">
        <v>-3.4</v>
      </c>
      <c r="D15" s="2">
        <f t="shared" si="0"/>
        <v>-429.99428571428581</v>
      </c>
      <c r="E15" s="2">
        <f t="shared" si="1"/>
        <v>-5249.4565600023707</v>
      </c>
      <c r="F15" s="2">
        <f t="shared" si="2"/>
        <v>-12.440288434454395</v>
      </c>
      <c r="G15" s="2">
        <f t="shared" si="3"/>
        <v>-371.8665593879312</v>
      </c>
    </row>
    <row r="16" spans="1:7" ht="15" customHeight="1" x14ac:dyDescent="0.25">
      <c r="A16" s="2">
        <v>-7.2</v>
      </c>
      <c r="B16" s="2">
        <v>-5.2</v>
      </c>
      <c r="C16" s="2">
        <v>-3.2</v>
      </c>
      <c r="D16" s="2">
        <f t="shared" si="0"/>
        <v>-455.52000000000004</v>
      </c>
      <c r="E16" s="2">
        <f t="shared" si="1"/>
        <v>-3840.8606444136499</v>
      </c>
      <c r="F16" s="2">
        <f t="shared" si="2"/>
        <v>-11.108351764086363</v>
      </c>
      <c r="G16" s="2">
        <f t="shared" si="3"/>
        <v>-313.19454120993356</v>
      </c>
    </row>
    <row r="17" spans="1:7" ht="15" customHeight="1" x14ac:dyDescent="0.25">
      <c r="A17" s="2">
        <v>-7</v>
      </c>
      <c r="B17" s="2">
        <v>-5</v>
      </c>
      <c r="C17" s="2">
        <v>-3</v>
      </c>
      <c r="D17" s="2">
        <f t="shared" si="0"/>
        <v>-495</v>
      </c>
      <c r="E17" s="2">
        <f t="shared" si="1"/>
        <v>-2756</v>
      </c>
      <c r="F17" s="2">
        <f t="shared" si="2"/>
        <v>-9.8543689320388346</v>
      </c>
      <c r="G17" s="2">
        <f t="shared" si="3"/>
        <v>-261.25435897435898</v>
      </c>
    </row>
    <row r="18" spans="1:7" ht="15" customHeight="1" x14ac:dyDescent="0.25">
      <c r="A18" s="2">
        <v>-6.8</v>
      </c>
      <c r="B18" s="2">
        <v>-4.8</v>
      </c>
      <c r="C18" s="2">
        <v>-2.8</v>
      </c>
      <c r="D18" s="2">
        <f t="shared" si="0"/>
        <v>-558.72</v>
      </c>
      <c r="E18" s="2">
        <f t="shared" si="1"/>
        <v>-1933.5852225058297</v>
      </c>
      <c r="F18" s="2">
        <f t="shared" si="2"/>
        <v>-8.677782721542453</v>
      </c>
      <c r="G18" s="2">
        <f t="shared" si="3"/>
        <v>-215.52959649268732</v>
      </c>
    </row>
    <row r="19" spans="1:7" ht="15" customHeight="1" x14ac:dyDescent="0.25">
      <c r="A19" s="2">
        <v>-6.6</v>
      </c>
      <c r="B19" s="2">
        <v>-4.5999999999999996</v>
      </c>
      <c r="C19" s="2">
        <v>-2.6</v>
      </c>
      <c r="D19" s="2">
        <f t="shared" si="0"/>
        <v>-670.67999999999984</v>
      </c>
      <c r="E19" s="2">
        <f t="shared" si="1"/>
        <v>-1321.2828503893472</v>
      </c>
      <c r="F19" s="2">
        <f t="shared" si="2"/>
        <v>-7.5778046866240611</v>
      </c>
      <c r="G19" s="2">
        <f t="shared" si="3"/>
        <v>-175.52252539498718</v>
      </c>
    </row>
    <row r="20" spans="1:7" ht="15" customHeight="1" x14ac:dyDescent="0.25">
      <c r="A20" s="2">
        <v>-6.4</v>
      </c>
      <c r="B20" s="2">
        <v>-4.4000000000000004</v>
      </c>
      <c r="C20" s="2">
        <v>-2.4</v>
      </c>
      <c r="D20" s="2">
        <f t="shared" si="0"/>
        <v>-902.88000000000045</v>
      </c>
      <c r="E20" s="2">
        <f t="shared" si="1"/>
        <v>-874.80782574279988</v>
      </c>
      <c r="F20" s="2">
        <f t="shared" si="2"/>
        <v>-6.5532745314222707</v>
      </c>
      <c r="G20" s="2">
        <f t="shared" si="3"/>
        <v>-140.75396582377374</v>
      </c>
    </row>
    <row r="21" spans="1:7" ht="15" customHeight="1" x14ac:dyDescent="0.25">
      <c r="A21" s="2">
        <v>-6.2</v>
      </c>
      <c r="B21" s="2">
        <v>-4.2</v>
      </c>
      <c r="C21" s="2">
        <v>-2.2000000000000002</v>
      </c>
      <c r="D21" s="2">
        <f t="shared" si="0"/>
        <v>-1615.319999999999</v>
      </c>
      <c r="E21" s="2">
        <f t="shared" si="1"/>
        <v>-557.02934076938391</v>
      </c>
      <c r="F21" s="2">
        <f t="shared" si="2"/>
        <v>-5.6023984793502688</v>
      </c>
      <c r="G21" s="2">
        <f t="shared" si="3"/>
        <v>-110.76309095707201</v>
      </c>
    </row>
    <row r="22" spans="1:7" ht="15" customHeight="1" x14ac:dyDescent="0.25">
      <c r="A22" s="2">
        <v>-6</v>
      </c>
      <c r="B22" s="2">
        <v>-4</v>
      </c>
      <c r="C22" s="2">
        <v>-2</v>
      </c>
      <c r="D22" s="2" t="e">
        <f t="shared" si="0"/>
        <v>#DIV/0!</v>
      </c>
      <c r="E22" s="2">
        <f t="shared" si="1"/>
        <v>-336</v>
      </c>
      <c r="F22" s="2">
        <f t="shared" si="2"/>
        <v>-4.7222222222222223</v>
      </c>
      <c r="G22" s="2">
        <f t="shared" si="3"/>
        <v>-85.107142857142861</v>
      </c>
    </row>
    <row r="23" spans="1:7" ht="15" customHeight="1" x14ac:dyDescent="0.25">
      <c r="A23" s="2">
        <v>-5.8</v>
      </c>
      <c r="B23" s="2">
        <v>-3.8</v>
      </c>
      <c r="C23" s="2">
        <v>-1.8</v>
      </c>
      <c r="D23" s="2">
        <f t="shared" si="0"/>
        <v>1279.0800000000002</v>
      </c>
      <c r="E23" s="2">
        <f t="shared" si="1"/>
        <v>-193.85604009345582</v>
      </c>
      <c r="F23" s="2">
        <f t="shared" si="2"/>
        <v>-3.9074549216671595</v>
      </c>
      <c r="G23" s="2">
        <f t="shared" si="3"/>
        <v>-63.361001289868696</v>
      </c>
    </row>
    <row r="24" spans="1:7" ht="15" customHeight="1" x14ac:dyDescent="0.25">
      <c r="A24" s="2">
        <v>-5.6</v>
      </c>
      <c r="B24" s="2">
        <v>-3.6</v>
      </c>
      <c r="C24" s="2">
        <v>-1.6</v>
      </c>
      <c r="D24" s="2">
        <f t="shared" si="0"/>
        <v>565.92000000000064</v>
      </c>
      <c r="E24" s="2">
        <f t="shared" si="1"/>
        <v>-101.82265832717628</v>
      </c>
      <c r="F24" s="2">
        <f t="shared" si="2"/>
        <v>-3.1474587458745882</v>
      </c>
      <c r="G24" s="2">
        <f t="shared" si="3"/>
        <v>-45.116493974327533</v>
      </c>
    </row>
    <row r="25" spans="1:7" ht="15" customHeight="1" x14ac:dyDescent="0.25">
      <c r="A25" s="2">
        <v>-5.4</v>
      </c>
      <c r="B25" s="2">
        <v>-3.4</v>
      </c>
      <c r="C25" s="2">
        <v>-1.4</v>
      </c>
      <c r="D25" s="2">
        <f t="shared" si="0"/>
        <v>332.51999999999975</v>
      </c>
      <c r="E25" s="2">
        <f t="shared" si="1"/>
        <v>-46.178672591157124</v>
      </c>
      <c r="F25" s="2">
        <f t="shared" si="2"/>
        <v>-2.4168590937306016</v>
      </c>
      <c r="G25" s="2">
        <f t="shared" si="3"/>
        <v>-29.981218422488418</v>
      </c>
    </row>
    <row r="26" spans="1:7" ht="15" customHeight="1" x14ac:dyDescent="0.25">
      <c r="A26" s="2">
        <v>-5.2</v>
      </c>
      <c r="B26" s="2">
        <v>-3.2</v>
      </c>
      <c r="C26" s="2">
        <v>-1.2</v>
      </c>
      <c r="D26" s="2">
        <f t="shared" si="0"/>
        <v>218.88000000000005</v>
      </c>
      <c r="E26" s="2">
        <f t="shared" si="1"/>
        <v>-15.18784699504794</v>
      </c>
      <c r="F26" s="2">
        <f t="shared" si="2"/>
        <v>-1.635278969957082</v>
      </c>
      <c r="G26" s="2">
        <f t="shared" si="3"/>
        <v>-17.576356201550393</v>
      </c>
    </row>
    <row r="27" spans="1:7" ht="15" customHeight="1" x14ac:dyDescent="0.25">
      <c r="A27" s="2">
        <v>-5</v>
      </c>
      <c r="B27" s="2">
        <v>-3</v>
      </c>
      <c r="C27" s="2">
        <v>-1</v>
      </c>
      <c r="D27" s="2">
        <f t="shared" si="0"/>
        <v>153</v>
      </c>
      <c r="E27" s="2">
        <f t="shared" si="1"/>
        <v>0</v>
      </c>
      <c r="F27" s="2">
        <f t="shared" si="2"/>
        <v>-0.33333333333333326</v>
      </c>
      <c r="G27" s="2">
        <f t="shared" si="3"/>
        <v>-7.5321637426900594</v>
      </c>
    </row>
    <row r="28" spans="1:7" ht="15" customHeight="1" x14ac:dyDescent="0.25">
      <c r="A28" s="2">
        <v>-4.8</v>
      </c>
      <c r="B28" s="2">
        <v>-2.8</v>
      </c>
      <c r="C28" s="2">
        <v>-0.8</v>
      </c>
      <c r="D28" s="2">
        <f t="shared" si="0"/>
        <v>110.88</v>
      </c>
      <c r="E28" s="2">
        <f t="shared" si="1"/>
        <v>5.7815532161250411</v>
      </c>
      <c r="F28" s="2">
        <f t="shared" si="2"/>
        <v>-8.5844444444443919</v>
      </c>
      <c r="G28" s="2">
        <f t="shared" si="3"/>
        <v>0.52273529301629118</v>
      </c>
    </row>
    <row r="29" spans="1:7" ht="15" customHeight="1" x14ac:dyDescent="0.25">
      <c r="A29" s="2">
        <v>-4.5999999999999996</v>
      </c>
      <c r="B29" s="2">
        <v>-2.6</v>
      </c>
      <c r="C29" s="2">
        <v>-0.6</v>
      </c>
      <c r="D29" s="2">
        <f t="shared" si="0"/>
        <v>82.234285714285718</v>
      </c>
      <c r="E29" s="2">
        <f t="shared" si="1"/>
        <v>6.5536253099900188</v>
      </c>
      <c r="F29" s="2">
        <f t="shared" si="2"/>
        <v>-2.2507363420427575</v>
      </c>
      <c r="G29" s="2">
        <f t="shared" si="3"/>
        <v>6.9922922572703881</v>
      </c>
    </row>
    <row r="30" spans="1:7" ht="15" customHeight="1" x14ac:dyDescent="0.25">
      <c r="A30" s="2">
        <v>-4.4000000000000004</v>
      </c>
      <c r="B30" s="2">
        <v>-2.4</v>
      </c>
      <c r="C30" s="2">
        <v>-0.4</v>
      </c>
      <c r="D30" s="2">
        <f t="shared" si="0"/>
        <v>61.919999999999987</v>
      </c>
      <c r="E30" s="2">
        <f t="shared" si="1"/>
        <v>5.137620755967041</v>
      </c>
      <c r="F30" s="2">
        <f t="shared" si="2"/>
        <v>-1.5254970760233917</v>
      </c>
      <c r="G30" s="2">
        <f t="shared" si="3"/>
        <v>12.433913064713069</v>
      </c>
    </row>
    <row r="31" spans="1:7" ht="15" customHeight="1" x14ac:dyDescent="0.25">
      <c r="A31" s="2">
        <v>-4.2</v>
      </c>
      <c r="B31" s="2">
        <v>-2.2000000000000002</v>
      </c>
      <c r="C31" s="2">
        <v>-0.2</v>
      </c>
      <c r="D31" s="2">
        <f t="shared" si="0"/>
        <v>47.080000000000005</v>
      </c>
      <c r="E31" s="2">
        <f t="shared" si="1"/>
        <v>3.1641236602078755</v>
      </c>
      <c r="F31" s="2">
        <f t="shared" si="2"/>
        <v>-1.183184421534937</v>
      </c>
      <c r="G31" s="2">
        <f t="shared" si="3"/>
        <v>18.394746777858231</v>
      </c>
    </row>
    <row r="32" spans="1:7" ht="15" customHeight="1" x14ac:dyDescent="0.25">
      <c r="A32" s="2">
        <v>-4</v>
      </c>
      <c r="B32" s="2">
        <v>-2</v>
      </c>
      <c r="C32" s="2">
        <v>0</v>
      </c>
      <c r="D32" s="2">
        <f t="shared" si="0"/>
        <v>36</v>
      </c>
      <c r="E32" s="2">
        <f t="shared" si="1"/>
        <v>1.4142135623730951</v>
      </c>
      <c r="F32" s="2">
        <f t="shared" si="2"/>
        <v>-1</v>
      </c>
      <c r="G32" s="2" t="e">
        <f t="shared" si="3"/>
        <v>#DIV/0!</v>
      </c>
    </row>
    <row r="33" spans="1:7" ht="15" customHeight="1" x14ac:dyDescent="0.25">
      <c r="A33" s="2">
        <v>-3.8</v>
      </c>
      <c r="B33" s="2">
        <v>-1.8</v>
      </c>
      <c r="C33" s="2">
        <v>0.2</v>
      </c>
      <c r="D33" s="2">
        <f t="shared" si="0"/>
        <v>27.58909090909091</v>
      </c>
      <c r="E33" s="2">
        <f t="shared" si="1"/>
        <v>0.11616161499848537</v>
      </c>
      <c r="F33" s="2">
        <f t="shared" si="2"/>
        <v>-0.92393686165273903</v>
      </c>
      <c r="G33" s="2">
        <f t="shared" si="3"/>
        <v>13.045098410095207</v>
      </c>
    </row>
    <row r="34" spans="1:7" ht="15" customHeight="1" x14ac:dyDescent="0.25">
      <c r="A34" s="2">
        <v>-3.6</v>
      </c>
      <c r="B34" s="2">
        <v>-1.6</v>
      </c>
      <c r="C34" s="2">
        <v>0.4</v>
      </c>
      <c r="D34" s="2">
        <f t="shared" si="0"/>
        <v>21.120000000000005</v>
      </c>
      <c r="E34" s="2">
        <f t="shared" ref="E34:E65" si="4">(SQRT(ABS(A34-B34-C34))-A34*B34*C34)*(1+C34^3)</f>
        <v>-0.80311428785412364</v>
      </c>
      <c r="F34" s="2">
        <f t="shared" si="2"/>
        <v>-0.93598566308243736</v>
      </c>
      <c r="G34" s="2">
        <f t="shared" si="3"/>
        <v>17.34560983606557</v>
      </c>
    </row>
    <row r="35" spans="1:7" ht="15" customHeight="1" x14ac:dyDescent="0.25">
      <c r="A35" s="2">
        <v>-3.4</v>
      </c>
      <c r="B35" s="2">
        <v>-1.4</v>
      </c>
      <c r="C35" s="2">
        <v>0.6</v>
      </c>
      <c r="D35" s="2">
        <f t="shared" si="0"/>
        <v>16.089230769230767</v>
      </c>
      <c r="E35" s="2">
        <f t="shared" si="4"/>
        <v>-1.5121549156137923</v>
      </c>
      <c r="F35" s="2">
        <f t="shared" si="2"/>
        <v>-1.0278476527900797</v>
      </c>
      <c r="G35" s="2">
        <f t="shared" si="3"/>
        <v>20.104005516727238</v>
      </c>
    </row>
    <row r="36" spans="1:7" ht="15" customHeight="1" x14ac:dyDescent="0.25">
      <c r="A36" s="2">
        <v>-3.2</v>
      </c>
      <c r="B36" s="2">
        <v>-1.2</v>
      </c>
      <c r="C36" s="2">
        <v>0.8</v>
      </c>
      <c r="D36" s="2">
        <f t="shared" si="0"/>
        <v>12.137142857142861</v>
      </c>
      <c r="E36" s="2">
        <f t="shared" si="4"/>
        <v>-2.1148040797609555</v>
      </c>
      <c r="F36" s="2">
        <f t="shared" si="2"/>
        <v>-1.1967375886524825</v>
      </c>
      <c r="G36" s="2">
        <f t="shared" si="3"/>
        <v>23.06638820861679</v>
      </c>
    </row>
    <row r="37" spans="1:7" ht="15" customHeight="1" x14ac:dyDescent="0.25">
      <c r="A37" s="2">
        <v>-3</v>
      </c>
      <c r="B37" s="2">
        <v>-1</v>
      </c>
      <c r="C37" s="2">
        <v>1</v>
      </c>
      <c r="D37" s="2">
        <f t="shared" si="0"/>
        <v>9</v>
      </c>
      <c r="E37" s="2">
        <f t="shared" si="4"/>
        <v>-2.5358983848622456</v>
      </c>
      <c r="F37" s="2">
        <f t="shared" si="2"/>
        <v>-1.4444444444444444</v>
      </c>
      <c r="G37" s="2">
        <f t="shared" si="3"/>
        <v>27.285714285714285</v>
      </c>
    </row>
    <row r="38" spans="1:7" ht="15" customHeight="1" x14ac:dyDescent="0.25">
      <c r="A38" s="2">
        <v>-2.8</v>
      </c>
      <c r="B38" s="2">
        <v>-0.8</v>
      </c>
      <c r="C38" s="2">
        <v>1.2</v>
      </c>
      <c r="D38" s="2">
        <f t="shared" si="0"/>
        <v>6.4799999999999986</v>
      </c>
      <c r="E38" s="2">
        <f t="shared" si="4"/>
        <v>-2.4528692459044583</v>
      </c>
      <c r="F38" s="2">
        <f t="shared" si="2"/>
        <v>-1.7774558303886925</v>
      </c>
      <c r="G38" s="2">
        <f t="shared" si="3"/>
        <v>34.466635897435879</v>
      </c>
    </row>
    <row r="39" spans="1:7" ht="15" customHeight="1" x14ac:dyDescent="0.25">
      <c r="A39" s="2">
        <v>-2.6</v>
      </c>
      <c r="B39" s="2">
        <v>-0.6</v>
      </c>
      <c r="C39" s="2">
        <v>1.4</v>
      </c>
      <c r="D39" s="2">
        <f t="shared" si="0"/>
        <v>4.4258823529411782</v>
      </c>
      <c r="E39" s="2">
        <f t="shared" si="4"/>
        <v>-1.2733011103790846</v>
      </c>
      <c r="F39" s="2">
        <f t="shared" si="2"/>
        <v>-2.206339362618432</v>
      </c>
      <c r="G39" s="2">
        <f t="shared" si="3"/>
        <v>48.888230033116379</v>
      </c>
    </row>
    <row r="40" spans="1:7" ht="15" customHeight="1" x14ac:dyDescent="0.25">
      <c r="A40" s="2">
        <v>-2.4</v>
      </c>
      <c r="B40" s="2">
        <v>-0.4</v>
      </c>
      <c r="C40" s="2">
        <v>1.6</v>
      </c>
      <c r="D40" s="2">
        <f t="shared" si="0"/>
        <v>2.7199999999999993</v>
      </c>
      <c r="E40" s="2">
        <f t="shared" si="4"/>
        <v>1.8415241737308365</v>
      </c>
      <c r="F40" s="2">
        <f t="shared" si="2"/>
        <v>-2.7430065359477132</v>
      </c>
      <c r="G40" s="2">
        <f t="shared" si="3"/>
        <v>86.443748387096747</v>
      </c>
    </row>
    <row r="41" spans="1:7" ht="15" customHeight="1" x14ac:dyDescent="0.25">
      <c r="A41" s="2">
        <v>-2.2000000000000002</v>
      </c>
      <c r="B41" s="2">
        <v>-0.2</v>
      </c>
      <c r="C41" s="2">
        <v>1.8</v>
      </c>
      <c r="D41" s="2">
        <f t="shared" si="0"/>
        <v>1.2694736842105268</v>
      </c>
      <c r="E41" s="2">
        <f t="shared" si="4"/>
        <v>7.9070757927469684</v>
      </c>
      <c r="F41" s="2">
        <f t="shared" si="2"/>
        <v>-3.3960390097524384</v>
      </c>
      <c r="G41" s="2">
        <f t="shared" si="3"/>
        <v>266.31423903903908</v>
      </c>
    </row>
    <row r="42" spans="1:7" ht="15" customHeight="1" x14ac:dyDescent="0.25">
      <c r="A42" s="2">
        <v>-2</v>
      </c>
      <c r="B42" s="2">
        <v>0</v>
      </c>
      <c r="C42" s="2">
        <v>2</v>
      </c>
      <c r="D42" s="2">
        <f t="shared" si="0"/>
        <v>0</v>
      </c>
      <c r="E42" s="2">
        <f t="shared" si="4"/>
        <v>18</v>
      </c>
      <c r="F42" s="2">
        <f t="shared" si="2"/>
        <v>-4.1666666666666661</v>
      </c>
      <c r="G42" s="2" t="e">
        <f t="shared" si="3"/>
        <v>#DIV/0!</v>
      </c>
    </row>
    <row r="43" spans="1:7" ht="15" customHeight="1" x14ac:dyDescent="0.25">
      <c r="A43" s="2">
        <v>-1.8</v>
      </c>
      <c r="B43" s="2">
        <v>0.2</v>
      </c>
      <c r="C43" s="2">
        <v>2.2000000000000002</v>
      </c>
      <c r="D43" s="2">
        <f t="shared" si="0"/>
        <v>-1.148571428571429</v>
      </c>
      <c r="E43" s="2">
        <f t="shared" si="4"/>
        <v>33.096512504379497</v>
      </c>
      <c r="F43" s="2">
        <f t="shared" si="2"/>
        <v>-5.0484052964881991</v>
      </c>
      <c r="G43" s="2">
        <f t="shared" si="3"/>
        <v>146.18909410589407</v>
      </c>
    </row>
    <row r="44" spans="1:7" ht="15" customHeight="1" x14ac:dyDescent="0.25">
      <c r="A44" s="2">
        <v>-1.6</v>
      </c>
      <c r="B44" s="2">
        <v>0.4</v>
      </c>
      <c r="C44" s="2">
        <v>2.4</v>
      </c>
      <c r="D44" s="2">
        <f t="shared" si="0"/>
        <v>-2.2254545454545447</v>
      </c>
      <c r="E44" s="2">
        <f t="shared" si="4"/>
        <v>53.864748730548662</v>
      </c>
      <c r="F44" s="2">
        <f t="shared" si="2"/>
        <v>-6.030428015564202</v>
      </c>
      <c r="G44" s="2">
        <f t="shared" si="3"/>
        <v>26.051104761904764</v>
      </c>
    </row>
    <row r="45" spans="1:7" ht="15" customHeight="1" x14ac:dyDescent="0.25">
      <c r="A45" s="2">
        <v>-1.4</v>
      </c>
      <c r="B45" s="2">
        <v>0.6</v>
      </c>
      <c r="C45" s="2">
        <v>2.6</v>
      </c>
      <c r="D45" s="2">
        <f t="shared" si="0"/>
        <v>-3.2713043478260886</v>
      </c>
      <c r="E45" s="2">
        <f t="shared" si="4"/>
        <v>80.411065431105783</v>
      </c>
      <c r="F45" s="2">
        <f t="shared" si="2"/>
        <v>-7.101838801134063</v>
      </c>
      <c r="G45" s="2">
        <f t="shared" si="3"/>
        <v>7.9856169641891146</v>
      </c>
    </row>
    <row r="46" spans="1:7" ht="15" customHeight="1" x14ac:dyDescent="0.25">
      <c r="A46" s="2">
        <v>-1.2</v>
      </c>
      <c r="B46" s="2">
        <v>0.8</v>
      </c>
      <c r="C46" s="2">
        <v>2.8</v>
      </c>
      <c r="D46" s="2">
        <f t="shared" si="0"/>
        <v>-4.3199999999999985</v>
      </c>
      <c r="E46" s="2">
        <f t="shared" si="4"/>
        <v>111.98028855943426</v>
      </c>
      <c r="F46" s="2">
        <f t="shared" si="2"/>
        <v>-8.2543239625167324</v>
      </c>
      <c r="G46" s="2">
        <f t="shared" si="3"/>
        <v>2.7924781954887208</v>
      </c>
    </row>
    <row r="47" spans="1:7" ht="15" customHeight="1" x14ac:dyDescent="0.25">
      <c r="A47" s="2">
        <v>-1</v>
      </c>
      <c r="B47" s="2">
        <v>1</v>
      </c>
      <c r="C47" s="2">
        <v>3</v>
      </c>
      <c r="D47" s="2">
        <f t="shared" si="0"/>
        <v>-5.4</v>
      </c>
      <c r="E47" s="2">
        <f t="shared" si="4"/>
        <v>146.60990336999413</v>
      </c>
      <c r="F47" s="2">
        <f t="shared" si="2"/>
        <v>-9.4827586206896548</v>
      </c>
      <c r="G47" s="2" t="e">
        <f t="shared" si="3"/>
        <v>#DIV/0!</v>
      </c>
    </row>
    <row r="48" spans="1:7" ht="15" customHeight="1" x14ac:dyDescent="0.25">
      <c r="A48" s="2">
        <v>-0.8</v>
      </c>
      <c r="B48" s="2">
        <v>1.2</v>
      </c>
      <c r="C48" s="2">
        <v>3.2</v>
      </c>
      <c r="D48" s="2">
        <f t="shared" si="0"/>
        <v>-6.5353846153846167</v>
      </c>
      <c r="E48" s="2">
        <f t="shared" si="4"/>
        <v>180.73818350949543</v>
      </c>
      <c r="F48" s="2">
        <f t="shared" si="2"/>
        <v>-10.784626593806923</v>
      </c>
      <c r="G48" s="2">
        <f t="shared" si="3"/>
        <v>-0.47079707602339155</v>
      </c>
    </row>
    <row r="49" spans="1:7" ht="15" customHeight="1" x14ac:dyDescent="0.25">
      <c r="A49" s="2">
        <v>-0.6</v>
      </c>
      <c r="B49" s="2">
        <v>1.4</v>
      </c>
      <c r="C49" s="2">
        <v>3.4</v>
      </c>
      <c r="D49" s="2">
        <f t="shared" si="0"/>
        <v>-7.7466666666666653</v>
      </c>
      <c r="E49" s="2">
        <f t="shared" si="4"/>
        <v>208.76625647132622</v>
      </c>
      <c r="F49" s="2">
        <f t="shared" si="2"/>
        <v>-12.159132239200149</v>
      </c>
      <c r="G49" s="2">
        <f t="shared" si="3"/>
        <v>-1.1620806540337654</v>
      </c>
    </row>
    <row r="50" spans="1:7" ht="15" customHeight="1" x14ac:dyDescent="0.25">
      <c r="A50" s="2">
        <v>-0.4</v>
      </c>
      <c r="B50" s="2">
        <v>1.6</v>
      </c>
      <c r="C50" s="2">
        <v>3.6</v>
      </c>
      <c r="D50" s="2">
        <f t="shared" si="0"/>
        <v>-9.0514285714285734</v>
      </c>
      <c r="E50" s="2">
        <f t="shared" si="4"/>
        <v>222.57410325735819</v>
      </c>
      <c r="F50" s="2">
        <f t="shared" si="2"/>
        <v>-13.606448774355751</v>
      </c>
      <c r="G50" s="2">
        <f t="shared" si="3"/>
        <v>-1.5544349206349208</v>
      </c>
    </row>
    <row r="51" spans="1:7" ht="15" customHeight="1" x14ac:dyDescent="0.25">
      <c r="A51" s="2">
        <v>-0.2</v>
      </c>
      <c r="B51" s="2">
        <v>1.8</v>
      </c>
      <c r="C51" s="2">
        <v>3.8</v>
      </c>
      <c r="D51" s="2">
        <f t="shared" si="0"/>
        <v>-10.464827586206896</v>
      </c>
      <c r="E51" s="2">
        <f t="shared" si="4"/>
        <v>210.9904904612566</v>
      </c>
      <c r="F51" s="2">
        <f t="shared" si="2"/>
        <v>-15.12721190570262</v>
      </c>
      <c r="G51" s="2">
        <f t="shared" si="3"/>
        <v>-1.7178843633299772</v>
      </c>
    </row>
    <row r="52" spans="1:7" ht="15" customHeight="1" x14ac:dyDescent="0.25">
      <c r="A52" s="2">
        <v>0</v>
      </c>
      <c r="B52" s="2">
        <v>2</v>
      </c>
      <c r="C52" s="2">
        <v>4</v>
      </c>
      <c r="D52" s="2">
        <f t="shared" si="0"/>
        <v>-12</v>
      </c>
      <c r="E52" s="2">
        <f t="shared" si="4"/>
        <v>159.21683328090657</v>
      </c>
      <c r="F52" s="2">
        <f t="shared" si="2"/>
        <v>-16.722222222222221</v>
      </c>
      <c r="G52" s="2">
        <f t="shared" si="3"/>
        <v>-1.75</v>
      </c>
    </row>
    <row r="53" spans="1:7" ht="15" customHeight="1" x14ac:dyDescent="0.25">
      <c r="A53" s="2">
        <v>0.2</v>
      </c>
      <c r="B53" s="2">
        <v>2.2000000000000002</v>
      </c>
      <c r="C53" s="2">
        <v>4.2</v>
      </c>
      <c r="D53" s="2">
        <f t="shared" si="0"/>
        <v>-13.668387096774195</v>
      </c>
      <c r="E53" s="2">
        <f t="shared" si="4"/>
        <v>48.204988202755558</v>
      </c>
      <c r="F53" s="2">
        <f t="shared" si="2"/>
        <v>-18.392288383504766</v>
      </c>
      <c r="G53" s="2">
        <f t="shared" si="3"/>
        <v>-1.8026021847112754</v>
      </c>
    </row>
    <row r="54" spans="1:7" ht="15" customHeight="1" x14ac:dyDescent="0.25">
      <c r="A54" s="2">
        <v>0.4</v>
      </c>
      <c r="B54" s="2">
        <v>2.4</v>
      </c>
      <c r="C54" s="2">
        <v>4.4000000000000004</v>
      </c>
      <c r="D54" s="2">
        <f t="shared" si="0"/>
        <v>-15.480000000000004</v>
      </c>
      <c r="E54" s="2">
        <f t="shared" si="4"/>
        <v>-146.01102570883876</v>
      </c>
      <c r="F54" s="2">
        <f t="shared" si="2"/>
        <v>-20.138154243304296</v>
      </c>
      <c r="G54" s="2">
        <f t="shared" si="3"/>
        <v>-2.0774419028999676</v>
      </c>
    </row>
    <row r="55" spans="1:7" ht="15" customHeight="1" x14ac:dyDescent="0.25">
      <c r="A55" s="2">
        <v>0.6</v>
      </c>
      <c r="B55" s="2">
        <v>2.6</v>
      </c>
      <c r="C55" s="2">
        <v>4.5999999999999996</v>
      </c>
      <c r="D55" s="2">
        <f t="shared" si="0"/>
        <v>-17.443636363636362</v>
      </c>
      <c r="E55" s="2">
        <f t="shared" si="4"/>
        <v>-453.02937782887699</v>
      </c>
      <c r="F55" s="2">
        <f t="shared" si="2"/>
        <v>-21.960471927267676</v>
      </c>
      <c r="G55" s="2">
        <f t="shared" si="3"/>
        <v>-2.8131655498035322</v>
      </c>
    </row>
    <row r="56" spans="1:7" ht="15" customHeight="1" x14ac:dyDescent="0.25">
      <c r="A56" s="2">
        <v>0.8</v>
      </c>
      <c r="B56" s="2">
        <v>2.8</v>
      </c>
      <c r="C56" s="2">
        <v>4.8</v>
      </c>
      <c r="D56" s="2">
        <f t="shared" si="0"/>
        <v>-19.567058823529411</v>
      </c>
      <c r="E56" s="2">
        <f t="shared" si="4"/>
        <v>-908.84085007945032</v>
      </c>
      <c r="F56" s="2">
        <f t="shared" si="2"/>
        <v>-23.859798173954829</v>
      </c>
      <c r="G56" s="2">
        <f t="shared" si="3"/>
        <v>-4.2735163788592363</v>
      </c>
    </row>
    <row r="57" spans="1:7" ht="15" customHeight="1" x14ac:dyDescent="0.25">
      <c r="A57" s="2">
        <v>1</v>
      </c>
      <c r="B57" s="2">
        <v>3</v>
      </c>
      <c r="C57" s="2">
        <v>5</v>
      </c>
      <c r="D57" s="2">
        <f t="shared" si="0"/>
        <v>-21.857142857142858</v>
      </c>
      <c r="E57" s="2">
        <f t="shared" si="4"/>
        <v>-1556.6353348058617</v>
      </c>
      <c r="F57" s="2">
        <f t="shared" si="2"/>
        <v>-25.836601307189543</v>
      </c>
      <c r="G57" s="2">
        <f t="shared" si="3"/>
        <v>-6.7396825396825397</v>
      </c>
    </row>
    <row r="58" spans="1:7" ht="15" customHeight="1" x14ac:dyDescent="0.25">
      <c r="A58" s="2">
        <v>1.2</v>
      </c>
      <c r="B58" s="2">
        <v>3.2</v>
      </c>
      <c r="C58" s="2">
        <v>5.2</v>
      </c>
      <c r="D58" s="2">
        <f t="shared" si="0"/>
        <v>-24.320000000000004</v>
      </c>
      <c r="E58" s="2">
        <f t="shared" si="4"/>
        <v>-2447.6544070106524</v>
      </c>
      <c r="F58" s="2">
        <f t="shared" si="2"/>
        <v>-27.891272194764785</v>
      </c>
      <c r="G58" s="2">
        <f t="shared" si="3"/>
        <v>-10.506469937205651</v>
      </c>
    </row>
    <row r="59" spans="1:7" ht="15" customHeight="1" x14ac:dyDescent="0.25">
      <c r="A59" s="2">
        <v>1.4</v>
      </c>
      <c r="B59" s="2">
        <v>3.4</v>
      </c>
      <c r="C59" s="2">
        <v>5.4</v>
      </c>
      <c r="D59" s="2">
        <f t="shared" si="0"/>
        <v>-26.961081081081083</v>
      </c>
      <c r="E59" s="2">
        <f t="shared" si="4"/>
        <v>-3642.0899714607499</v>
      </c>
      <c r="F59" s="2">
        <f t="shared" si="2"/>
        <v>-30.024135904351681</v>
      </c>
      <c r="G59" s="2">
        <f t="shared" si="3"/>
        <v>-15.881054057536703</v>
      </c>
    </row>
    <row r="60" spans="1:7" ht="15" customHeight="1" x14ac:dyDescent="0.25">
      <c r="A60" s="2">
        <v>1.6</v>
      </c>
      <c r="B60" s="2">
        <v>3.6</v>
      </c>
      <c r="C60" s="2">
        <v>5.6</v>
      </c>
      <c r="D60" s="2">
        <f t="shared" si="0"/>
        <v>-29.785263157894732</v>
      </c>
      <c r="E60" s="2">
        <f t="shared" si="4"/>
        <v>-5210.028985120166</v>
      </c>
      <c r="F60" s="2">
        <f t="shared" si="2"/>
        <v>-32.235462567606035</v>
      </c>
      <c r="G60" s="2">
        <f t="shared" si="3"/>
        <v>-23.183158516205513</v>
      </c>
    </row>
    <row r="61" spans="1:7" ht="15" customHeight="1" x14ac:dyDescent="0.25">
      <c r="A61" s="2">
        <v>1.8</v>
      </c>
      <c r="B61" s="2">
        <v>3.8</v>
      </c>
      <c r="C61" s="2">
        <v>5.8</v>
      </c>
      <c r="D61" s="2">
        <f t="shared" si="0"/>
        <v>-32.796923076923072</v>
      </c>
      <c r="E61" s="2">
        <f t="shared" si="4"/>
        <v>-7232.4442553072768</v>
      </c>
      <c r="F61" s="2">
        <f t="shared" si="2"/>
        <v>-34.525476890026219</v>
      </c>
      <c r="G61" s="2">
        <f t="shared" si="3"/>
        <v>-32.745874197269821</v>
      </c>
    </row>
    <row r="62" spans="1:7" ht="15" customHeight="1" x14ac:dyDescent="0.25">
      <c r="A62" s="2">
        <v>2</v>
      </c>
      <c r="B62" s="2">
        <v>4</v>
      </c>
      <c r="C62" s="2">
        <v>6</v>
      </c>
      <c r="D62" s="2">
        <f t="shared" si="0"/>
        <v>-36</v>
      </c>
      <c r="E62" s="2">
        <f t="shared" si="4"/>
        <v>-9802.2313139300768</v>
      </c>
      <c r="F62" s="2">
        <f t="shared" si="2"/>
        <v>-36.894366197183096</v>
      </c>
      <c r="G62" s="2">
        <f t="shared" si="3"/>
        <v>-44.916666666666664</v>
      </c>
    </row>
    <row r="63" spans="1:7" ht="15" customHeight="1" x14ac:dyDescent="0.25">
      <c r="A63" s="2">
        <v>2.2000000000000002</v>
      </c>
      <c r="B63" s="2">
        <v>4.2</v>
      </c>
      <c r="C63" s="2">
        <v>6.2</v>
      </c>
      <c r="D63" s="2">
        <f t="shared" si="0"/>
        <v>-39.398048780487819</v>
      </c>
      <c r="E63" s="2">
        <f t="shared" si="4"/>
        <v>-13025.291368113643</v>
      </c>
      <c r="F63" s="2">
        <f t="shared" si="2"/>
        <v>-39.342287111985279</v>
      </c>
      <c r="G63" s="2">
        <f t="shared" si="3"/>
        <v>-60.058346839286038</v>
      </c>
    </row>
    <row r="64" spans="1:7" ht="15" customHeight="1" x14ac:dyDescent="0.25">
      <c r="A64" s="2">
        <v>2.4</v>
      </c>
      <c r="B64" s="2">
        <v>4.4000000000000004</v>
      </c>
      <c r="C64" s="2">
        <v>6.4</v>
      </c>
      <c r="D64" s="2">
        <f t="shared" si="0"/>
        <v>-42.994285714285724</v>
      </c>
      <c r="E64" s="2">
        <f t="shared" si="4"/>
        <v>-17021.660327500151</v>
      </c>
      <c r="F64" s="2">
        <f t="shared" si="2"/>
        <v>-41.869371034982791</v>
      </c>
      <c r="G64" s="2">
        <f t="shared" si="3"/>
        <v>-78.549912773590052</v>
      </c>
    </row>
    <row r="65" spans="1:7" ht="15" customHeight="1" x14ac:dyDescent="0.25">
      <c r="A65" s="2">
        <v>2.6</v>
      </c>
      <c r="B65" s="2">
        <v>4.5999999999999996</v>
      </c>
      <c r="C65" s="2">
        <v>6.6</v>
      </c>
      <c r="D65" s="2">
        <f t="shared" si="0"/>
        <v>-46.791627906976743</v>
      </c>
      <c r="E65" s="2">
        <f t="shared" si="4"/>
        <v>-21926.683908472536</v>
      </c>
      <c r="F65" s="2">
        <f t="shared" si="2"/>
        <v>-44.475728615497758</v>
      </c>
      <c r="G65" s="2">
        <f t="shared" si="3"/>
        <v>-100.78723972192039</v>
      </c>
    </row>
    <row r="66" spans="1:7" ht="15" customHeight="1" x14ac:dyDescent="0.25">
      <c r="A66" s="2">
        <v>2.8</v>
      </c>
      <c r="B66" s="2">
        <v>4.8</v>
      </c>
      <c r="C66" s="2">
        <v>6.8</v>
      </c>
      <c r="D66" s="2">
        <f t="shared" si="0"/>
        <v>-50.792727272727262</v>
      </c>
      <c r="E66" s="2">
        <f t="shared" ref="E66:E102" si="5">(SQRT(ABS(A66-B66-C66))-A66*B66*C66)*(1+C66^3)</f>
        <v>-27892.238815527373</v>
      </c>
      <c r="F66" s="2">
        <f t="shared" si="2"/>
        <v>-47.161453389517256</v>
      </c>
      <c r="G66" s="2">
        <f t="shared" si="3"/>
        <v>-127.18362742699526</v>
      </c>
    </row>
    <row r="67" spans="1:7" ht="15" customHeight="1" x14ac:dyDescent="0.25">
      <c r="A67" s="2">
        <v>3</v>
      </c>
      <c r="B67" s="2">
        <v>5</v>
      </c>
      <c r="C67" s="2">
        <v>7</v>
      </c>
      <c r="D67" s="2">
        <f t="shared" ref="D67:D102" si="6">(A67^3+B67^3+C67^3)/(A67-B67-C67)</f>
        <v>-55</v>
      </c>
      <c r="E67" s="2">
        <f t="shared" si="5"/>
        <v>-35088</v>
      </c>
      <c r="F67" s="2">
        <f t="shared" ref="F67:F102" si="7">(5*C67)/(B67^3+A67^2+C67^3)-C67^2-1</f>
        <v>-49.926624737945495</v>
      </c>
      <c r="G67" s="2">
        <f t="shared" ref="G67:G102" si="8">(1-A67^3*B67^3-A67^2-B67^2)/(A67^3+B67^3)*C67-(A67^3/B67^2)-(1/C67)</f>
        <v>-158.17022556390978</v>
      </c>
    </row>
    <row r="68" spans="1:7" ht="15" customHeight="1" x14ac:dyDescent="0.25">
      <c r="A68" s="2">
        <v>3.2</v>
      </c>
      <c r="B68" s="2">
        <v>5.2</v>
      </c>
      <c r="C68" s="2">
        <v>7.2</v>
      </c>
      <c r="D68" s="2">
        <f t="shared" si="6"/>
        <v>-59.415652173913053</v>
      </c>
      <c r="E68" s="2">
        <f t="shared" si="5"/>
        <v>-43702.753996325846</v>
      </c>
      <c r="F68" s="2">
        <f t="shared" si="7"/>
        <v>-52.77131029429723</v>
      </c>
      <c r="G68" s="2">
        <f t="shared" si="8"/>
        <v>-194.19636041771787</v>
      </c>
    </row>
    <row r="69" spans="1:7" ht="15" customHeight="1" x14ac:dyDescent="0.25">
      <c r="A69" s="2">
        <v>3.4</v>
      </c>
      <c r="B69" s="2">
        <v>5.4</v>
      </c>
      <c r="C69" s="2">
        <v>7.4</v>
      </c>
      <c r="D69" s="2">
        <f t="shared" si="6"/>
        <v>-64.041702127659576</v>
      </c>
      <c r="E69" s="2">
        <f t="shared" si="5"/>
        <v>-53945.758336004117</v>
      </c>
      <c r="F69" s="2">
        <f t="shared" si="7"/>
        <v>-55.69556790794222</v>
      </c>
      <c r="G69" s="2">
        <f t="shared" si="8"/>
        <v>-235.72978389013804</v>
      </c>
    </row>
    <row r="70" spans="1:7" ht="15" customHeight="1" x14ac:dyDescent="0.25">
      <c r="A70" s="2">
        <v>3.6</v>
      </c>
      <c r="B70" s="2">
        <v>5.6</v>
      </c>
      <c r="C70" s="2">
        <v>7.6</v>
      </c>
      <c r="D70" s="2">
        <f t="shared" si="6"/>
        <v>-68.88</v>
      </c>
      <c r="E70" s="2">
        <f t="shared" si="5"/>
        <v>-66048.147039415227</v>
      </c>
      <c r="F70" s="2">
        <f t="shared" si="7"/>
        <v>-58.699447248992911</v>
      </c>
      <c r="G70" s="2">
        <f t="shared" si="8"/>
        <v>-283.25686252623041</v>
      </c>
    </row>
    <row r="71" spans="1:7" ht="15" customHeight="1" x14ac:dyDescent="0.25">
      <c r="A71" s="2">
        <v>3.8</v>
      </c>
      <c r="B71" s="2">
        <v>5.8</v>
      </c>
      <c r="C71" s="2">
        <v>7.8</v>
      </c>
      <c r="D71" s="2">
        <f t="shared" si="6"/>
        <v>-73.93224489795918</v>
      </c>
      <c r="E71" s="2">
        <f t="shared" si="5"/>
        <v>-80264.382185629613</v>
      </c>
      <c r="F71" s="2">
        <f t="shared" si="7"/>
        <v>-61.78299112415656</v>
      </c>
      <c r="G71" s="2">
        <f t="shared" si="8"/>
        <v>-337.2827207290095</v>
      </c>
    </row>
    <row r="72" spans="1:7" ht="15" customHeight="1" x14ac:dyDescent="0.25">
      <c r="A72" s="2">
        <v>4</v>
      </c>
      <c r="B72" s="2">
        <v>6</v>
      </c>
      <c r="C72" s="2">
        <v>8</v>
      </c>
      <c r="D72" s="2">
        <f t="shared" si="6"/>
        <v>-79.2</v>
      </c>
      <c r="E72" s="2">
        <f t="shared" si="5"/>
        <v>-96873.751560333621</v>
      </c>
      <c r="F72" s="2">
        <f t="shared" si="7"/>
        <v>-64.946236559139777</v>
      </c>
      <c r="G72" s="2">
        <f t="shared" si="8"/>
        <v>-398.33134920634922</v>
      </c>
    </row>
    <row r="73" spans="1:7" ht="15" customHeight="1" x14ac:dyDescent="0.25">
      <c r="A73" s="2">
        <v>4.2</v>
      </c>
      <c r="B73" s="2">
        <v>6.2</v>
      </c>
      <c r="C73" s="2">
        <v>8.1999999999999993</v>
      </c>
      <c r="D73" s="2">
        <f t="shared" si="6"/>
        <v>-84.684705882352944</v>
      </c>
      <c r="E73" s="2">
        <f t="shared" si="5"/>
        <v>-116181.91238198757</v>
      </c>
      <c r="F73" s="2">
        <f t="shared" si="7"/>
        <v>-68.189215692103403</v>
      </c>
      <c r="G73" s="2">
        <f t="shared" si="8"/>
        <v>-466.94568712044753</v>
      </c>
    </row>
    <row r="74" spans="1:7" ht="15" customHeight="1" x14ac:dyDescent="0.25">
      <c r="A74" s="2">
        <v>4.4000000000000004</v>
      </c>
      <c r="B74" s="2">
        <v>6.4</v>
      </c>
      <c r="C74" s="2">
        <v>8.4</v>
      </c>
      <c r="D74" s="2">
        <f t="shared" si="6"/>
        <v>-90.387692307692319</v>
      </c>
      <c r="E74" s="2">
        <f t="shared" si="5"/>
        <v>-138522.48110632171</v>
      </c>
      <c r="F74" s="2">
        <f t="shared" si="7"/>
        <v>-71.511956513781612</v>
      </c>
      <c r="G74" s="2">
        <f t="shared" si="8"/>
        <v>-543.68768437277913</v>
      </c>
    </row>
    <row r="75" spans="1:7" ht="15" customHeight="1" x14ac:dyDescent="0.25">
      <c r="A75" s="2">
        <v>4.5999999999999996</v>
      </c>
      <c r="B75" s="2">
        <v>6.6</v>
      </c>
      <c r="C75" s="2">
        <v>8.6</v>
      </c>
      <c r="D75" s="2">
        <f t="shared" si="6"/>
        <v>-96.310188679245272</v>
      </c>
      <c r="E75" s="2">
        <f t="shared" si="5"/>
        <v>-164258.66930926617</v>
      </c>
      <c r="F75" s="2">
        <f t="shared" si="7"/>
        <v>-74.914483482796868</v>
      </c>
      <c r="G75" s="2">
        <f t="shared" si="8"/>
        <v>-629.13834888293752</v>
      </c>
    </row>
    <row r="76" spans="1:7" ht="15" customHeight="1" x14ac:dyDescent="0.25">
      <c r="A76" s="2">
        <v>4.8</v>
      </c>
      <c r="B76" s="2">
        <v>6.8</v>
      </c>
      <c r="C76" s="2">
        <v>8.8000000000000007</v>
      </c>
      <c r="D76" s="2">
        <f t="shared" si="6"/>
        <v>-102.45333333333333</v>
      </c>
      <c r="E76" s="2">
        <f t="shared" si="5"/>
        <v>-193784.9656484061</v>
      </c>
      <c r="F76" s="2">
        <f t="shared" si="7"/>
        <v>-78.396818039067909</v>
      </c>
      <c r="G76" s="2">
        <f t="shared" si="8"/>
        <v>-723.89778252038843</v>
      </c>
    </row>
    <row r="77" spans="1:7" ht="15" customHeight="1" x14ac:dyDescent="0.25">
      <c r="A77" s="2">
        <v>5</v>
      </c>
      <c r="B77" s="2">
        <v>7</v>
      </c>
      <c r="C77" s="2">
        <v>9</v>
      </c>
      <c r="D77" s="2">
        <f t="shared" si="6"/>
        <v>-108.81818181818181</v>
      </c>
      <c r="E77" s="2">
        <f t="shared" si="5"/>
        <v>-227528.86390304056</v>
      </c>
      <c r="F77" s="2">
        <f t="shared" si="7"/>
        <v>-81.958979033728355</v>
      </c>
      <c r="G77" s="2">
        <f t="shared" si="8"/>
        <v>-828.58520844235125</v>
      </c>
    </row>
    <row r="78" spans="1:7" ht="15" customHeight="1" x14ac:dyDescent="0.25">
      <c r="A78" s="2">
        <v>5.2</v>
      </c>
      <c r="B78" s="2">
        <v>7.2</v>
      </c>
      <c r="C78" s="2">
        <v>9.1999999999999993</v>
      </c>
      <c r="D78" s="2">
        <f t="shared" si="6"/>
        <v>-115.40571428571428</v>
      </c>
      <c r="E78" s="2">
        <f t="shared" si="5"/>
        <v>-265952.63709292671</v>
      </c>
      <c r="F78" s="2">
        <f t="shared" si="7"/>
        <v>-85.600983090410651</v>
      </c>
      <c r="G78" s="2">
        <f t="shared" si="8"/>
        <v>-943.83899191033686</v>
      </c>
    </row>
    <row r="79" spans="1:7" ht="15" customHeight="1" x14ac:dyDescent="0.25">
      <c r="A79" s="2">
        <v>5.4</v>
      </c>
      <c r="B79" s="2">
        <v>7.4</v>
      </c>
      <c r="C79" s="2">
        <v>9.4</v>
      </c>
      <c r="D79" s="2">
        <f t="shared" si="6"/>
        <v>-122.21684210526318</v>
      </c>
      <c r="E79" s="2">
        <f t="shared" si="5"/>
        <v>-309555.15767577436</v>
      </c>
      <c r="F79" s="2">
        <f t="shared" si="7"/>
        <v>-89.322844909910785</v>
      </c>
      <c r="G79" s="2">
        <f t="shared" si="8"/>
        <v>-1070.3166561474386</v>
      </c>
    </row>
    <row r="80" spans="1:7" ht="15" customHeight="1" x14ac:dyDescent="0.25">
      <c r="A80" s="2">
        <v>5.6</v>
      </c>
      <c r="B80" s="2">
        <v>7.6</v>
      </c>
      <c r="C80" s="2">
        <v>9.6</v>
      </c>
      <c r="D80" s="2">
        <f t="shared" si="6"/>
        <v>-129.25241379310344</v>
      </c>
      <c r="E80" s="2">
        <f t="shared" si="5"/>
        <v>-358873.76382355794</v>
      </c>
      <c r="F80" s="2">
        <f t="shared" si="7"/>
        <v>-93.124577527983746</v>
      </c>
      <c r="G80" s="2">
        <f t="shared" si="8"/>
        <v>-1208.6948944160454</v>
      </c>
    </row>
    <row r="81" spans="1:7" ht="15" customHeight="1" x14ac:dyDescent="0.25">
      <c r="A81" s="2">
        <v>5.8</v>
      </c>
      <c r="B81" s="2">
        <v>7.8</v>
      </c>
      <c r="C81" s="2">
        <v>9.8000000000000007</v>
      </c>
      <c r="D81" s="2">
        <f t="shared" si="6"/>
        <v>-136.51322033898307</v>
      </c>
      <c r="E81" s="2">
        <f t="shared" si="5"/>
        <v>-414486.17177771038</v>
      </c>
      <c r="F81" s="2">
        <f t="shared" si="7"/>
        <v>-97.006192534207656</v>
      </c>
      <c r="G81" s="2">
        <f t="shared" si="8"/>
        <v>-1359.6695792088608</v>
      </c>
    </row>
    <row r="82" spans="1:7" ht="15" customHeight="1" x14ac:dyDescent="0.25">
      <c r="A82" s="2">
        <v>6</v>
      </c>
      <c r="B82" s="2">
        <v>8</v>
      </c>
      <c r="C82" s="2">
        <v>10</v>
      </c>
      <c r="D82" s="2">
        <f t="shared" si="6"/>
        <v>-144</v>
      </c>
      <c r="E82" s="2">
        <f t="shared" si="5"/>
        <v>-477012.4342832471</v>
      </c>
      <c r="F82" s="2">
        <f t="shared" si="7"/>
        <v>-100.96770025839793</v>
      </c>
      <c r="G82" s="2">
        <f t="shared" si="8"/>
        <v>-1523.9557692307692</v>
      </c>
    </row>
    <row r="83" spans="1:7" ht="15" customHeight="1" x14ac:dyDescent="0.25">
      <c r="A83" s="2">
        <v>6.2</v>
      </c>
      <c r="B83" s="2">
        <v>8.1999999999999993</v>
      </c>
      <c r="C83" s="2">
        <v>10.199999999999999</v>
      </c>
      <c r="D83" s="2">
        <f t="shared" si="6"/>
        <v>-151.71344262295082</v>
      </c>
      <c r="E83" s="2">
        <f t="shared" si="5"/>
        <v>-547116.94510188117</v>
      </c>
      <c r="F83" s="2">
        <f t="shared" si="7"/>
        <v>-105.0091099298856</v>
      </c>
      <c r="G83" s="2">
        <f t="shared" si="8"/>
        <v>-1702.2877146870699</v>
      </c>
    </row>
    <row r="84" spans="1:7" ht="15" customHeight="1" x14ac:dyDescent="0.25">
      <c r="A84" s="2">
        <v>6.4</v>
      </c>
      <c r="B84" s="2">
        <v>8.4</v>
      </c>
      <c r="C84" s="2">
        <v>10.4</v>
      </c>
      <c r="D84" s="2">
        <f t="shared" si="6"/>
        <v>-159.65419354838713</v>
      </c>
      <c r="E84" s="2">
        <f t="shared" si="5"/>
        <v>-625510.48960417311</v>
      </c>
      <c r="F84" s="2">
        <f t="shared" si="7"/>
        <v>-109.13042981402629</v>
      </c>
      <c r="G84" s="2">
        <f t="shared" si="8"/>
        <v>-1895.4188612713588</v>
      </c>
    </row>
    <row r="85" spans="1:7" ht="15" customHeight="1" x14ac:dyDescent="0.25">
      <c r="A85" s="2">
        <v>6.6</v>
      </c>
      <c r="B85" s="2">
        <v>8.6</v>
      </c>
      <c r="C85" s="2">
        <v>10.6</v>
      </c>
      <c r="D85" s="2">
        <f t="shared" si="6"/>
        <v>-167.82285714285712</v>
      </c>
      <c r="E85" s="2">
        <f t="shared" si="5"/>
        <v>-712952.34144076111</v>
      </c>
      <c r="F85" s="2">
        <f t="shared" si="7"/>
        <v>-113.33166732954425</v>
      </c>
      <c r="G85" s="2">
        <f t="shared" si="8"/>
        <v>-2104.1218531538957</v>
      </c>
    </row>
    <row r="86" spans="1:7" ht="15" customHeight="1" x14ac:dyDescent="0.25">
      <c r="A86" s="2">
        <v>6.8</v>
      </c>
      <c r="B86" s="2">
        <v>8.8000000000000007</v>
      </c>
      <c r="C86" s="2">
        <v>10.8</v>
      </c>
      <c r="D86" s="2">
        <f t="shared" si="6"/>
        <v>-176.22000000000003</v>
      </c>
      <c r="E86" s="2">
        <f t="shared" si="5"/>
        <v>-810252.40529272065</v>
      </c>
      <c r="F86" s="2">
        <f t="shared" si="7"/>
        <v>-117.61282914969328</v>
      </c>
      <c r="G86" s="2">
        <f t="shared" si="8"/>
        <v>-2329.1885352011805</v>
      </c>
    </row>
    <row r="87" spans="1:7" ht="15" customHeight="1" x14ac:dyDescent="0.25">
      <c r="A87" s="2">
        <v>7</v>
      </c>
      <c r="B87" s="2">
        <v>9</v>
      </c>
      <c r="C87" s="2">
        <v>11</v>
      </c>
      <c r="D87" s="2">
        <f t="shared" si="6"/>
        <v>-184.84615384615384</v>
      </c>
      <c r="E87" s="2">
        <f t="shared" si="5"/>
        <v>-918273.40570108197</v>
      </c>
      <c r="F87" s="2">
        <f t="shared" si="7"/>
        <v>-121.97392128971076</v>
      </c>
      <c r="G87" s="2">
        <f t="shared" si="8"/>
        <v>-2571.4299546040843</v>
      </c>
    </row>
    <row r="88" spans="1:7" ht="15" customHeight="1" x14ac:dyDescent="0.25">
      <c r="A88" s="2">
        <v>7.2</v>
      </c>
      <c r="B88" s="2">
        <v>9.1999999999999993</v>
      </c>
      <c r="C88" s="2">
        <v>11.2</v>
      </c>
      <c r="D88" s="2">
        <f t="shared" si="6"/>
        <v>-193.70181818181817</v>
      </c>
      <c r="E88" s="2">
        <f t="shared" si="5"/>
        <v>-1037933.1219755569</v>
      </c>
      <c r="F88" s="2">
        <f t="shared" si="7"/>
        <v>-126.41494918262759</v>
      </c>
      <c r="G88" s="2">
        <f t="shared" si="8"/>
        <v>-2831.6763620512093</v>
      </c>
    </row>
    <row r="89" spans="1:7" ht="15" customHeight="1" x14ac:dyDescent="0.25">
      <c r="A89" s="2">
        <v>7.4</v>
      </c>
      <c r="B89" s="2">
        <v>9.4</v>
      </c>
      <c r="C89" s="2">
        <v>11.4</v>
      </c>
      <c r="D89" s="2">
        <f t="shared" si="6"/>
        <v>-202.78746268656718</v>
      </c>
      <c r="E89" s="2">
        <f t="shared" si="5"/>
        <v>-1170206.6691824994</v>
      </c>
      <c r="F89" s="2">
        <f t="shared" si="7"/>
        <v>-130.93591774515735</v>
      </c>
      <c r="G89" s="2">
        <f t="shared" si="8"/>
        <v>-3110.777212552965</v>
      </c>
    </row>
    <row r="90" spans="1:7" ht="15" customHeight="1" x14ac:dyDescent="0.25">
      <c r="A90" s="2">
        <v>7.6</v>
      </c>
      <c r="B90" s="2">
        <v>9.6</v>
      </c>
      <c r="C90" s="2">
        <v>11.6</v>
      </c>
      <c r="D90" s="2">
        <f t="shared" si="6"/>
        <v>-212.10352941176473</v>
      </c>
      <c r="E90" s="2">
        <f t="shared" si="5"/>
        <v>-1316128.8252121327</v>
      </c>
      <c r="F90" s="2">
        <f t="shared" si="7"/>
        <v>-135.53683143510884</v>
      </c>
      <c r="G90" s="2">
        <f t="shared" si="8"/>
        <v>-3409.6011659979599</v>
      </c>
    </row>
    <row r="91" spans="1:7" ht="15" customHeight="1" x14ac:dyDescent="0.25">
      <c r="A91" s="2">
        <v>7.8</v>
      </c>
      <c r="B91" s="2">
        <v>9.8000000000000007</v>
      </c>
      <c r="C91" s="2">
        <v>11.8</v>
      </c>
      <c r="D91" s="2">
        <f t="shared" si="6"/>
        <v>-221.6504347826087</v>
      </c>
      <c r="E91" s="2">
        <f t="shared" si="5"/>
        <v>-1476796.4039250892</v>
      </c>
      <c r="F91" s="2">
        <f t="shared" si="7"/>
        <v>-140.21769430153677</v>
      </c>
      <c r="G91" s="2">
        <f t="shared" si="8"/>
        <v>-3729.0360875049128</v>
      </c>
    </row>
    <row r="92" spans="1:7" ht="15" customHeight="1" x14ac:dyDescent="0.25">
      <c r="A92" s="2">
        <v>8</v>
      </c>
      <c r="B92" s="2">
        <v>10</v>
      </c>
      <c r="C92" s="2">
        <v>12</v>
      </c>
      <c r="D92" s="2">
        <f t="shared" si="6"/>
        <v>-231.42857142857142</v>
      </c>
      <c r="E92" s="2">
        <f t="shared" si="5"/>
        <v>-1653370.674378268</v>
      </c>
      <c r="F92" s="2">
        <f t="shared" si="7"/>
        <v>-144.97851002865329</v>
      </c>
      <c r="G92" s="2">
        <f t="shared" si="8"/>
        <v>-4069.9890476190471</v>
      </c>
    </row>
    <row r="93" spans="1:7" ht="15" customHeight="1" x14ac:dyDescent="0.25">
      <c r="A93" s="2">
        <v>8.1999999999999993</v>
      </c>
      <c r="B93" s="2">
        <v>10.199999999999999</v>
      </c>
      <c r="C93" s="2">
        <v>12.2</v>
      </c>
      <c r="D93" s="2">
        <f t="shared" si="6"/>
        <v>-241.43830985915488</v>
      </c>
      <c r="E93" s="2">
        <f t="shared" si="5"/>
        <v>-1847079.8261300602</v>
      </c>
      <c r="F93" s="2">
        <f t="shared" si="7"/>
        <v>-149.81928197436667</v>
      </c>
      <c r="G93" s="2">
        <f t="shared" si="8"/>
        <v>-4433.3863223910457</v>
      </c>
    </row>
    <row r="94" spans="1:7" ht="15" customHeight="1" x14ac:dyDescent="0.25">
      <c r="A94" s="2">
        <v>8.4</v>
      </c>
      <c r="B94" s="2">
        <v>10.4</v>
      </c>
      <c r="C94" s="2">
        <v>12.4</v>
      </c>
      <c r="D94" s="2">
        <f t="shared" si="6"/>
        <v>-251.68000000000004</v>
      </c>
      <c r="E94" s="2">
        <f t="shared" si="5"/>
        <v>-2059221.4806249591</v>
      </c>
      <c r="F94" s="2">
        <f t="shared" si="7"/>
        <v>-154.74001320417997</v>
      </c>
      <c r="G94" s="2">
        <f t="shared" si="8"/>
        <v>-4820.1733933680098</v>
      </c>
    </row>
    <row r="95" spans="1:7" ht="15" customHeight="1" x14ac:dyDescent="0.25">
      <c r="A95" s="2">
        <v>8.6</v>
      </c>
      <c r="B95" s="2">
        <v>10.6</v>
      </c>
      <c r="C95" s="2">
        <v>12.6</v>
      </c>
      <c r="D95" s="2">
        <f t="shared" si="6"/>
        <v>-262.15397260273971</v>
      </c>
      <c r="E95" s="2">
        <f t="shared" si="5"/>
        <v>-2291165.2486575646</v>
      </c>
      <c r="F95" s="2">
        <f t="shared" si="7"/>
        <v>-159.74070652107338</v>
      </c>
      <c r="G95" s="2">
        <f t="shared" si="8"/>
        <v>-5231.3149475193413</v>
      </c>
    </row>
    <row r="96" spans="1:7" ht="15" customHeight="1" x14ac:dyDescent="0.25">
      <c r="A96" s="2">
        <v>8.8000000000000007</v>
      </c>
      <c r="B96" s="2">
        <v>10.8</v>
      </c>
      <c r="C96" s="2">
        <v>12.8</v>
      </c>
      <c r="D96" s="2">
        <f t="shared" si="6"/>
        <v>-272.86054054054063</v>
      </c>
      <c r="E96" s="2">
        <f t="shared" si="5"/>
        <v>-2544355.3339160485</v>
      </c>
      <c r="F96" s="2">
        <f t="shared" si="7"/>
        <v>-164.8213644919029</v>
      </c>
      <c r="G96" s="2">
        <f t="shared" si="8"/>
        <v>-5667.7948771153433</v>
      </c>
    </row>
    <row r="97" spans="1:7" ht="15" customHeight="1" x14ac:dyDescent="0.25">
      <c r="A97" s="2">
        <v>9</v>
      </c>
      <c r="B97" s="2">
        <v>11</v>
      </c>
      <c r="C97" s="2">
        <v>13</v>
      </c>
      <c r="D97" s="2">
        <f t="shared" si="6"/>
        <v>-283.8</v>
      </c>
      <c r="E97" s="2">
        <f t="shared" si="5"/>
        <v>-2820313.1826050365</v>
      </c>
      <c r="F97" s="2">
        <f t="shared" si="7"/>
        <v>-169.98198947076753</v>
      </c>
      <c r="G97" s="2">
        <f t="shared" si="8"/>
        <v>-6130.6162795721484</v>
      </c>
    </row>
    <row r="98" spans="1:7" ht="15" customHeight="1" x14ac:dyDescent="0.25">
      <c r="A98" s="2">
        <v>9.1999999999999993</v>
      </c>
      <c r="B98" s="2">
        <v>11.2</v>
      </c>
      <c r="C98" s="2">
        <v>13.2</v>
      </c>
      <c r="D98" s="2">
        <f t="shared" si="6"/>
        <v>-294.9726315789473</v>
      </c>
      <c r="E98" s="2">
        <f t="shared" si="5"/>
        <v>-3120640.1791480053</v>
      </c>
      <c r="F98" s="2">
        <f t="shared" si="7"/>
        <v>-175.22258361973601</v>
      </c>
      <c r="G98" s="2">
        <f t="shared" si="8"/>
        <v>-6620.8014572737502</v>
      </c>
    </row>
    <row r="99" spans="1:7" ht="15" customHeight="1" x14ac:dyDescent="0.25">
      <c r="A99" s="2">
        <v>9.4</v>
      </c>
      <c r="B99" s="2">
        <v>11.4</v>
      </c>
      <c r="C99" s="2">
        <v>13.4</v>
      </c>
      <c r="D99" s="2">
        <f t="shared" si="6"/>
        <v>-306.37870129870129</v>
      </c>
      <c r="E99" s="2">
        <f t="shared" si="5"/>
        <v>-3447020.3879691442</v>
      </c>
      <c r="F99" s="2">
        <f t="shared" si="7"/>
        <v>-180.54314892726575</v>
      </c>
      <c r="G99" s="2">
        <f t="shared" si="8"/>
        <v>-7139.3919173791546</v>
      </c>
    </row>
    <row r="100" spans="1:7" ht="15" customHeight="1" x14ac:dyDescent="0.25">
      <c r="A100" s="2">
        <v>9.6</v>
      </c>
      <c r="B100" s="2">
        <v>11.6</v>
      </c>
      <c r="C100" s="2">
        <v>13.6</v>
      </c>
      <c r="D100" s="2">
        <f t="shared" si="6"/>
        <v>-318.01846153846151</v>
      </c>
      <c r="E100" s="2">
        <f t="shared" si="5"/>
        <v>-3801223.3413547371</v>
      </c>
      <c r="F100" s="2">
        <f t="shared" si="7"/>
        <v>-185.94368722460194</v>
      </c>
      <c r="G100" s="2">
        <f t="shared" si="8"/>
        <v>-7687.4483716209434</v>
      </c>
    </row>
    <row r="101" spans="1:7" ht="15" customHeight="1" x14ac:dyDescent="0.25">
      <c r="A101" s="2">
        <v>9.8000000000000007</v>
      </c>
      <c r="B101" s="2">
        <v>11.8</v>
      </c>
      <c r="C101" s="2">
        <v>13.8</v>
      </c>
      <c r="D101" s="2">
        <f t="shared" si="6"/>
        <v>-329.8921518987342</v>
      </c>
      <c r="E101" s="2">
        <f t="shared" si="5"/>
        <v>-4185106.8733940958</v>
      </c>
      <c r="F101" s="2">
        <f t="shared" si="7"/>
        <v>-191.42420020040561</v>
      </c>
      <c r="G101" s="2">
        <f t="shared" si="8"/>
        <v>-8266.0507361000818</v>
      </c>
    </row>
    <row r="102" spans="1:7" ht="15" customHeight="1" x14ac:dyDescent="0.25">
      <c r="A102" s="2">
        <v>10</v>
      </c>
      <c r="B102" s="2">
        <v>12</v>
      </c>
      <c r="C102" s="2">
        <v>14</v>
      </c>
      <c r="D102" s="2">
        <f t="shared" si="6"/>
        <v>-342</v>
      </c>
      <c r="E102" s="2">
        <f t="shared" si="5"/>
        <v>-4600620</v>
      </c>
      <c r="F102" s="2">
        <f t="shared" si="7"/>
        <v>-196.98468941382328</v>
      </c>
      <c r="G102" s="2">
        <f t="shared" si="8"/>
        <v>-8876.2981310803898</v>
      </c>
    </row>
    <row r="103" spans="1:7" ht="15" customHeight="1" x14ac:dyDescent="0.25"/>
    <row r="104" spans="1:7" ht="15" customHeight="1" x14ac:dyDescent="0.25"/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tabSelected="1" zoomScaleNormal="100" workbookViewId="0">
      <selection activeCell="F7" sqref="F7"/>
    </sheetView>
  </sheetViews>
  <sheetFormatPr defaultColWidth="8.7109375" defaultRowHeight="15" x14ac:dyDescent="0.25"/>
  <cols>
    <col min="1" max="1" width="5" customWidth="1"/>
    <col min="2" max="2" width="22" customWidth="1"/>
    <col min="3" max="4" width="14" customWidth="1"/>
    <col min="5" max="5" width="14.5703125" bestFit="1" customWidth="1"/>
    <col min="6" max="6" width="22" customWidth="1"/>
  </cols>
  <sheetData>
    <row r="1" spans="1:6" ht="15.75" customHeight="1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</row>
    <row r="2" spans="1:6" ht="15" customHeight="1" x14ac:dyDescent="0.25">
      <c r="A2" s="2">
        <v>1</v>
      </c>
      <c r="B2" s="2" t="s">
        <v>9</v>
      </c>
      <c r="C2" s="2">
        <v>7</v>
      </c>
      <c r="D2" s="2">
        <v>7000</v>
      </c>
      <c r="E2" s="2">
        <f t="shared" ref="E2:E11" si="0">IF(C2&lt;5,0,IF(C2&lt;10,D2*0.15,IF(C2&lt;20,D2*0.25,D2*0.3)))</f>
        <v>1050</v>
      </c>
      <c r="F2" s="2">
        <f t="shared" ref="F2:F11" si="1">D2+E2</f>
        <v>8050</v>
      </c>
    </row>
    <row r="3" spans="1:6" ht="15" customHeight="1" x14ac:dyDescent="0.25">
      <c r="A3" s="2">
        <v>2</v>
      </c>
      <c r="B3" s="2" t="s">
        <v>10</v>
      </c>
      <c r="C3" s="2">
        <v>15</v>
      </c>
      <c r="D3" s="2">
        <v>12000</v>
      </c>
      <c r="E3" s="2">
        <f t="shared" si="0"/>
        <v>3000</v>
      </c>
      <c r="F3" s="2">
        <f t="shared" si="1"/>
        <v>15000</v>
      </c>
    </row>
    <row r="4" spans="1:6" ht="15" customHeight="1" x14ac:dyDescent="0.25">
      <c r="A4" s="2">
        <v>3</v>
      </c>
      <c r="B4" s="2" t="s">
        <v>11</v>
      </c>
      <c r="C4" s="2">
        <v>3</v>
      </c>
      <c r="D4" s="2">
        <v>5500</v>
      </c>
      <c r="E4" s="2">
        <f t="shared" si="0"/>
        <v>0</v>
      </c>
      <c r="F4" s="2">
        <f t="shared" si="1"/>
        <v>5500</v>
      </c>
    </row>
    <row r="5" spans="1:6" ht="15" customHeight="1" x14ac:dyDescent="0.25">
      <c r="A5" s="2">
        <v>4</v>
      </c>
      <c r="B5" s="2" t="s">
        <v>12</v>
      </c>
      <c r="C5" s="2">
        <v>25</v>
      </c>
      <c r="D5" s="2">
        <v>18000</v>
      </c>
      <c r="E5" s="2">
        <f t="shared" si="0"/>
        <v>5400</v>
      </c>
      <c r="F5" s="2">
        <f t="shared" si="1"/>
        <v>23400</v>
      </c>
    </row>
    <row r="6" spans="1:6" ht="15" customHeight="1" x14ac:dyDescent="0.25">
      <c r="A6" s="2">
        <v>5</v>
      </c>
      <c r="B6" s="2" t="s">
        <v>13</v>
      </c>
      <c r="C6" s="2">
        <v>10</v>
      </c>
      <c r="D6" s="2">
        <v>9000</v>
      </c>
      <c r="E6" s="2">
        <f t="shared" si="0"/>
        <v>2250</v>
      </c>
      <c r="F6" s="2">
        <f t="shared" si="1"/>
        <v>11250</v>
      </c>
    </row>
    <row r="7" spans="1:6" ht="15" customHeight="1" x14ac:dyDescent="0.25">
      <c r="A7" s="2">
        <v>6</v>
      </c>
      <c r="B7" s="2" t="s">
        <v>14</v>
      </c>
      <c r="C7" s="2">
        <v>22</v>
      </c>
      <c r="D7" s="2">
        <v>15000</v>
      </c>
      <c r="E7" s="2">
        <f t="shared" si="0"/>
        <v>4500</v>
      </c>
      <c r="F7" s="2">
        <f t="shared" si="1"/>
        <v>19500</v>
      </c>
    </row>
    <row r="8" spans="1:6" ht="15" customHeight="1" x14ac:dyDescent="0.25">
      <c r="A8" s="2">
        <v>7</v>
      </c>
      <c r="B8" s="2" t="s">
        <v>15</v>
      </c>
      <c r="C8" s="2">
        <v>1</v>
      </c>
      <c r="D8" s="2">
        <v>6000</v>
      </c>
      <c r="E8" s="2">
        <f t="shared" si="0"/>
        <v>0</v>
      </c>
      <c r="F8" s="2">
        <f t="shared" si="1"/>
        <v>6000</v>
      </c>
    </row>
    <row r="9" spans="1:6" ht="15" customHeight="1" x14ac:dyDescent="0.25">
      <c r="A9" s="2">
        <v>8</v>
      </c>
      <c r="B9" s="2" t="s">
        <v>16</v>
      </c>
      <c r="C9" s="2">
        <v>12</v>
      </c>
      <c r="D9" s="2">
        <v>11000</v>
      </c>
      <c r="E9" s="2">
        <f t="shared" si="0"/>
        <v>2750</v>
      </c>
      <c r="F9" s="2">
        <f t="shared" si="1"/>
        <v>13750</v>
      </c>
    </row>
    <row r="10" spans="1:6" ht="15" customHeight="1" x14ac:dyDescent="0.25">
      <c r="A10" s="2">
        <v>9</v>
      </c>
      <c r="B10" s="2" t="s">
        <v>17</v>
      </c>
      <c r="C10" s="2">
        <v>8</v>
      </c>
      <c r="D10" s="2">
        <v>8500</v>
      </c>
      <c r="E10" s="2">
        <f t="shared" si="0"/>
        <v>1275</v>
      </c>
      <c r="F10" s="2">
        <f t="shared" si="1"/>
        <v>9775</v>
      </c>
    </row>
    <row r="11" spans="1:6" ht="15" customHeight="1" x14ac:dyDescent="0.25">
      <c r="A11" s="2">
        <v>10</v>
      </c>
      <c r="B11" s="2" t="s">
        <v>18</v>
      </c>
      <c r="C11" s="2">
        <v>18</v>
      </c>
      <c r="D11" s="2">
        <v>13500</v>
      </c>
      <c r="E11" s="2">
        <f t="shared" si="0"/>
        <v>3375</v>
      </c>
      <c r="F11" s="2">
        <f t="shared" si="1"/>
        <v>16875</v>
      </c>
    </row>
    <row r="12" spans="1:6" ht="15" customHeight="1" x14ac:dyDescent="0.25">
      <c r="A12" s="1" t="s">
        <v>19</v>
      </c>
      <c r="B12" s="1"/>
      <c r="C12" s="1"/>
      <c r="D12" s="1"/>
      <c r="E12" s="6">
        <f>SUM(E2:E11)</f>
        <v>23600</v>
      </c>
      <c r="F12" s="6">
        <f>SUM(F2:F11)</f>
        <v>129100</v>
      </c>
    </row>
    <row r="13" spans="1:6" ht="15" customHeight="1" x14ac:dyDescent="0.25"/>
    <row r="14" spans="1:6" ht="15" customHeight="1" x14ac:dyDescent="0.25"/>
    <row r="16" spans="1:6" ht="15" customHeight="1" x14ac:dyDescent="0.25">
      <c r="A16" s="8"/>
      <c r="B16" s="8"/>
      <c r="C16" s="8"/>
      <c r="D16" s="8"/>
      <c r="E16" s="8"/>
      <c r="F16" s="8"/>
    </row>
  </sheetData>
  <mergeCells count="1">
    <mergeCell ref="A12:D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Студент KRSU</cp:lastModifiedBy>
  <cp:revision>0</cp:revision>
  <dcterms:created xsi:type="dcterms:W3CDTF">2026-03-05T04:10:50Z</dcterms:created>
  <dcterms:modified xsi:type="dcterms:W3CDTF">2026-03-05T09:30:47Z</dcterms:modified>
  <dc:language>en-US</dc:language>
</cp:coreProperties>
</file>