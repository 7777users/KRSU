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1870E9CB-EF72-4685-93C5-8B24F05ACA63}" xr6:coauthVersionLast="40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Экзамен" sheetId="3" r:id="rId1"/>
    <sheet name="Консолидация" sheetId="10" r:id="rId2"/>
    <sheet name="Альфа" sheetId="2" r:id="rId3"/>
    <sheet name="Бета" sheetId="5" r:id="rId4"/>
    <sheet name="Гамма" sheetId="6" r:id="rId5"/>
    <sheet name="Дельта" sheetId="7" r:id="rId6"/>
    <sheet name="Консолидация 2" sheetId="14" r:id="rId7"/>
  </sheets>
  <definedNames>
    <definedName name="_xlnm._FilterDatabase" localSheetId="0" hidden="1">Экзамен!$C$3:$G$33</definedName>
  </definedNames>
  <calcPr calcId="191029"/>
  <pivotCaches>
    <pivotCache cacheId="0" r:id="rId8"/>
  </pivotCaches>
</workbook>
</file>

<file path=xl/calcChain.xml><?xml version="1.0" encoding="utf-8"?>
<calcChain xmlns="http://schemas.openxmlformats.org/spreadsheetml/2006/main">
  <c r="A38" i="3" l="1"/>
  <c r="A51" i="3"/>
  <c r="C2" i="10" l="1"/>
  <c r="C3" i="10"/>
  <c r="C4" i="10"/>
  <c r="C5" i="10"/>
  <c r="C6" i="10"/>
  <c r="C7" i="10"/>
  <c r="C8" i="10"/>
  <c r="C9" i="10"/>
  <c r="C10" i="10"/>
  <c r="C11" i="10"/>
  <c r="C12" i="10"/>
  <c r="C196" i="10" s="1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7" i="10"/>
  <c r="C198" i="10"/>
  <c r="C199" i="10"/>
  <c r="C200" i="10"/>
  <c r="C201" i="10"/>
  <c r="C202" i="10"/>
  <c r="C203" i="10"/>
  <c r="C204" i="10"/>
  <c r="C393" i="10" s="1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4" i="10"/>
  <c r="C590" i="10" s="1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885" i="10" s="1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6" i="10"/>
  <c r="C1082" i="10" s="1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3" i="10"/>
  <c r="C1279" i="10" s="1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80" i="10"/>
  <c r="C1281" i="10"/>
  <c r="C1282" i="10"/>
  <c r="C1283" i="10"/>
  <c r="C1284" i="10"/>
  <c r="C1285" i="10"/>
  <c r="C1476" i="10" s="1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7" i="10"/>
  <c r="C1673" i="10" s="1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1643" i="10"/>
  <c r="C1644" i="10"/>
  <c r="C1645" i="10"/>
  <c r="C1646" i="10"/>
  <c r="C1647" i="10"/>
  <c r="C1648" i="10"/>
  <c r="C1649" i="10"/>
  <c r="C1650" i="10"/>
  <c r="C1651" i="10"/>
  <c r="C1652" i="10"/>
  <c r="C1653" i="10"/>
  <c r="C1654" i="10"/>
  <c r="C1655" i="10"/>
  <c r="C1656" i="10"/>
  <c r="C1657" i="10"/>
  <c r="C1658" i="10"/>
  <c r="C1659" i="10"/>
  <c r="C1660" i="10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4" i="10"/>
  <c r="C1675" i="10"/>
  <c r="C1676" i="10"/>
  <c r="C1677" i="10"/>
  <c r="C1678" i="10"/>
  <c r="C1679" i="10"/>
  <c r="C1680" i="10"/>
  <c r="C1870" i="10" s="1"/>
  <c r="C1681" i="10"/>
  <c r="C1682" i="10"/>
  <c r="C1683" i="10"/>
  <c r="C1684" i="10"/>
  <c r="C1685" i="10"/>
  <c r="C1686" i="10"/>
  <c r="C1687" i="10"/>
  <c r="C1688" i="10"/>
  <c r="C1689" i="10"/>
  <c r="C1690" i="10"/>
  <c r="C1691" i="10"/>
  <c r="C1692" i="10"/>
  <c r="C1693" i="10"/>
  <c r="C1694" i="10"/>
  <c r="C1695" i="10"/>
  <c r="C1696" i="10"/>
  <c r="C1697" i="10"/>
  <c r="C1698" i="10"/>
  <c r="C1699" i="10"/>
  <c r="C1700" i="10"/>
  <c r="C1701" i="10"/>
  <c r="C1702" i="10"/>
  <c r="C1703" i="10"/>
  <c r="C1704" i="10"/>
  <c r="C1705" i="10"/>
  <c r="C1706" i="10"/>
  <c r="C1707" i="10"/>
  <c r="C1708" i="10"/>
  <c r="C1709" i="10"/>
  <c r="C1710" i="10"/>
  <c r="C1711" i="10"/>
  <c r="C1712" i="10"/>
  <c r="C1713" i="10"/>
  <c r="C1714" i="10"/>
  <c r="C1715" i="10"/>
  <c r="C1716" i="10"/>
  <c r="C1717" i="10"/>
  <c r="C1718" i="10"/>
  <c r="C1719" i="10"/>
  <c r="C1720" i="10"/>
  <c r="C1721" i="10"/>
  <c r="C1722" i="10"/>
  <c r="C1723" i="10"/>
  <c r="C1724" i="10"/>
  <c r="C1725" i="10"/>
  <c r="C1726" i="10"/>
  <c r="C1727" i="10"/>
  <c r="C1728" i="10"/>
  <c r="C1729" i="10"/>
  <c r="C1730" i="10"/>
  <c r="C1731" i="10"/>
  <c r="C1732" i="10"/>
  <c r="C1733" i="10"/>
  <c r="C1734" i="10"/>
  <c r="C1735" i="10"/>
  <c r="C1736" i="10"/>
  <c r="C1737" i="10"/>
  <c r="C1738" i="10"/>
  <c r="C1739" i="10"/>
  <c r="C1740" i="10"/>
  <c r="C1741" i="10"/>
  <c r="C1742" i="10"/>
  <c r="C1743" i="10"/>
  <c r="C1744" i="10"/>
  <c r="C1745" i="10"/>
  <c r="C1746" i="10"/>
  <c r="C1747" i="10"/>
  <c r="C1748" i="10"/>
  <c r="C1749" i="10"/>
  <c r="C1750" i="10"/>
  <c r="C1751" i="10"/>
  <c r="C1752" i="10"/>
  <c r="C1753" i="10"/>
  <c r="C1754" i="10"/>
  <c r="C1755" i="10"/>
  <c r="C1756" i="10"/>
  <c r="C1757" i="10"/>
  <c r="C1758" i="10"/>
  <c r="C1759" i="10"/>
  <c r="C1760" i="10"/>
  <c r="C1761" i="10"/>
  <c r="C1762" i="10"/>
  <c r="C1763" i="10"/>
  <c r="C1764" i="10"/>
  <c r="C1765" i="10"/>
  <c r="C1766" i="10"/>
  <c r="C1767" i="10"/>
  <c r="C1768" i="10"/>
  <c r="C1769" i="10"/>
  <c r="C1770" i="10"/>
  <c r="C1771" i="10"/>
  <c r="C1772" i="10"/>
  <c r="C1773" i="10"/>
  <c r="C1774" i="10"/>
  <c r="C1775" i="10"/>
  <c r="C1776" i="10"/>
  <c r="C1777" i="10"/>
  <c r="C1778" i="10"/>
  <c r="C1779" i="10"/>
  <c r="C1780" i="10"/>
  <c r="C1781" i="10"/>
  <c r="C1782" i="10"/>
  <c r="C1783" i="10"/>
  <c r="C1784" i="10"/>
  <c r="C1785" i="10"/>
  <c r="C1786" i="10"/>
  <c r="C1787" i="10"/>
  <c r="C1788" i="10"/>
  <c r="C1789" i="10"/>
  <c r="C1790" i="10"/>
  <c r="C1791" i="10"/>
  <c r="C1792" i="10"/>
  <c r="C1793" i="10"/>
  <c r="C1794" i="10"/>
  <c r="C1795" i="10"/>
  <c r="C1796" i="10"/>
  <c r="C1797" i="10"/>
  <c r="C1798" i="10"/>
  <c r="C1799" i="10"/>
  <c r="C1800" i="10"/>
  <c r="C1801" i="10"/>
  <c r="C1802" i="10"/>
  <c r="C1803" i="10"/>
  <c r="C1804" i="10"/>
  <c r="C1805" i="10"/>
  <c r="C1806" i="10"/>
  <c r="C1807" i="10"/>
  <c r="C1808" i="10"/>
  <c r="C1809" i="10"/>
  <c r="C1810" i="10"/>
  <c r="C1811" i="10"/>
  <c r="C1812" i="10"/>
  <c r="C1813" i="10"/>
  <c r="C1814" i="10"/>
  <c r="C1815" i="10"/>
  <c r="C1816" i="10"/>
  <c r="C1817" i="10"/>
  <c r="C1818" i="10"/>
  <c r="C1819" i="10"/>
  <c r="C1820" i="10"/>
  <c r="C1821" i="10"/>
  <c r="C1822" i="10"/>
  <c r="C1823" i="10"/>
  <c r="C1824" i="10"/>
  <c r="C1825" i="10"/>
  <c r="C1826" i="10"/>
  <c r="C1827" i="10"/>
  <c r="C1828" i="10"/>
  <c r="C1829" i="10"/>
  <c r="C1830" i="10"/>
  <c r="C1831" i="10"/>
  <c r="C1832" i="10"/>
  <c r="C1833" i="10"/>
  <c r="C1834" i="10"/>
  <c r="C1835" i="10"/>
  <c r="C1836" i="10"/>
  <c r="C1837" i="10"/>
  <c r="C1838" i="10"/>
  <c r="C1839" i="10"/>
  <c r="C1840" i="10"/>
  <c r="C1841" i="10"/>
  <c r="C1842" i="10"/>
  <c r="C1843" i="10"/>
  <c r="C1844" i="10"/>
  <c r="C1845" i="10"/>
  <c r="C1846" i="10"/>
  <c r="C1847" i="10"/>
  <c r="C1848" i="10"/>
  <c r="C1849" i="10"/>
  <c r="C1850" i="10"/>
  <c r="C1851" i="10"/>
  <c r="C1852" i="10"/>
  <c r="C1853" i="10"/>
  <c r="C1854" i="10"/>
  <c r="C1855" i="10"/>
  <c r="C1856" i="10"/>
  <c r="C1857" i="10"/>
  <c r="C1858" i="10"/>
  <c r="C1859" i="10"/>
  <c r="C1860" i="10"/>
  <c r="C1861" i="10"/>
  <c r="C1862" i="10"/>
  <c r="C1863" i="10"/>
  <c r="C1864" i="10"/>
  <c r="C1865" i="10"/>
  <c r="C1866" i="10"/>
  <c r="C1867" i="10"/>
  <c r="C1868" i="10"/>
  <c r="C1869" i="10"/>
  <c r="C1871" i="10"/>
  <c r="C1872" i="10"/>
  <c r="C2067" i="10" s="1"/>
  <c r="C1873" i="10"/>
  <c r="C1874" i="10"/>
  <c r="C1875" i="10"/>
  <c r="C1876" i="10"/>
  <c r="C1877" i="10"/>
  <c r="C1878" i="10"/>
  <c r="C1879" i="10"/>
  <c r="C1880" i="10"/>
  <c r="C1881" i="10"/>
  <c r="C1882" i="10"/>
  <c r="C1883" i="10"/>
  <c r="C1884" i="10"/>
  <c r="C1885" i="10"/>
  <c r="C1886" i="10"/>
  <c r="C1887" i="10"/>
  <c r="C1888" i="10"/>
  <c r="C1889" i="10"/>
  <c r="C1890" i="10"/>
  <c r="C1891" i="10"/>
  <c r="C1892" i="10"/>
  <c r="C1893" i="10"/>
  <c r="C1894" i="10"/>
  <c r="C1895" i="10"/>
  <c r="C1896" i="10"/>
  <c r="C1897" i="10"/>
  <c r="C1898" i="10"/>
  <c r="C1899" i="10"/>
  <c r="C1900" i="10"/>
  <c r="C1901" i="10"/>
  <c r="C1902" i="10"/>
  <c r="C1903" i="10"/>
  <c r="C1904" i="10"/>
  <c r="C1905" i="10"/>
  <c r="C1906" i="10"/>
  <c r="C1907" i="10"/>
  <c r="C1908" i="10"/>
  <c r="C1909" i="10"/>
  <c r="C1910" i="10"/>
  <c r="C1911" i="10"/>
  <c r="C1912" i="10"/>
  <c r="C1913" i="10"/>
  <c r="C1914" i="10"/>
  <c r="C1915" i="10"/>
  <c r="C1916" i="10"/>
  <c r="C1917" i="10"/>
  <c r="C1918" i="10"/>
  <c r="C1919" i="10"/>
  <c r="C1920" i="10"/>
  <c r="C1921" i="10"/>
  <c r="C1922" i="10"/>
  <c r="C1923" i="10"/>
  <c r="C1924" i="10"/>
  <c r="C1925" i="10"/>
  <c r="C1926" i="10"/>
  <c r="C1927" i="10"/>
  <c r="C1928" i="10"/>
  <c r="C1929" i="10"/>
  <c r="C1930" i="10"/>
  <c r="C1931" i="10"/>
  <c r="C1932" i="10"/>
  <c r="C1933" i="10"/>
  <c r="C1934" i="10"/>
  <c r="C1935" i="10"/>
  <c r="C1936" i="10"/>
  <c r="C1937" i="10"/>
  <c r="C1938" i="10"/>
  <c r="C1939" i="10"/>
  <c r="C1940" i="10"/>
  <c r="C1941" i="10"/>
  <c r="C1942" i="10"/>
  <c r="C1943" i="10"/>
  <c r="C1944" i="10"/>
  <c r="C1945" i="10"/>
  <c r="C1946" i="10"/>
  <c r="C1947" i="10"/>
  <c r="C1948" i="10"/>
  <c r="C1949" i="10"/>
  <c r="C1950" i="10"/>
  <c r="C1951" i="10"/>
  <c r="C1952" i="10"/>
  <c r="C1953" i="10"/>
  <c r="C1954" i="10"/>
  <c r="C1955" i="10"/>
  <c r="C1956" i="10"/>
  <c r="C1957" i="10"/>
  <c r="C1958" i="10"/>
  <c r="C1959" i="10"/>
  <c r="C1960" i="10"/>
  <c r="C1961" i="10"/>
  <c r="C1962" i="10"/>
  <c r="C1963" i="10"/>
  <c r="C1964" i="10"/>
  <c r="C1965" i="10"/>
  <c r="C1966" i="10"/>
  <c r="C1967" i="10"/>
  <c r="C1968" i="10"/>
  <c r="C1969" i="10"/>
  <c r="C1970" i="10"/>
  <c r="C1971" i="10"/>
  <c r="C1972" i="10"/>
  <c r="C1973" i="10"/>
  <c r="C1974" i="10"/>
  <c r="C1975" i="10"/>
  <c r="C1976" i="10"/>
  <c r="C1977" i="10"/>
  <c r="C1978" i="10"/>
  <c r="C1979" i="10"/>
  <c r="C1980" i="10"/>
  <c r="C1981" i="10"/>
  <c r="C1982" i="10"/>
  <c r="C1983" i="10"/>
  <c r="C1984" i="10"/>
  <c r="C1985" i="10"/>
  <c r="C1986" i="10"/>
  <c r="C1987" i="10"/>
  <c r="C1988" i="10"/>
  <c r="C1989" i="10"/>
  <c r="C1990" i="10"/>
  <c r="C1991" i="10"/>
  <c r="C1992" i="10"/>
  <c r="C1993" i="10"/>
  <c r="C1994" i="10"/>
  <c r="C1995" i="10"/>
  <c r="C1996" i="10"/>
  <c r="C1997" i="10"/>
  <c r="C1998" i="10"/>
  <c r="C1999" i="10"/>
  <c r="C2000" i="10"/>
  <c r="C2001" i="10"/>
  <c r="C2002" i="10"/>
  <c r="C2003" i="10"/>
  <c r="C2004" i="10"/>
  <c r="C2005" i="10"/>
  <c r="C2006" i="10"/>
  <c r="C2007" i="10"/>
  <c r="C2008" i="10"/>
  <c r="C2009" i="10"/>
  <c r="C2010" i="10"/>
  <c r="C2011" i="10"/>
  <c r="C2012" i="10"/>
  <c r="C2013" i="10"/>
  <c r="C2014" i="10"/>
  <c r="C2015" i="10"/>
  <c r="C2016" i="10"/>
  <c r="C2017" i="10"/>
  <c r="C2018" i="10"/>
  <c r="C2019" i="10"/>
  <c r="C2020" i="10"/>
  <c r="C2021" i="10"/>
  <c r="C2022" i="10"/>
  <c r="C2023" i="10"/>
  <c r="C2024" i="10"/>
  <c r="C2025" i="10"/>
  <c r="C2026" i="10"/>
  <c r="C2027" i="10"/>
  <c r="C2028" i="10"/>
  <c r="C2029" i="10"/>
  <c r="C2030" i="10"/>
  <c r="C2031" i="10"/>
  <c r="C2032" i="10"/>
  <c r="C2033" i="10"/>
  <c r="C2034" i="10"/>
  <c r="C2035" i="10"/>
  <c r="C2036" i="10"/>
  <c r="C2037" i="10"/>
  <c r="C2038" i="10"/>
  <c r="C2039" i="10"/>
  <c r="C2040" i="10"/>
  <c r="C2041" i="10"/>
  <c r="C2042" i="10"/>
  <c r="C2043" i="10"/>
  <c r="C2044" i="10"/>
  <c r="C2045" i="10"/>
  <c r="C2046" i="10"/>
  <c r="C2047" i="10"/>
  <c r="C2048" i="10"/>
  <c r="C2049" i="10"/>
  <c r="C2050" i="10"/>
  <c r="C2051" i="10"/>
  <c r="C2052" i="10"/>
  <c r="C2053" i="10"/>
  <c r="C2054" i="10"/>
  <c r="C2055" i="10"/>
  <c r="C2056" i="10"/>
  <c r="C2057" i="10"/>
  <c r="C2058" i="10"/>
  <c r="C2059" i="10"/>
  <c r="C2060" i="10"/>
  <c r="C2061" i="10"/>
  <c r="C2062" i="10"/>
  <c r="C2063" i="10"/>
  <c r="C2064" i="10"/>
  <c r="C2065" i="10"/>
  <c r="C2066" i="10"/>
  <c r="C2068" i="10"/>
  <c r="C2069" i="10"/>
  <c r="C2070" i="10"/>
  <c r="C2071" i="10"/>
  <c r="C2072" i="10"/>
  <c r="C2073" i="10"/>
  <c r="C2074" i="10"/>
  <c r="C2264" i="10" s="1"/>
  <c r="C2075" i="10"/>
  <c r="C2076" i="10"/>
  <c r="C2077" i="10"/>
  <c r="C2078" i="10"/>
  <c r="C2079" i="10"/>
  <c r="C2080" i="10"/>
  <c r="C2081" i="10"/>
  <c r="C2082" i="10"/>
  <c r="C2083" i="10"/>
  <c r="C2084" i="10"/>
  <c r="C2085" i="10"/>
  <c r="C2086" i="10"/>
  <c r="C2087" i="10"/>
  <c r="C2088" i="10"/>
  <c r="C2089" i="10"/>
  <c r="C2090" i="10"/>
  <c r="C2091" i="10"/>
  <c r="C2092" i="10"/>
  <c r="C2093" i="10"/>
  <c r="C2094" i="10"/>
  <c r="C2095" i="10"/>
  <c r="C2096" i="10"/>
  <c r="C2097" i="10"/>
  <c r="C2098" i="10"/>
  <c r="C2099" i="10"/>
  <c r="C2100" i="10"/>
  <c r="C2101" i="10"/>
  <c r="C2102" i="10"/>
  <c r="C2103" i="10"/>
  <c r="C2104" i="10"/>
  <c r="C2105" i="10"/>
  <c r="C2106" i="10"/>
  <c r="C2107" i="10"/>
  <c r="C2108" i="10"/>
  <c r="C2109" i="10"/>
  <c r="C2110" i="10"/>
  <c r="C2111" i="10"/>
  <c r="C2112" i="10"/>
  <c r="C2113" i="10"/>
  <c r="C2114" i="10"/>
  <c r="C2115" i="10"/>
  <c r="C2116" i="10"/>
  <c r="C2117" i="10"/>
  <c r="C2118" i="10"/>
  <c r="C2119" i="10"/>
  <c r="C2120" i="10"/>
  <c r="C2121" i="10"/>
  <c r="C2122" i="10"/>
  <c r="C2123" i="10"/>
  <c r="C2124" i="10"/>
  <c r="C2125" i="10"/>
  <c r="C2126" i="10"/>
  <c r="C2127" i="10"/>
  <c r="C2128" i="10"/>
  <c r="C2129" i="10"/>
  <c r="C2130" i="10"/>
  <c r="C2131" i="10"/>
  <c r="C2132" i="10"/>
  <c r="C2133" i="10"/>
  <c r="C2134" i="10"/>
  <c r="C2135" i="10"/>
  <c r="C2136" i="10"/>
  <c r="C2137" i="10"/>
  <c r="C2138" i="10"/>
  <c r="C2139" i="10"/>
  <c r="C2140" i="10"/>
  <c r="C2141" i="10"/>
  <c r="C2142" i="10"/>
  <c r="C2143" i="10"/>
  <c r="C2144" i="10"/>
  <c r="C2145" i="10"/>
  <c r="C2146" i="10"/>
  <c r="C2147" i="10"/>
  <c r="C2148" i="10"/>
  <c r="C2149" i="10"/>
  <c r="C2150" i="10"/>
  <c r="C2151" i="10"/>
  <c r="C2152" i="10"/>
  <c r="C2153" i="10"/>
  <c r="C2154" i="10"/>
  <c r="C2155" i="10"/>
  <c r="C2156" i="10"/>
  <c r="C2157" i="10"/>
  <c r="C2158" i="10"/>
  <c r="C2159" i="10"/>
  <c r="C2160" i="10"/>
  <c r="C2161" i="10"/>
  <c r="C2162" i="10"/>
  <c r="C2163" i="10"/>
  <c r="C2164" i="10"/>
  <c r="C2165" i="10"/>
  <c r="C2166" i="10"/>
  <c r="C2167" i="10"/>
  <c r="C2168" i="10"/>
  <c r="C2169" i="10"/>
  <c r="C2170" i="10"/>
  <c r="C2171" i="10"/>
  <c r="C2172" i="10"/>
  <c r="C2173" i="10"/>
  <c r="C2174" i="10"/>
  <c r="C2175" i="10"/>
  <c r="C2176" i="10"/>
  <c r="C2177" i="10"/>
  <c r="C2178" i="10"/>
  <c r="C2179" i="10"/>
  <c r="C2180" i="10"/>
  <c r="C2181" i="10"/>
  <c r="C2182" i="10"/>
  <c r="C2183" i="10"/>
  <c r="C2184" i="10"/>
  <c r="C2185" i="10"/>
  <c r="C2186" i="10"/>
  <c r="C2187" i="10"/>
  <c r="C2188" i="10"/>
  <c r="C2189" i="10"/>
  <c r="C2190" i="10"/>
  <c r="C2191" i="10"/>
  <c r="C2192" i="10"/>
  <c r="C2193" i="10"/>
  <c r="C2194" i="10"/>
  <c r="C2195" i="10"/>
  <c r="C2196" i="10"/>
  <c r="C2197" i="10"/>
  <c r="C2198" i="10"/>
  <c r="C2199" i="10"/>
  <c r="C2200" i="10"/>
  <c r="C2201" i="10"/>
  <c r="C2202" i="10"/>
  <c r="C2203" i="10"/>
  <c r="C2204" i="10"/>
  <c r="C2205" i="10"/>
  <c r="C2206" i="10"/>
  <c r="C2207" i="10"/>
  <c r="C2208" i="10"/>
  <c r="C2209" i="10"/>
  <c r="C2210" i="10"/>
  <c r="C2211" i="10"/>
  <c r="C2212" i="10"/>
  <c r="C2213" i="10"/>
  <c r="C2214" i="10"/>
  <c r="C2215" i="10"/>
  <c r="C2216" i="10"/>
  <c r="C2217" i="10"/>
  <c r="C2218" i="10"/>
  <c r="C2219" i="10"/>
  <c r="C2220" i="10"/>
  <c r="C2221" i="10"/>
  <c r="C2222" i="10"/>
  <c r="C2223" i="10"/>
  <c r="C2224" i="10"/>
  <c r="C2225" i="10"/>
  <c r="C2226" i="10"/>
  <c r="C2227" i="10"/>
  <c r="C2228" i="10"/>
  <c r="C2229" i="10"/>
  <c r="C2230" i="10"/>
  <c r="C2231" i="10"/>
  <c r="C2232" i="10"/>
  <c r="C2233" i="10"/>
  <c r="C2234" i="10"/>
  <c r="C2235" i="10"/>
  <c r="C2236" i="10"/>
  <c r="C2237" i="10"/>
  <c r="C2238" i="10"/>
  <c r="C2239" i="10"/>
  <c r="C2240" i="10"/>
  <c r="C2241" i="10"/>
  <c r="C2242" i="10"/>
  <c r="C2243" i="10"/>
  <c r="C2244" i="10"/>
  <c r="C2245" i="10"/>
  <c r="C2246" i="10"/>
  <c r="C2247" i="10"/>
  <c r="C2248" i="10"/>
  <c r="C2249" i="10"/>
  <c r="C2250" i="10"/>
  <c r="C2251" i="10"/>
  <c r="C2252" i="10"/>
  <c r="C2253" i="10"/>
  <c r="C2254" i="10"/>
  <c r="C2255" i="10"/>
  <c r="C2256" i="10"/>
  <c r="C2257" i="10"/>
  <c r="C2258" i="10"/>
  <c r="C2259" i="10"/>
  <c r="C2260" i="10"/>
  <c r="C2261" i="10"/>
  <c r="C2262" i="10"/>
  <c r="C2263" i="10"/>
  <c r="C2265" i="10"/>
  <c r="C2266" i="10"/>
  <c r="C2267" i="10"/>
  <c r="C2268" i="10"/>
  <c r="C2269" i="10"/>
  <c r="C2270" i="10"/>
  <c r="C2271" i="10"/>
  <c r="C2272" i="10"/>
  <c r="C2273" i="10"/>
  <c r="C2274" i="10"/>
  <c r="C2275" i="10"/>
  <c r="C2276" i="10"/>
  <c r="C2277" i="10"/>
  <c r="C2278" i="10"/>
  <c r="C2279" i="10"/>
  <c r="C2280" i="10"/>
  <c r="C2281" i="10"/>
  <c r="C2282" i="10"/>
  <c r="C2283" i="10"/>
  <c r="C2284" i="10"/>
  <c r="C2285" i="10"/>
  <c r="C2286" i="10"/>
  <c r="C2287" i="10"/>
  <c r="C2288" i="10"/>
  <c r="C2289" i="10"/>
  <c r="C2290" i="10"/>
  <c r="C2291" i="10"/>
  <c r="C2292" i="10"/>
  <c r="C2293" i="10"/>
  <c r="C2294" i="10"/>
  <c r="C2295" i="10"/>
  <c r="C2296" i="10"/>
  <c r="C2297" i="10"/>
  <c r="C2298" i="10"/>
  <c r="C2299" i="10"/>
  <c r="C2300" i="10"/>
  <c r="C2301" i="10"/>
  <c r="C2302" i="10"/>
  <c r="C2303" i="10"/>
  <c r="C2304" i="10"/>
  <c r="C2305" i="10"/>
  <c r="C2306" i="10"/>
  <c r="C2307" i="10"/>
  <c r="C2308" i="10"/>
  <c r="C2309" i="10"/>
  <c r="C2310" i="10"/>
  <c r="C2311" i="10"/>
  <c r="C2312" i="10"/>
  <c r="C2313" i="10"/>
  <c r="C2314" i="10"/>
  <c r="C2315" i="10"/>
  <c r="C2316" i="10"/>
  <c r="C2317" i="10"/>
  <c r="C2318" i="10"/>
  <c r="C2319" i="10"/>
  <c r="C2320" i="10"/>
  <c r="C2321" i="10"/>
  <c r="C2322" i="10"/>
  <c r="C2323" i="10"/>
  <c r="C2324" i="10"/>
  <c r="C2325" i="10"/>
  <c r="C2326" i="10"/>
  <c r="C2327" i="10"/>
  <c r="C2328" i="10"/>
  <c r="C2329" i="10"/>
  <c r="C2330" i="10"/>
  <c r="C2331" i="10"/>
  <c r="C2332" i="10"/>
  <c r="C2333" i="10"/>
  <c r="C2334" i="10"/>
  <c r="C2335" i="10"/>
  <c r="C2336" i="10"/>
  <c r="C2337" i="10"/>
  <c r="C2338" i="10"/>
  <c r="C2339" i="10"/>
  <c r="C2340" i="10"/>
  <c r="C2341" i="10"/>
  <c r="C2342" i="10"/>
  <c r="C2343" i="10"/>
  <c r="C2344" i="10"/>
  <c r="C2345" i="10"/>
  <c r="C2346" i="10"/>
  <c r="C2347" i="10"/>
  <c r="C2348" i="10"/>
  <c r="C2349" i="10"/>
  <c r="C2350" i="10"/>
  <c r="C2351" i="10"/>
  <c r="C2352" i="10"/>
  <c r="C2353" i="10"/>
  <c r="C2354" i="10"/>
  <c r="C2355" i="10"/>
  <c r="C2356" i="10"/>
  <c r="C2357" i="10"/>
  <c r="C2358" i="10"/>
  <c r="C2359" i="10"/>
  <c r="C2360" i="10"/>
  <c r="C2361" i="10"/>
  <c r="C2362" i="10"/>
  <c r="C2363" i="10"/>
  <c r="C2364" i="10"/>
  <c r="C2365" i="10"/>
  <c r="C2366" i="10"/>
  <c r="C2367" i="10"/>
  <c r="C2368" i="10"/>
  <c r="C2369" i="10"/>
  <c r="C2370" i="10"/>
  <c r="C2371" i="10"/>
  <c r="C2372" i="10"/>
  <c r="C2373" i="10"/>
  <c r="C2374" i="10"/>
  <c r="C2375" i="10"/>
  <c r="C2376" i="10"/>
  <c r="C2377" i="10"/>
  <c r="C2378" i="10"/>
  <c r="C2379" i="10"/>
  <c r="C2380" i="10"/>
  <c r="C2381" i="10"/>
  <c r="C2382" i="10"/>
  <c r="C2383" i="10"/>
  <c r="C2384" i="10"/>
  <c r="C2385" i="10"/>
  <c r="C2386" i="10"/>
  <c r="C2387" i="10"/>
  <c r="C2388" i="10"/>
  <c r="C2389" i="10"/>
  <c r="C2390" i="10"/>
  <c r="C2391" i="10"/>
  <c r="C2392" i="10"/>
  <c r="C2393" i="10"/>
  <c r="C2394" i="10"/>
  <c r="C2395" i="10"/>
  <c r="C2396" i="10"/>
  <c r="C2397" i="10"/>
  <c r="C2398" i="10"/>
  <c r="C2399" i="10"/>
  <c r="C2400" i="10"/>
  <c r="C2401" i="10"/>
  <c r="C2402" i="10"/>
  <c r="C2403" i="10"/>
  <c r="C2404" i="10"/>
  <c r="C2405" i="10"/>
  <c r="C2406" i="10"/>
  <c r="C2407" i="10"/>
  <c r="C2408" i="10"/>
  <c r="C2409" i="10"/>
  <c r="C2410" i="10"/>
  <c r="C2411" i="10"/>
  <c r="C2412" i="10"/>
  <c r="C2413" i="10"/>
  <c r="C2414" i="10"/>
  <c r="C2415" i="10"/>
  <c r="C2416" i="10"/>
  <c r="C2417" i="10"/>
  <c r="C2418" i="10"/>
  <c r="C2419" i="10"/>
  <c r="C2420" i="10"/>
  <c r="C2421" i="10"/>
  <c r="C2422" i="10"/>
  <c r="C2423" i="10"/>
  <c r="C2424" i="10"/>
  <c r="C2425" i="10"/>
  <c r="C2426" i="10"/>
  <c r="C2427" i="10"/>
  <c r="C2428" i="10"/>
  <c r="C2429" i="10"/>
  <c r="C2430" i="10"/>
  <c r="C2431" i="10"/>
  <c r="C2432" i="10"/>
  <c r="C2433" i="10"/>
  <c r="C2434" i="10"/>
  <c r="C2435" i="10"/>
  <c r="C2436" i="10"/>
  <c r="C2437" i="10"/>
  <c r="C2438" i="10"/>
  <c r="C2439" i="10"/>
  <c r="C2634" i="10" s="1"/>
  <c r="C2440" i="10"/>
  <c r="C2441" i="10"/>
  <c r="C2442" i="10"/>
  <c r="C2443" i="10"/>
  <c r="C2444" i="10"/>
  <c r="C2445" i="10"/>
  <c r="C2446" i="10"/>
  <c r="C2447" i="10"/>
  <c r="C2448" i="10"/>
  <c r="C2449" i="10"/>
  <c r="C2450" i="10"/>
  <c r="C2451" i="10"/>
  <c r="C2452" i="10"/>
  <c r="C2453" i="10"/>
  <c r="C2454" i="10"/>
  <c r="C2455" i="10"/>
  <c r="C2456" i="10"/>
  <c r="C2457" i="10"/>
  <c r="C2458" i="10"/>
  <c r="C2459" i="10"/>
  <c r="C2460" i="10"/>
  <c r="C2461" i="10"/>
  <c r="C2462" i="10"/>
  <c r="C2463" i="10"/>
  <c r="C2464" i="10"/>
  <c r="C2465" i="10"/>
  <c r="C2466" i="10"/>
  <c r="C2467" i="10"/>
  <c r="C2468" i="10"/>
  <c r="C2469" i="10"/>
  <c r="C2470" i="10"/>
  <c r="C2471" i="10"/>
  <c r="C2472" i="10"/>
  <c r="C2473" i="10"/>
  <c r="C2474" i="10"/>
  <c r="C2475" i="10"/>
  <c r="C2476" i="10"/>
  <c r="C2477" i="10"/>
  <c r="C2478" i="10"/>
  <c r="C2479" i="10"/>
  <c r="C2480" i="10"/>
  <c r="C2481" i="10"/>
  <c r="C2482" i="10"/>
  <c r="C2483" i="10"/>
  <c r="C2484" i="10"/>
  <c r="C2485" i="10"/>
  <c r="C2486" i="10"/>
  <c r="C2487" i="10"/>
  <c r="C2488" i="10"/>
  <c r="C2489" i="10"/>
  <c r="C2490" i="10"/>
  <c r="C2491" i="10"/>
  <c r="C2492" i="10"/>
  <c r="C2493" i="10"/>
  <c r="C2494" i="10"/>
  <c r="C2495" i="10"/>
  <c r="C2496" i="10"/>
  <c r="C2497" i="10"/>
  <c r="C2498" i="10"/>
  <c r="C2499" i="10"/>
  <c r="C2500" i="10"/>
  <c r="C2501" i="10"/>
  <c r="C2502" i="10"/>
  <c r="C2503" i="10"/>
  <c r="C2504" i="10"/>
  <c r="C2505" i="10"/>
  <c r="C2506" i="10"/>
  <c r="C2507" i="10"/>
  <c r="C2508" i="10"/>
  <c r="C2509" i="10"/>
  <c r="C2510" i="10"/>
  <c r="C2511" i="10"/>
  <c r="C2512" i="10"/>
  <c r="C2513" i="10"/>
  <c r="C2514" i="10"/>
  <c r="C2515" i="10"/>
  <c r="C2516" i="10"/>
  <c r="C2517" i="10"/>
  <c r="C2518" i="10"/>
  <c r="C2519" i="10"/>
  <c r="C2520" i="10"/>
  <c r="C2521" i="10"/>
  <c r="C2522" i="10"/>
  <c r="C2523" i="10"/>
  <c r="C2524" i="10"/>
  <c r="C2525" i="10"/>
  <c r="C2526" i="10"/>
  <c r="C2527" i="10"/>
  <c r="C2528" i="10"/>
  <c r="C2529" i="10"/>
  <c r="C2530" i="10"/>
  <c r="C2531" i="10"/>
  <c r="C2532" i="10"/>
  <c r="C2533" i="10"/>
  <c r="C2534" i="10"/>
  <c r="C2535" i="10"/>
  <c r="C2536" i="10"/>
  <c r="C2537" i="10"/>
  <c r="C2538" i="10"/>
  <c r="C2539" i="10"/>
  <c r="C2540" i="10"/>
  <c r="C2541" i="10"/>
  <c r="C2542" i="10"/>
  <c r="C2543" i="10"/>
  <c r="C2544" i="10"/>
  <c r="C2545" i="10"/>
  <c r="C2546" i="10"/>
  <c r="C2547" i="10"/>
  <c r="C2548" i="10"/>
  <c r="C2549" i="10"/>
  <c r="C2550" i="10"/>
  <c r="C2551" i="10"/>
  <c r="C2552" i="10"/>
  <c r="C2553" i="10"/>
  <c r="C2554" i="10"/>
  <c r="C2555" i="10"/>
  <c r="C2556" i="10"/>
  <c r="C2557" i="10"/>
  <c r="C2558" i="10"/>
  <c r="C2559" i="10"/>
  <c r="C2560" i="10"/>
  <c r="C2561" i="10"/>
  <c r="C2562" i="10"/>
  <c r="C2563" i="10"/>
  <c r="C2564" i="10"/>
  <c r="C2565" i="10"/>
  <c r="C2566" i="10"/>
  <c r="C2567" i="10"/>
  <c r="C2568" i="10"/>
  <c r="C2569" i="10"/>
  <c r="C2570" i="10"/>
  <c r="C2571" i="10"/>
  <c r="C2572" i="10"/>
  <c r="C2573" i="10"/>
  <c r="C2574" i="10"/>
  <c r="C2575" i="10"/>
  <c r="C2576" i="10"/>
  <c r="C2577" i="10"/>
  <c r="C2578" i="10"/>
  <c r="C2579" i="10"/>
  <c r="C2580" i="10"/>
  <c r="C2581" i="10"/>
  <c r="C2582" i="10"/>
  <c r="C2583" i="10"/>
  <c r="C2584" i="10"/>
  <c r="C2585" i="10"/>
  <c r="C2586" i="10"/>
  <c r="C2587" i="10"/>
  <c r="C2588" i="10"/>
  <c r="C2589" i="10"/>
  <c r="C2590" i="10"/>
  <c r="C2591" i="10"/>
  <c r="C2592" i="10"/>
  <c r="C2593" i="10"/>
  <c r="C2594" i="10"/>
  <c r="C2595" i="10"/>
  <c r="C2596" i="10"/>
  <c r="C2597" i="10"/>
  <c r="C2598" i="10"/>
  <c r="C2599" i="10"/>
  <c r="C2600" i="10"/>
  <c r="C2601" i="10"/>
  <c r="C2602" i="10"/>
  <c r="C2603" i="10"/>
  <c r="C2604" i="10"/>
  <c r="C2605" i="10"/>
  <c r="C2606" i="10"/>
  <c r="C2607" i="10"/>
  <c r="C2608" i="10"/>
  <c r="C2609" i="10"/>
  <c r="C2610" i="10"/>
  <c r="C2611" i="10"/>
  <c r="C2612" i="10"/>
  <c r="C2613" i="10"/>
  <c r="C2614" i="10"/>
  <c r="C2615" i="10"/>
  <c r="C2616" i="10"/>
  <c r="C2617" i="10"/>
  <c r="C2618" i="10"/>
  <c r="C2619" i="10"/>
  <c r="C2620" i="10"/>
  <c r="C2621" i="10"/>
  <c r="C2622" i="10"/>
  <c r="C2623" i="10"/>
  <c r="C2624" i="10"/>
  <c r="C2625" i="10"/>
  <c r="C2626" i="10"/>
  <c r="C2627" i="10"/>
  <c r="C2628" i="10"/>
  <c r="C2629" i="10"/>
  <c r="C2630" i="10"/>
  <c r="C2631" i="10"/>
  <c r="C2632" i="10"/>
  <c r="C2633" i="10"/>
  <c r="C2635" i="10"/>
  <c r="C2636" i="10"/>
  <c r="C2637" i="10"/>
  <c r="C2638" i="10"/>
  <c r="C2639" i="10"/>
  <c r="C2640" i="10"/>
  <c r="C2782" i="10" s="1"/>
  <c r="C2641" i="10"/>
  <c r="C2642" i="10"/>
  <c r="C2643" i="10"/>
  <c r="C2644" i="10"/>
  <c r="C2645" i="10"/>
  <c r="C2646" i="10"/>
  <c r="C2647" i="10"/>
  <c r="C2648" i="10"/>
  <c r="C2649" i="10"/>
  <c r="C2650" i="10"/>
  <c r="C2651" i="10"/>
  <c r="C2652" i="10"/>
  <c r="C2653" i="10"/>
  <c r="C2654" i="10"/>
  <c r="C2655" i="10"/>
  <c r="C2656" i="10"/>
  <c r="C2657" i="10"/>
  <c r="C2658" i="10"/>
  <c r="C2659" i="10"/>
  <c r="C2660" i="10"/>
  <c r="C2661" i="10"/>
  <c r="C2662" i="10"/>
  <c r="C2663" i="10"/>
  <c r="C2664" i="10"/>
  <c r="C2665" i="10"/>
  <c r="C2666" i="10"/>
  <c r="C2667" i="10"/>
  <c r="C2668" i="10"/>
  <c r="C2669" i="10"/>
  <c r="C2670" i="10"/>
  <c r="C2671" i="10"/>
  <c r="C2672" i="10"/>
  <c r="C2673" i="10"/>
  <c r="C2674" i="10"/>
  <c r="C2675" i="10"/>
  <c r="C2676" i="10"/>
  <c r="C2677" i="10"/>
  <c r="C2678" i="10"/>
  <c r="C2679" i="10"/>
  <c r="C2680" i="10"/>
  <c r="C2681" i="10"/>
  <c r="C2682" i="10"/>
  <c r="C2683" i="10"/>
  <c r="C2684" i="10"/>
  <c r="C2685" i="10"/>
  <c r="C2686" i="10"/>
  <c r="C2687" i="10"/>
  <c r="C2688" i="10"/>
  <c r="C2689" i="10"/>
  <c r="C2690" i="10"/>
  <c r="C2691" i="10"/>
  <c r="C2692" i="10"/>
  <c r="C2693" i="10"/>
  <c r="C2694" i="10"/>
  <c r="C2695" i="10"/>
  <c r="C2696" i="10"/>
  <c r="C2697" i="10"/>
  <c r="C2698" i="10"/>
  <c r="C2699" i="10"/>
  <c r="C2700" i="10"/>
  <c r="C2701" i="10"/>
  <c r="C2702" i="10"/>
  <c r="C2703" i="10"/>
  <c r="C2704" i="10"/>
  <c r="C2705" i="10"/>
  <c r="C2706" i="10"/>
  <c r="C2707" i="10"/>
  <c r="C2708" i="10"/>
  <c r="C2709" i="10"/>
  <c r="C2710" i="10"/>
  <c r="C2711" i="10"/>
  <c r="C2712" i="10"/>
  <c r="C2713" i="10"/>
  <c r="C2714" i="10"/>
  <c r="C2715" i="10"/>
  <c r="C2716" i="10"/>
  <c r="C2717" i="10"/>
  <c r="C2718" i="10"/>
  <c r="C2719" i="10"/>
  <c r="C2720" i="10"/>
  <c r="C2721" i="10"/>
  <c r="C2722" i="10"/>
  <c r="C2723" i="10"/>
  <c r="C2724" i="10"/>
  <c r="C2725" i="10"/>
  <c r="C2726" i="10"/>
  <c r="C2727" i="10"/>
  <c r="C2728" i="10"/>
  <c r="C2729" i="10"/>
  <c r="C2730" i="10"/>
  <c r="C2731" i="10"/>
  <c r="C2732" i="10"/>
  <c r="C2733" i="10"/>
  <c r="C2734" i="10"/>
  <c r="C2735" i="10"/>
  <c r="C2736" i="10"/>
  <c r="C2737" i="10"/>
  <c r="C2738" i="10"/>
  <c r="C2739" i="10"/>
  <c r="C2740" i="10"/>
  <c r="C2741" i="10"/>
  <c r="C2742" i="10"/>
  <c r="C2743" i="10"/>
  <c r="C2744" i="10"/>
  <c r="C2745" i="10"/>
  <c r="C2746" i="10"/>
  <c r="C2747" i="10"/>
  <c r="C2748" i="10"/>
  <c r="C2749" i="10"/>
  <c r="C2750" i="10"/>
  <c r="C2751" i="10"/>
  <c r="C2752" i="10"/>
  <c r="C2753" i="10"/>
  <c r="C2754" i="10"/>
  <c r="C2755" i="10"/>
  <c r="C2756" i="10"/>
  <c r="C2757" i="10"/>
  <c r="C2758" i="10"/>
  <c r="C2759" i="10"/>
  <c r="C2760" i="10"/>
  <c r="C2761" i="10"/>
  <c r="C2762" i="10"/>
  <c r="C2763" i="10"/>
  <c r="C2764" i="10"/>
  <c r="C2765" i="10"/>
  <c r="C2766" i="10"/>
  <c r="C2767" i="10"/>
  <c r="C2768" i="10"/>
  <c r="C2769" i="10"/>
  <c r="C2770" i="10"/>
  <c r="C2771" i="10"/>
  <c r="C2772" i="10"/>
  <c r="C2773" i="10"/>
  <c r="C2774" i="10"/>
  <c r="C2775" i="10"/>
  <c r="C2776" i="10"/>
  <c r="C2777" i="10"/>
  <c r="C2778" i="10"/>
  <c r="C2779" i="10"/>
  <c r="C2780" i="10"/>
  <c r="C2781" i="10"/>
  <c r="C2783" i="10"/>
  <c r="C2784" i="10"/>
  <c r="C2979" i="10" s="1"/>
  <c r="C2785" i="10"/>
  <c r="C2786" i="10"/>
  <c r="C2787" i="10"/>
  <c r="C2788" i="10"/>
  <c r="C2789" i="10"/>
  <c r="C2790" i="10"/>
  <c r="C2791" i="10"/>
  <c r="C2792" i="10"/>
  <c r="C2793" i="10"/>
  <c r="C2794" i="10"/>
  <c r="C2795" i="10"/>
  <c r="C2796" i="10"/>
  <c r="C2797" i="10"/>
  <c r="C2798" i="10"/>
  <c r="C2799" i="10"/>
  <c r="C2800" i="10"/>
  <c r="C2801" i="10"/>
  <c r="C2802" i="10"/>
  <c r="C2803" i="10"/>
  <c r="C2804" i="10"/>
  <c r="C2805" i="10"/>
  <c r="C2806" i="10"/>
  <c r="C2807" i="10"/>
  <c r="C2808" i="10"/>
  <c r="C2809" i="10"/>
  <c r="C2810" i="10"/>
  <c r="C2811" i="10"/>
  <c r="C2812" i="10"/>
  <c r="C2813" i="10"/>
  <c r="C2814" i="10"/>
  <c r="C2815" i="10"/>
  <c r="C2816" i="10"/>
  <c r="C2817" i="10"/>
  <c r="C2818" i="10"/>
  <c r="C2819" i="10"/>
  <c r="C2820" i="10"/>
  <c r="C2821" i="10"/>
  <c r="C2822" i="10"/>
  <c r="C2823" i="10"/>
  <c r="C2824" i="10"/>
  <c r="C2825" i="10"/>
  <c r="C2826" i="10"/>
  <c r="C2827" i="10"/>
  <c r="C2828" i="10"/>
  <c r="C2829" i="10"/>
  <c r="C2830" i="10"/>
  <c r="C2831" i="10"/>
  <c r="C2832" i="10"/>
  <c r="C2833" i="10"/>
  <c r="C2834" i="10"/>
  <c r="C2835" i="10"/>
  <c r="C2836" i="10"/>
  <c r="C2837" i="10"/>
  <c r="C2838" i="10"/>
  <c r="C2839" i="10"/>
  <c r="C2840" i="10"/>
  <c r="C2841" i="10"/>
  <c r="C2842" i="10"/>
  <c r="C2843" i="10"/>
  <c r="C2844" i="10"/>
  <c r="C2845" i="10"/>
  <c r="C2846" i="10"/>
  <c r="C2847" i="10"/>
  <c r="C2848" i="10"/>
  <c r="C2849" i="10"/>
  <c r="C2850" i="10"/>
  <c r="C2851" i="10"/>
  <c r="C2852" i="10"/>
  <c r="C2853" i="10"/>
  <c r="C2854" i="10"/>
  <c r="C2855" i="10"/>
  <c r="C2856" i="10"/>
  <c r="C2857" i="10"/>
  <c r="C2858" i="10"/>
  <c r="C2859" i="10"/>
  <c r="C2860" i="10"/>
  <c r="C2861" i="10"/>
  <c r="C2862" i="10"/>
  <c r="C2863" i="10"/>
  <c r="C2864" i="10"/>
  <c r="C2865" i="10"/>
  <c r="C2866" i="10"/>
  <c r="C2867" i="10"/>
  <c r="C2868" i="10"/>
  <c r="C2869" i="10"/>
  <c r="C2870" i="10"/>
  <c r="C2871" i="10"/>
  <c r="C2872" i="10"/>
  <c r="C2873" i="10"/>
  <c r="C2874" i="10"/>
  <c r="C2875" i="10"/>
  <c r="C2876" i="10"/>
  <c r="C2877" i="10"/>
  <c r="C2878" i="10"/>
  <c r="C2879" i="10"/>
  <c r="C2880" i="10"/>
  <c r="C2881" i="10"/>
  <c r="C2882" i="10"/>
  <c r="C2883" i="10"/>
  <c r="C2884" i="10"/>
  <c r="C2885" i="10"/>
  <c r="C2886" i="10"/>
  <c r="C2887" i="10"/>
  <c r="C2888" i="10"/>
  <c r="C2889" i="10"/>
  <c r="C2890" i="10"/>
  <c r="C2891" i="10"/>
  <c r="C2892" i="10"/>
  <c r="C2893" i="10"/>
  <c r="C2894" i="10"/>
  <c r="C2895" i="10"/>
  <c r="C2896" i="10"/>
  <c r="C2897" i="10"/>
  <c r="C2898" i="10"/>
  <c r="C2899" i="10"/>
  <c r="C2900" i="10"/>
  <c r="C2901" i="10"/>
  <c r="C2902" i="10"/>
  <c r="C2903" i="10"/>
  <c r="C2904" i="10"/>
  <c r="C2905" i="10"/>
  <c r="C2906" i="10"/>
  <c r="C2907" i="10"/>
  <c r="C2908" i="10"/>
  <c r="C2909" i="10"/>
  <c r="C2910" i="10"/>
  <c r="C2911" i="10"/>
  <c r="C2912" i="10"/>
  <c r="C2913" i="10"/>
  <c r="C2914" i="10"/>
  <c r="C2915" i="10"/>
  <c r="C2916" i="10"/>
  <c r="C2917" i="10"/>
  <c r="C2918" i="10"/>
  <c r="C2919" i="10"/>
  <c r="C2920" i="10"/>
  <c r="C2921" i="10"/>
  <c r="C2922" i="10"/>
  <c r="C2923" i="10"/>
  <c r="C2924" i="10"/>
  <c r="C2925" i="10"/>
  <c r="C2926" i="10"/>
  <c r="C2927" i="10"/>
  <c r="C2928" i="10"/>
  <c r="C2929" i="10"/>
  <c r="C2930" i="10"/>
  <c r="C2931" i="10"/>
  <c r="C2932" i="10"/>
  <c r="C2933" i="10"/>
  <c r="C2934" i="10"/>
  <c r="C2935" i="10"/>
  <c r="C2936" i="10"/>
  <c r="C2937" i="10"/>
  <c r="C2938" i="10"/>
  <c r="C2939" i="10"/>
  <c r="C2940" i="10"/>
  <c r="C2941" i="10"/>
  <c r="C2942" i="10"/>
  <c r="C2943" i="10"/>
  <c r="C2944" i="10"/>
  <c r="C2945" i="10"/>
  <c r="C2946" i="10"/>
  <c r="C2947" i="10"/>
  <c r="C2948" i="10"/>
  <c r="C2949" i="10"/>
  <c r="C2950" i="10"/>
  <c r="C2951" i="10"/>
  <c r="C2952" i="10"/>
  <c r="C2953" i="10"/>
  <c r="C2954" i="10"/>
  <c r="C2955" i="10"/>
  <c r="C2956" i="10"/>
  <c r="C2957" i="10"/>
  <c r="C2958" i="10"/>
  <c r="C2959" i="10"/>
  <c r="C2960" i="10"/>
  <c r="C2961" i="10"/>
  <c r="C2962" i="10"/>
  <c r="C2963" i="10"/>
  <c r="C2964" i="10"/>
  <c r="C2965" i="10"/>
  <c r="C2966" i="10"/>
  <c r="C2967" i="10"/>
  <c r="C2968" i="10"/>
  <c r="C2969" i="10"/>
  <c r="C2970" i="10"/>
  <c r="C2971" i="10"/>
  <c r="C2972" i="10"/>
  <c r="C2973" i="10"/>
  <c r="C2974" i="10"/>
  <c r="C2975" i="10"/>
  <c r="C2976" i="10"/>
  <c r="C2977" i="10"/>
  <c r="C2978" i="10"/>
  <c r="C2980" i="10"/>
  <c r="C2981" i="10"/>
  <c r="C2982" i="10"/>
  <c r="C2983" i="10"/>
  <c r="C2984" i="10"/>
  <c r="C2985" i="10"/>
  <c r="C2986" i="10"/>
  <c r="C2987" i="10"/>
  <c r="C2988" i="10"/>
  <c r="C3176" i="10" s="1"/>
  <c r="C2989" i="10"/>
  <c r="C2990" i="10"/>
  <c r="C2991" i="10"/>
  <c r="C2992" i="10"/>
  <c r="C2993" i="10"/>
  <c r="C2994" i="10"/>
  <c r="C2995" i="10"/>
  <c r="C2996" i="10"/>
  <c r="C2997" i="10"/>
  <c r="C2998" i="10"/>
  <c r="C2999" i="10"/>
  <c r="C3000" i="10"/>
  <c r="C3001" i="10"/>
  <c r="C3002" i="10"/>
  <c r="C3003" i="10"/>
  <c r="C3004" i="10"/>
  <c r="C3005" i="10"/>
  <c r="C3006" i="10"/>
  <c r="C3007" i="10"/>
  <c r="C3008" i="10"/>
  <c r="C3009" i="10"/>
  <c r="C3010" i="10"/>
  <c r="C3011" i="10"/>
  <c r="C3012" i="10"/>
  <c r="C3013" i="10"/>
  <c r="C3014" i="10"/>
  <c r="C3015" i="10"/>
  <c r="C3016" i="10"/>
  <c r="C3017" i="10"/>
  <c r="C3018" i="10"/>
  <c r="C3019" i="10"/>
  <c r="C3020" i="10"/>
  <c r="C3021" i="10"/>
  <c r="C3022" i="10"/>
  <c r="C3023" i="10"/>
  <c r="C3024" i="10"/>
  <c r="C3025" i="10"/>
  <c r="C3026" i="10"/>
  <c r="C3027" i="10"/>
  <c r="C3028" i="10"/>
  <c r="C3029" i="10"/>
  <c r="C3030" i="10"/>
  <c r="C3031" i="10"/>
  <c r="C3032" i="10"/>
  <c r="C3033" i="10"/>
  <c r="C3034" i="10"/>
  <c r="C3035" i="10"/>
  <c r="C3036" i="10"/>
  <c r="C3037" i="10"/>
  <c r="C3038" i="10"/>
  <c r="C3039" i="10"/>
  <c r="C3040" i="10"/>
  <c r="C3041" i="10"/>
  <c r="C3042" i="10"/>
  <c r="C3043" i="10"/>
  <c r="C3044" i="10"/>
  <c r="C3045" i="10"/>
  <c r="C3046" i="10"/>
  <c r="C3047" i="10"/>
  <c r="C3048" i="10"/>
  <c r="C3049" i="10"/>
  <c r="C3050" i="10"/>
  <c r="C3051" i="10"/>
  <c r="C3052" i="10"/>
  <c r="C3053" i="10"/>
  <c r="C3054" i="10"/>
  <c r="C3055" i="10"/>
  <c r="C3056" i="10"/>
  <c r="C3057" i="10"/>
  <c r="C3058" i="10"/>
  <c r="C3059" i="10"/>
  <c r="C3060" i="10"/>
  <c r="C3061" i="10"/>
  <c r="C3062" i="10"/>
  <c r="C3063" i="10"/>
  <c r="C3064" i="10"/>
  <c r="C3065" i="10"/>
  <c r="C3066" i="10"/>
  <c r="C3067" i="10"/>
  <c r="C3068" i="10"/>
  <c r="C3069" i="10"/>
  <c r="C3070" i="10"/>
  <c r="C3071" i="10"/>
  <c r="C3072" i="10"/>
  <c r="C3073" i="10"/>
  <c r="C3074" i="10"/>
  <c r="C3075" i="10"/>
  <c r="C3076" i="10"/>
  <c r="C3077" i="10"/>
  <c r="C3078" i="10"/>
  <c r="C3079" i="10"/>
  <c r="C3080" i="10"/>
  <c r="C3081" i="10"/>
  <c r="C3082" i="10"/>
  <c r="C3083" i="10"/>
  <c r="C3084" i="10"/>
  <c r="C3085" i="10"/>
  <c r="C3086" i="10"/>
  <c r="C3087" i="10"/>
  <c r="C3088" i="10"/>
  <c r="C3089" i="10"/>
  <c r="C3090" i="10"/>
  <c r="C3091" i="10"/>
  <c r="C3092" i="10"/>
  <c r="C3093" i="10"/>
  <c r="C3094" i="10"/>
  <c r="C3095" i="10"/>
  <c r="C3096" i="10"/>
  <c r="C3097" i="10"/>
  <c r="C3098" i="10"/>
  <c r="C3099" i="10"/>
  <c r="C3100" i="10"/>
  <c r="C3101" i="10"/>
  <c r="C3102" i="10"/>
  <c r="C3103" i="10"/>
  <c r="C3104" i="10"/>
  <c r="C3105" i="10"/>
  <c r="C3106" i="10"/>
  <c r="C3107" i="10"/>
  <c r="C3108" i="10"/>
  <c r="C3109" i="10"/>
  <c r="C3110" i="10"/>
  <c r="C3111" i="10"/>
  <c r="C3112" i="10"/>
  <c r="C3113" i="10"/>
  <c r="C3114" i="10"/>
  <c r="C3115" i="10"/>
  <c r="C3116" i="10"/>
  <c r="C3117" i="10"/>
  <c r="C3118" i="10"/>
  <c r="C3119" i="10"/>
  <c r="C3120" i="10"/>
  <c r="C3121" i="10"/>
  <c r="C3122" i="10"/>
  <c r="C3123" i="10"/>
  <c r="C3124" i="10"/>
  <c r="C3125" i="10"/>
  <c r="C3126" i="10"/>
  <c r="C3127" i="10"/>
  <c r="C3128" i="10"/>
  <c r="C3129" i="10"/>
  <c r="C3130" i="10"/>
  <c r="C3131" i="10"/>
  <c r="C3132" i="10"/>
  <c r="C3133" i="10"/>
  <c r="C3134" i="10"/>
  <c r="C3135" i="10"/>
  <c r="C3136" i="10"/>
  <c r="C3137" i="10"/>
  <c r="C3138" i="10"/>
  <c r="C3139" i="10"/>
  <c r="C3140" i="10"/>
  <c r="C3141" i="10"/>
  <c r="C3142" i="10"/>
  <c r="C3143" i="10"/>
  <c r="C3144" i="10"/>
  <c r="C3145" i="10"/>
  <c r="C3146" i="10"/>
  <c r="C3147" i="10"/>
  <c r="C3148" i="10"/>
  <c r="C3149" i="10"/>
  <c r="C3150" i="10"/>
  <c r="C3151" i="10"/>
  <c r="C3152" i="10"/>
  <c r="C3153" i="10"/>
  <c r="C3154" i="10"/>
  <c r="C3155" i="10"/>
  <c r="C3156" i="10"/>
  <c r="C3157" i="10"/>
  <c r="C3158" i="10"/>
  <c r="C3159" i="10"/>
  <c r="C3160" i="10"/>
  <c r="C3161" i="10"/>
  <c r="C3162" i="10"/>
  <c r="C3163" i="10"/>
  <c r="C3164" i="10"/>
  <c r="C3165" i="10"/>
  <c r="C3166" i="10"/>
  <c r="C3167" i="10"/>
  <c r="C3168" i="10"/>
  <c r="C3169" i="10"/>
  <c r="C3170" i="10"/>
  <c r="C3171" i="10"/>
  <c r="C3172" i="10"/>
  <c r="C3173" i="10"/>
  <c r="C3174" i="10"/>
  <c r="C3175" i="10"/>
  <c r="C3177" i="10"/>
  <c r="C3178" i="10"/>
  <c r="C3179" i="10"/>
  <c r="C3180" i="10"/>
  <c r="C3334" i="10" s="1"/>
  <c r="C3181" i="10"/>
  <c r="C3182" i="10"/>
  <c r="C3183" i="10"/>
  <c r="C3184" i="10"/>
  <c r="C3185" i="10"/>
  <c r="C3186" i="10"/>
  <c r="C3187" i="10"/>
  <c r="C3188" i="10"/>
  <c r="C3189" i="10"/>
  <c r="C3190" i="10"/>
  <c r="C3191" i="10"/>
  <c r="C3192" i="10"/>
  <c r="C3193" i="10"/>
  <c r="C3194" i="10"/>
  <c r="C3195" i="10"/>
  <c r="C3196" i="10"/>
  <c r="C3197" i="10"/>
  <c r="C3198" i="10"/>
  <c r="C3199" i="10"/>
  <c r="C3200" i="10"/>
  <c r="C3201" i="10"/>
  <c r="C3202" i="10"/>
  <c r="C3203" i="10"/>
  <c r="C3204" i="10"/>
  <c r="C3205" i="10"/>
  <c r="C3206" i="10"/>
  <c r="C3207" i="10"/>
  <c r="C3208" i="10"/>
  <c r="C3209" i="10"/>
  <c r="C3210" i="10"/>
  <c r="C3211" i="10"/>
  <c r="C3212" i="10"/>
  <c r="C3213" i="10"/>
  <c r="C3214" i="10"/>
  <c r="C3215" i="10"/>
  <c r="C3216" i="10"/>
  <c r="C3217" i="10"/>
  <c r="C3218" i="10"/>
  <c r="C3219" i="10"/>
  <c r="C3220" i="10"/>
  <c r="C3221" i="10"/>
  <c r="C3222" i="10"/>
  <c r="C3223" i="10"/>
  <c r="C3224" i="10"/>
  <c r="C3225" i="10"/>
  <c r="C3226" i="10"/>
  <c r="C3227" i="10"/>
  <c r="C3228" i="10"/>
  <c r="C3229" i="10"/>
  <c r="C3230" i="10"/>
  <c r="C3231" i="10"/>
  <c r="C3232" i="10"/>
  <c r="C3233" i="10"/>
  <c r="C3234" i="10"/>
  <c r="C3235" i="10"/>
  <c r="C3236" i="10"/>
  <c r="C3237" i="10"/>
  <c r="C3238" i="10"/>
  <c r="C3239" i="10"/>
  <c r="C3240" i="10"/>
  <c r="C3241" i="10"/>
  <c r="C3242" i="10"/>
  <c r="C3243" i="10"/>
  <c r="C3244" i="10"/>
  <c r="C3245" i="10"/>
  <c r="C3246" i="10"/>
  <c r="C3247" i="10"/>
  <c r="C3248" i="10"/>
  <c r="C3249" i="10"/>
  <c r="C3250" i="10"/>
  <c r="C3251" i="10"/>
  <c r="C3252" i="10"/>
  <c r="C3253" i="10"/>
  <c r="C3254" i="10"/>
  <c r="C3255" i="10"/>
  <c r="C3256" i="10"/>
  <c r="C3257" i="10"/>
  <c r="C3258" i="10"/>
  <c r="C3259" i="10"/>
  <c r="C3260" i="10"/>
  <c r="C3261" i="10"/>
  <c r="C3262" i="10"/>
  <c r="C3263" i="10"/>
  <c r="C3264" i="10"/>
  <c r="C3265" i="10"/>
  <c r="C3266" i="10"/>
  <c r="C3267" i="10"/>
  <c r="C3268" i="10"/>
  <c r="C3269" i="10"/>
  <c r="C3270" i="10"/>
  <c r="C3271" i="10"/>
  <c r="C3272" i="10"/>
  <c r="C3273" i="10"/>
  <c r="C3274" i="10"/>
  <c r="C3275" i="10"/>
  <c r="C3276" i="10"/>
  <c r="C3277" i="10"/>
  <c r="C3278" i="10"/>
  <c r="C3279" i="10"/>
  <c r="C3280" i="10"/>
  <c r="C3281" i="10"/>
  <c r="C3282" i="10"/>
  <c r="C3283" i="10"/>
  <c r="C3284" i="10"/>
  <c r="C3285" i="10"/>
  <c r="C3286" i="10"/>
  <c r="C3287" i="10"/>
  <c r="C3288" i="10"/>
  <c r="C3289" i="10"/>
  <c r="C3290" i="10"/>
  <c r="C3291" i="10"/>
  <c r="C3292" i="10"/>
  <c r="C3293" i="10"/>
  <c r="C3294" i="10"/>
  <c r="C3295" i="10"/>
  <c r="C3296" i="10"/>
  <c r="C3297" i="10"/>
  <c r="C3298" i="10"/>
  <c r="C3299" i="10"/>
  <c r="C3300" i="10"/>
  <c r="C3301" i="10"/>
  <c r="C3302" i="10"/>
  <c r="C3303" i="10"/>
  <c r="C3304" i="10"/>
  <c r="C3305" i="10"/>
  <c r="C3306" i="10"/>
  <c r="C3307" i="10"/>
  <c r="C3308" i="10"/>
  <c r="C3309" i="10"/>
  <c r="C3310" i="10"/>
  <c r="C3311" i="10"/>
  <c r="C3312" i="10"/>
  <c r="C3313" i="10"/>
  <c r="C3314" i="10"/>
  <c r="C3315" i="10"/>
  <c r="C3316" i="10"/>
  <c r="C3317" i="10"/>
  <c r="C3318" i="10"/>
  <c r="C3319" i="10"/>
  <c r="C3320" i="10"/>
  <c r="C3321" i="10"/>
  <c r="C3322" i="10"/>
  <c r="C3323" i="10"/>
  <c r="C3324" i="10"/>
  <c r="C3325" i="10"/>
  <c r="C3326" i="10"/>
  <c r="C3327" i="10"/>
  <c r="C3328" i="10"/>
  <c r="C3329" i="10"/>
  <c r="C3330" i="10"/>
  <c r="C3331" i="10"/>
  <c r="C3332" i="10"/>
  <c r="C3333" i="10"/>
  <c r="C3335" i="10"/>
  <c r="C3336" i="10"/>
  <c r="C3482" i="10" s="1"/>
  <c r="C3337" i="10"/>
  <c r="C3338" i="10"/>
  <c r="C3339" i="10"/>
  <c r="C3340" i="10"/>
  <c r="C3341" i="10"/>
  <c r="C3342" i="10"/>
  <c r="C3343" i="10"/>
  <c r="C3344" i="10"/>
  <c r="C3345" i="10"/>
  <c r="C3346" i="10"/>
  <c r="C3347" i="10"/>
  <c r="C3348" i="10"/>
  <c r="C3349" i="10"/>
  <c r="C3350" i="10"/>
  <c r="C3351" i="10"/>
  <c r="C3352" i="10"/>
  <c r="C3353" i="10"/>
  <c r="C3354" i="10"/>
  <c r="C3355" i="10"/>
  <c r="C3356" i="10"/>
  <c r="C3357" i="10"/>
  <c r="C3358" i="10"/>
  <c r="C3359" i="10"/>
  <c r="C3360" i="10"/>
  <c r="C3361" i="10"/>
  <c r="C3362" i="10"/>
  <c r="C3363" i="10"/>
  <c r="C3364" i="10"/>
  <c r="C3365" i="10"/>
  <c r="C3366" i="10"/>
  <c r="C3367" i="10"/>
  <c r="C3368" i="10"/>
  <c r="C3369" i="10"/>
  <c r="C3370" i="10"/>
  <c r="C3371" i="10"/>
  <c r="C3372" i="10"/>
  <c r="C3373" i="10"/>
  <c r="C3374" i="10"/>
  <c r="C3375" i="10"/>
  <c r="C3376" i="10"/>
  <c r="C3377" i="10"/>
  <c r="C3378" i="10"/>
  <c r="C3379" i="10"/>
  <c r="C3380" i="10"/>
  <c r="C3381" i="10"/>
  <c r="C3382" i="10"/>
  <c r="C3383" i="10"/>
  <c r="C3384" i="10"/>
  <c r="C3385" i="10"/>
  <c r="C3386" i="10"/>
  <c r="C3387" i="10"/>
  <c r="C3388" i="10"/>
  <c r="C3389" i="10"/>
  <c r="C3390" i="10"/>
  <c r="C3391" i="10"/>
  <c r="C3392" i="10"/>
  <c r="C3393" i="10"/>
  <c r="C3394" i="10"/>
  <c r="C3395" i="10"/>
  <c r="C3396" i="10"/>
  <c r="C3397" i="10"/>
  <c r="C3398" i="10"/>
  <c r="C3399" i="10"/>
  <c r="C3400" i="10"/>
  <c r="C3401" i="10"/>
  <c r="C3402" i="10"/>
  <c r="C3403" i="10"/>
  <c r="C3404" i="10"/>
  <c r="C3405" i="10"/>
  <c r="C3406" i="10"/>
  <c r="C3407" i="10"/>
  <c r="C3408" i="10"/>
  <c r="C3409" i="10"/>
  <c r="C3410" i="10"/>
  <c r="C3411" i="10"/>
  <c r="C3412" i="10"/>
  <c r="C3413" i="10"/>
  <c r="C3414" i="10"/>
  <c r="C3415" i="10"/>
  <c r="C3416" i="10"/>
  <c r="C3417" i="10"/>
  <c r="C3418" i="10"/>
  <c r="C3419" i="10"/>
  <c r="C3420" i="10"/>
  <c r="C3421" i="10"/>
  <c r="C3422" i="10"/>
  <c r="C3423" i="10"/>
  <c r="C3424" i="10"/>
  <c r="C3425" i="10"/>
  <c r="C3426" i="10"/>
  <c r="C3427" i="10"/>
  <c r="C3428" i="10"/>
  <c r="C3429" i="10"/>
  <c r="C3430" i="10"/>
  <c r="C3431" i="10"/>
  <c r="C3432" i="10"/>
  <c r="C3433" i="10"/>
  <c r="C3434" i="10"/>
  <c r="C3435" i="10"/>
  <c r="C3436" i="10"/>
  <c r="C3437" i="10"/>
  <c r="C3438" i="10"/>
  <c r="C3439" i="10"/>
  <c r="C3440" i="10"/>
  <c r="C3441" i="10"/>
  <c r="C3442" i="10"/>
  <c r="C3443" i="10"/>
  <c r="C3444" i="10"/>
  <c r="C3445" i="10"/>
  <c r="C3446" i="10"/>
  <c r="C3447" i="10"/>
  <c r="C3448" i="10"/>
  <c r="C3449" i="10"/>
  <c r="C3450" i="10"/>
  <c r="C3451" i="10"/>
  <c r="C3452" i="10"/>
  <c r="C3453" i="10"/>
  <c r="C3454" i="10"/>
  <c r="C3455" i="10"/>
  <c r="C3456" i="10"/>
  <c r="C3457" i="10"/>
  <c r="C3458" i="10"/>
  <c r="C3459" i="10"/>
  <c r="C3460" i="10"/>
  <c r="C3461" i="10"/>
  <c r="C3462" i="10"/>
  <c r="C3463" i="10"/>
  <c r="C3464" i="10"/>
  <c r="C3465" i="10"/>
  <c r="C3466" i="10"/>
  <c r="C3467" i="10"/>
  <c r="C3468" i="10"/>
  <c r="C3469" i="10"/>
  <c r="C3470" i="10"/>
  <c r="C3471" i="10"/>
  <c r="C3472" i="10"/>
  <c r="C3473" i="10"/>
  <c r="C3474" i="10"/>
  <c r="C3475" i="10"/>
  <c r="C3476" i="10"/>
  <c r="C3477" i="10"/>
  <c r="C3478" i="10"/>
  <c r="C3479" i="10"/>
  <c r="C3480" i="10"/>
  <c r="C3481" i="10"/>
  <c r="C3483" i="10"/>
  <c r="C3484" i="10"/>
  <c r="C3485" i="10"/>
  <c r="C3486" i="10"/>
  <c r="C3487" i="10"/>
  <c r="C3488" i="10"/>
  <c r="C3489" i="10"/>
  <c r="C3490" i="10"/>
  <c r="C3491" i="10"/>
  <c r="C3492" i="10"/>
  <c r="C3560" i="10" s="1"/>
  <c r="C3493" i="10"/>
  <c r="C3494" i="10"/>
  <c r="C3495" i="10"/>
  <c r="C3496" i="10"/>
  <c r="C3497" i="10"/>
  <c r="C3498" i="10"/>
  <c r="C3499" i="10"/>
  <c r="C3500" i="10"/>
  <c r="C3501" i="10"/>
  <c r="C3502" i="10"/>
  <c r="C3503" i="10"/>
  <c r="C3504" i="10"/>
  <c r="C3505" i="10"/>
  <c r="C3506" i="10"/>
  <c r="C3507" i="10"/>
  <c r="C3508" i="10"/>
  <c r="C3509" i="10"/>
  <c r="C3510" i="10"/>
  <c r="C3511" i="10"/>
  <c r="C3512" i="10"/>
  <c r="C3513" i="10"/>
  <c r="C3514" i="10"/>
  <c r="C3515" i="10"/>
  <c r="C3516" i="10"/>
  <c r="C3517" i="10"/>
  <c r="C3518" i="10"/>
  <c r="C3519" i="10"/>
  <c r="C3520" i="10"/>
  <c r="C3521" i="10"/>
  <c r="C3522" i="10"/>
  <c r="C3523" i="10"/>
  <c r="C3524" i="10"/>
  <c r="C3525" i="10"/>
  <c r="C3526" i="10"/>
  <c r="C3527" i="10"/>
  <c r="C3528" i="10"/>
  <c r="C3529" i="10"/>
  <c r="C3530" i="10"/>
  <c r="C3531" i="10"/>
  <c r="C3532" i="10"/>
  <c r="C3533" i="10"/>
  <c r="C3534" i="10"/>
  <c r="C3535" i="10"/>
  <c r="C3536" i="10"/>
  <c r="C3537" i="10"/>
  <c r="C3538" i="10"/>
  <c r="C3539" i="10"/>
  <c r="C3540" i="10"/>
  <c r="C3541" i="10"/>
  <c r="C3542" i="10"/>
  <c r="C3543" i="10"/>
  <c r="C3544" i="10"/>
  <c r="C3545" i="10"/>
  <c r="C3546" i="10"/>
  <c r="C3547" i="10"/>
  <c r="C3548" i="10"/>
  <c r="C3549" i="10"/>
  <c r="C3550" i="10"/>
  <c r="C3551" i="10"/>
  <c r="C3552" i="10"/>
  <c r="C3553" i="10"/>
  <c r="C3554" i="10"/>
  <c r="C3555" i="10"/>
  <c r="C3556" i="10"/>
  <c r="C3557" i="10"/>
  <c r="C3558" i="10"/>
  <c r="C3559" i="10"/>
  <c r="C3561" i="10"/>
  <c r="C3562" i="10"/>
  <c r="C3563" i="10"/>
  <c r="C3564" i="10"/>
  <c r="C3565" i="10"/>
  <c r="C3566" i="10"/>
  <c r="C3567" i="10"/>
  <c r="C3568" i="10"/>
  <c r="C3569" i="10"/>
  <c r="C3570" i="10"/>
  <c r="C3571" i="10"/>
  <c r="C3572" i="10"/>
  <c r="C3573" i="10"/>
  <c r="C3574" i="10"/>
  <c r="C3575" i="10"/>
  <c r="C3576" i="10"/>
  <c r="C3577" i="10"/>
  <c r="C3578" i="10"/>
  <c r="C3579" i="10"/>
  <c r="C3580" i="10"/>
  <c r="C3581" i="10"/>
  <c r="C3582" i="10"/>
  <c r="C3583" i="10"/>
  <c r="C3584" i="10"/>
  <c r="C3585" i="10"/>
  <c r="C3586" i="10"/>
  <c r="C3587" i="10"/>
  <c r="C3588" i="10"/>
  <c r="C3589" i="10"/>
  <c r="C3590" i="10"/>
  <c r="C3591" i="10"/>
  <c r="C3592" i="10"/>
  <c r="C3593" i="10"/>
  <c r="C3594" i="10"/>
  <c r="C3595" i="10"/>
  <c r="C3596" i="10"/>
  <c r="C3597" i="10"/>
  <c r="C3598" i="10"/>
  <c r="C3599" i="10"/>
  <c r="C3600" i="10"/>
  <c r="C3601" i="10"/>
  <c r="C3602" i="10"/>
  <c r="C3603" i="10"/>
  <c r="C3604" i="10"/>
  <c r="C3605" i="10"/>
  <c r="C3606" i="10"/>
  <c r="C3607" i="10"/>
  <c r="C3608" i="10"/>
  <c r="C3609" i="10"/>
  <c r="C3610" i="10"/>
  <c r="C3611" i="10"/>
  <c r="C3612" i="10"/>
  <c r="C3613" i="10"/>
  <c r="C3614" i="10"/>
  <c r="C3615" i="10"/>
  <c r="C3616" i="10"/>
  <c r="C3617" i="10"/>
  <c r="C3618" i="10"/>
  <c r="C3619" i="10"/>
  <c r="C3620" i="10"/>
  <c r="C3621" i="10"/>
  <c r="C3622" i="10"/>
  <c r="C3623" i="10"/>
  <c r="C3624" i="10"/>
  <c r="C3625" i="10"/>
  <c r="C3626" i="10"/>
  <c r="C3627" i="10"/>
  <c r="C3628" i="10"/>
  <c r="C3629" i="10"/>
  <c r="C3630" i="10"/>
  <c r="C3631" i="10"/>
  <c r="C3632" i="10"/>
  <c r="C3633" i="10"/>
  <c r="C3634" i="10"/>
  <c r="C3635" i="10"/>
  <c r="C3636" i="10"/>
  <c r="C3637" i="10"/>
  <c r="C3638" i="10"/>
  <c r="C3639" i="10"/>
  <c r="C3640" i="10"/>
  <c r="C3641" i="10"/>
  <c r="C3642" i="10"/>
  <c r="C3643" i="10"/>
  <c r="C3644" i="10"/>
  <c r="C3645" i="10"/>
  <c r="C3646" i="10"/>
  <c r="C3647" i="10"/>
  <c r="C3648" i="10"/>
  <c r="C3649" i="10"/>
  <c r="C3650" i="10"/>
  <c r="C3651" i="10"/>
  <c r="C3652" i="10"/>
  <c r="C3653" i="10"/>
  <c r="C3654" i="10"/>
  <c r="C3655" i="10"/>
  <c r="C3656" i="10"/>
  <c r="C3657" i="10"/>
  <c r="C3658" i="10"/>
  <c r="C3659" i="10"/>
  <c r="C3660" i="10"/>
  <c r="C3661" i="10"/>
  <c r="C3662" i="10"/>
  <c r="C3663" i="10"/>
  <c r="C3664" i="10"/>
  <c r="C3665" i="10"/>
  <c r="C3666" i="10"/>
  <c r="C3667" i="10"/>
  <c r="C3668" i="10"/>
  <c r="C3669" i="10"/>
  <c r="C3670" i="10"/>
  <c r="C3671" i="10"/>
  <c r="C3672" i="10"/>
  <c r="C3673" i="10"/>
  <c r="C3674" i="10"/>
  <c r="C3675" i="10"/>
  <c r="C3676" i="10"/>
  <c r="C3677" i="10"/>
  <c r="C3678" i="10"/>
  <c r="C3679" i="10"/>
  <c r="C3680" i="10"/>
  <c r="C3681" i="10"/>
  <c r="C3682" i="10"/>
  <c r="C3683" i="10"/>
  <c r="C3684" i="10"/>
  <c r="C3685" i="10"/>
  <c r="C3686" i="10"/>
  <c r="C3687" i="10"/>
  <c r="C3688" i="10"/>
  <c r="C3689" i="10"/>
  <c r="C3690" i="10"/>
  <c r="C3691" i="10"/>
  <c r="C3692" i="10"/>
  <c r="C3693" i="10"/>
  <c r="C3694" i="10"/>
  <c r="C3695" i="10"/>
  <c r="C3696" i="10"/>
  <c r="C3697" i="10"/>
  <c r="C3698" i="10"/>
  <c r="C3699" i="10"/>
  <c r="C3700" i="10"/>
  <c r="C3701" i="10"/>
  <c r="C3702" i="10"/>
  <c r="C3703" i="10"/>
  <c r="C3704" i="10"/>
  <c r="C3705" i="10"/>
  <c r="C3706" i="10"/>
  <c r="C3707" i="10"/>
  <c r="C3708" i="10"/>
  <c r="C3709" i="10"/>
  <c r="C3710" i="10"/>
  <c r="C3711" i="10"/>
  <c r="C3712" i="10"/>
  <c r="C3713" i="10"/>
  <c r="C3714" i="10"/>
  <c r="C3715" i="10"/>
  <c r="C3716" i="10"/>
  <c r="C3717" i="10"/>
  <c r="C3718" i="10"/>
  <c r="C3719" i="10"/>
  <c r="C3720" i="10"/>
  <c r="C3721" i="10"/>
  <c r="C3722" i="10"/>
  <c r="C3723" i="10"/>
  <c r="C3724" i="10"/>
  <c r="C3725" i="10"/>
  <c r="C3726" i="10"/>
  <c r="C3727" i="10"/>
  <c r="C3728" i="10"/>
  <c r="C3729" i="10"/>
  <c r="C3730" i="10"/>
  <c r="C3731" i="10"/>
  <c r="C3732" i="10"/>
  <c r="C3733" i="10"/>
  <c r="C3734" i="10"/>
  <c r="C3735" i="10"/>
  <c r="C3736" i="10"/>
  <c r="C3737" i="10"/>
  <c r="C3738" i="10"/>
  <c r="C3739" i="10"/>
  <c r="C3740" i="10"/>
  <c r="C3741" i="10"/>
  <c r="C3742" i="10"/>
  <c r="C3743" i="10"/>
  <c r="C3744" i="10"/>
  <c r="C3745" i="10"/>
  <c r="C3746" i="10"/>
  <c r="C3747" i="10"/>
  <c r="C3748" i="10"/>
  <c r="C3749" i="10"/>
  <c r="C3750" i="10"/>
  <c r="C3751" i="10"/>
  <c r="C3752" i="10"/>
  <c r="C3753" i="10"/>
  <c r="C3754" i="10"/>
  <c r="C3755" i="10"/>
  <c r="C3756" i="10"/>
  <c r="C3757" i="10"/>
  <c r="C3758" i="10"/>
  <c r="C3759" i="10"/>
  <c r="C3882" i="10" s="1"/>
  <c r="C3760" i="10"/>
  <c r="C3761" i="10"/>
  <c r="C3762" i="10"/>
  <c r="C3763" i="10"/>
  <c r="C3764" i="10"/>
  <c r="C3765" i="10"/>
  <c r="C3766" i="10"/>
  <c r="C3767" i="10"/>
  <c r="C3768" i="10"/>
  <c r="C3769" i="10"/>
  <c r="C3770" i="10"/>
  <c r="C3771" i="10"/>
  <c r="C3772" i="10"/>
  <c r="C3773" i="10"/>
  <c r="C3774" i="10"/>
  <c r="C3775" i="10"/>
  <c r="C3776" i="10"/>
  <c r="C3777" i="10"/>
  <c r="C3778" i="10"/>
  <c r="C3779" i="10"/>
  <c r="C3780" i="10"/>
  <c r="C3781" i="10"/>
  <c r="C3782" i="10"/>
  <c r="C3783" i="10"/>
  <c r="C3784" i="10"/>
  <c r="C3785" i="10"/>
  <c r="C3786" i="10"/>
  <c r="C3787" i="10"/>
  <c r="C3788" i="10"/>
  <c r="C3789" i="10"/>
  <c r="C3790" i="10"/>
  <c r="C3791" i="10"/>
  <c r="C3792" i="10"/>
  <c r="C3793" i="10"/>
  <c r="C3794" i="10"/>
  <c r="C3795" i="10"/>
  <c r="C3796" i="10"/>
  <c r="C3797" i="10"/>
  <c r="C3798" i="10"/>
  <c r="C3799" i="10"/>
  <c r="C3800" i="10"/>
  <c r="C3801" i="10"/>
  <c r="C3802" i="10"/>
  <c r="C3803" i="10"/>
  <c r="C3804" i="10"/>
  <c r="C3805" i="10"/>
  <c r="C3806" i="10"/>
  <c r="C3807" i="10"/>
  <c r="C3808" i="10"/>
  <c r="C3809" i="10"/>
  <c r="C3810" i="10"/>
  <c r="C3811" i="10"/>
  <c r="C3812" i="10"/>
  <c r="C3813" i="10"/>
  <c r="C3814" i="10"/>
  <c r="C3815" i="10"/>
  <c r="C3816" i="10"/>
  <c r="C3817" i="10"/>
  <c r="C3818" i="10"/>
  <c r="C3819" i="10"/>
  <c r="C3820" i="10"/>
  <c r="C3821" i="10"/>
  <c r="C3822" i="10"/>
  <c r="C3823" i="10"/>
  <c r="C3824" i="10"/>
  <c r="C3825" i="10"/>
  <c r="C3826" i="10"/>
  <c r="C3827" i="10"/>
  <c r="C3828" i="10"/>
  <c r="C3829" i="10"/>
  <c r="C3830" i="10"/>
  <c r="C3831" i="10"/>
  <c r="C3832" i="10"/>
  <c r="C3833" i="10"/>
  <c r="C3834" i="10"/>
  <c r="C3835" i="10"/>
  <c r="C3836" i="10"/>
  <c r="C3837" i="10"/>
  <c r="C3838" i="10"/>
  <c r="C3839" i="10"/>
  <c r="C3840" i="10"/>
  <c r="C3841" i="10"/>
  <c r="C3842" i="10"/>
  <c r="C3843" i="10"/>
  <c r="C3844" i="10"/>
  <c r="C3845" i="10"/>
  <c r="C3846" i="10"/>
  <c r="C3847" i="10"/>
  <c r="C3848" i="10"/>
  <c r="C3849" i="10"/>
  <c r="C3850" i="10"/>
  <c r="C3851" i="10"/>
  <c r="C3852" i="10"/>
  <c r="C3853" i="10"/>
  <c r="C3854" i="10"/>
  <c r="C3855" i="10"/>
  <c r="C3856" i="10"/>
  <c r="C3857" i="10"/>
  <c r="C3858" i="10"/>
  <c r="C3859" i="10"/>
  <c r="C3860" i="10"/>
  <c r="C3861" i="10"/>
  <c r="C3862" i="10"/>
  <c r="C3863" i="10"/>
  <c r="C3864" i="10"/>
  <c r="C3865" i="10"/>
  <c r="C3866" i="10"/>
  <c r="C3867" i="10"/>
  <c r="C3868" i="10"/>
  <c r="C3869" i="10"/>
  <c r="C3870" i="10"/>
  <c r="C3871" i="10"/>
  <c r="C3872" i="10"/>
  <c r="C3873" i="10"/>
  <c r="C3874" i="10"/>
  <c r="C3875" i="10"/>
  <c r="C3876" i="10"/>
  <c r="C3877" i="10"/>
  <c r="C3878" i="10"/>
  <c r="C3879" i="10"/>
  <c r="C3880" i="10"/>
  <c r="C3881" i="10"/>
  <c r="C3883" i="10"/>
  <c r="C3884" i="10"/>
  <c r="C4075" i="10" s="1"/>
  <c r="C3885" i="10"/>
  <c r="C3886" i="10"/>
  <c r="C3887" i="10"/>
  <c r="C3888" i="10"/>
  <c r="C3889" i="10"/>
  <c r="C3890" i="10"/>
  <c r="C3891" i="10"/>
  <c r="C3892" i="10"/>
  <c r="C3893" i="10"/>
  <c r="C3894" i="10"/>
  <c r="C3895" i="10"/>
  <c r="C3896" i="10"/>
  <c r="C3897" i="10"/>
  <c r="C3898" i="10"/>
  <c r="C3899" i="10"/>
  <c r="C3900" i="10"/>
  <c r="C3901" i="10"/>
  <c r="C3902" i="10"/>
  <c r="C3903" i="10"/>
  <c r="C3904" i="10"/>
  <c r="C3905" i="10"/>
  <c r="C3906" i="10"/>
  <c r="C3907" i="10"/>
  <c r="C3908" i="10"/>
  <c r="C3909" i="10"/>
  <c r="C3910" i="10"/>
  <c r="C3911" i="10"/>
  <c r="C3912" i="10"/>
  <c r="C3913" i="10"/>
  <c r="C3914" i="10"/>
  <c r="C3915" i="10"/>
  <c r="C3916" i="10"/>
  <c r="C3917" i="10"/>
  <c r="C3918" i="10"/>
  <c r="C3919" i="10"/>
  <c r="C3920" i="10"/>
  <c r="C3921" i="10"/>
  <c r="C3922" i="10"/>
  <c r="C3923" i="10"/>
  <c r="C3924" i="10"/>
  <c r="C3925" i="10"/>
  <c r="C3926" i="10"/>
  <c r="C3927" i="10"/>
  <c r="C3928" i="10"/>
  <c r="C3929" i="10"/>
  <c r="C3930" i="10"/>
  <c r="C3931" i="10"/>
  <c r="C3932" i="10"/>
  <c r="C3933" i="10"/>
  <c r="C3934" i="10"/>
  <c r="C3935" i="10"/>
  <c r="C3936" i="10"/>
  <c r="C3937" i="10"/>
  <c r="C3938" i="10"/>
  <c r="C3939" i="10"/>
  <c r="C3940" i="10"/>
  <c r="C3941" i="10"/>
  <c r="C3942" i="10"/>
  <c r="C3943" i="10"/>
  <c r="C3944" i="10"/>
  <c r="C3945" i="10"/>
  <c r="C3946" i="10"/>
  <c r="C3947" i="10"/>
  <c r="C3948" i="10"/>
  <c r="C3949" i="10"/>
  <c r="C3950" i="10"/>
  <c r="C3951" i="10"/>
  <c r="C3952" i="10"/>
  <c r="C3953" i="10"/>
  <c r="C3954" i="10"/>
  <c r="C3955" i="10"/>
  <c r="C3956" i="10"/>
  <c r="C3957" i="10"/>
  <c r="C3958" i="10"/>
  <c r="C3959" i="10"/>
  <c r="C3960" i="10"/>
  <c r="C3961" i="10"/>
  <c r="C3962" i="10"/>
  <c r="C3963" i="10"/>
  <c r="C3964" i="10"/>
  <c r="C3965" i="10"/>
  <c r="C3966" i="10"/>
  <c r="C3967" i="10"/>
  <c r="C3968" i="10"/>
  <c r="C3969" i="10"/>
  <c r="C3970" i="10"/>
  <c r="C3971" i="10"/>
  <c r="C3972" i="10"/>
  <c r="C3973" i="10"/>
  <c r="C3974" i="10"/>
  <c r="C3975" i="10"/>
  <c r="C3976" i="10"/>
  <c r="C3977" i="10"/>
  <c r="C3978" i="10"/>
  <c r="C3979" i="10"/>
  <c r="C3980" i="10"/>
  <c r="C3981" i="10"/>
  <c r="C3982" i="10"/>
  <c r="C3983" i="10"/>
  <c r="C3984" i="10"/>
  <c r="C3985" i="10"/>
  <c r="C3986" i="10"/>
  <c r="C3987" i="10"/>
  <c r="C3988" i="10"/>
  <c r="C3989" i="10"/>
  <c r="C3990" i="10"/>
  <c r="C3991" i="10"/>
  <c r="C3992" i="10"/>
  <c r="C3993" i="10"/>
  <c r="C3994" i="10"/>
  <c r="C3995" i="10"/>
  <c r="C3996" i="10"/>
  <c r="C3997" i="10"/>
  <c r="C3998" i="10"/>
  <c r="C3999" i="10"/>
  <c r="C4000" i="10"/>
  <c r="C4001" i="10"/>
  <c r="C4002" i="10"/>
  <c r="C4003" i="10"/>
  <c r="C4004" i="10"/>
  <c r="C4005" i="10"/>
  <c r="C4006" i="10"/>
  <c r="C4007" i="10"/>
  <c r="C4008" i="10"/>
  <c r="C4009" i="10"/>
  <c r="C4010" i="10"/>
  <c r="C4011" i="10"/>
  <c r="C4012" i="10"/>
  <c r="C4013" i="10"/>
  <c r="C4014" i="10"/>
  <c r="C4015" i="10"/>
  <c r="C4016" i="10"/>
  <c r="C4017" i="10"/>
  <c r="C4018" i="10"/>
  <c r="C4019" i="10"/>
  <c r="C4020" i="10"/>
  <c r="C4021" i="10"/>
  <c r="C4022" i="10"/>
  <c r="C4023" i="10"/>
  <c r="C4024" i="10"/>
  <c r="C4025" i="10"/>
  <c r="C4026" i="10"/>
  <c r="C4027" i="10"/>
  <c r="C4028" i="10"/>
  <c r="C4029" i="10"/>
  <c r="C4030" i="10"/>
  <c r="C4031" i="10"/>
  <c r="C4032" i="10"/>
  <c r="C4033" i="10"/>
  <c r="C4034" i="10"/>
  <c r="C4035" i="10"/>
  <c r="C4036" i="10"/>
  <c r="C4037" i="10"/>
  <c r="C4038" i="10"/>
  <c r="C4039" i="10"/>
  <c r="C4040" i="10"/>
  <c r="C4041" i="10"/>
  <c r="C4042" i="10"/>
  <c r="C4043" i="10"/>
  <c r="C4044" i="10"/>
  <c r="C4045" i="10"/>
  <c r="C4046" i="10"/>
  <c r="C4047" i="10"/>
  <c r="C4048" i="10"/>
  <c r="C4049" i="10"/>
  <c r="C4050" i="10"/>
  <c r="C4051" i="10"/>
  <c r="C4052" i="10"/>
  <c r="C4053" i="10"/>
  <c r="C4054" i="10"/>
  <c r="C4055" i="10"/>
  <c r="C4056" i="10"/>
  <c r="C4057" i="10"/>
  <c r="C4058" i="10"/>
  <c r="C4059" i="10"/>
  <c r="C4060" i="10"/>
  <c r="C4061" i="10"/>
  <c r="C4062" i="10"/>
  <c r="C4063" i="10"/>
  <c r="C4064" i="10"/>
  <c r="C4065" i="10"/>
  <c r="C4066" i="10"/>
  <c r="C4067" i="10"/>
  <c r="C4068" i="10"/>
  <c r="C4069" i="10"/>
  <c r="C4070" i="10"/>
  <c r="C4071" i="10"/>
  <c r="C4072" i="10"/>
  <c r="C4073" i="10"/>
  <c r="C4074" i="10"/>
  <c r="C4076" i="10"/>
  <c r="C4077" i="10"/>
  <c r="C4078" i="10"/>
  <c r="C4079" i="10"/>
  <c r="C4080" i="10"/>
  <c r="C4272" i="10" s="1"/>
  <c r="C4081" i="10"/>
  <c r="C4082" i="10"/>
  <c r="C4083" i="10"/>
  <c r="C4084" i="10"/>
  <c r="C4085" i="10"/>
  <c r="C4086" i="10"/>
  <c r="C4087" i="10"/>
  <c r="C4088" i="10"/>
  <c r="C4089" i="10"/>
  <c r="C4090" i="10"/>
  <c r="C4091" i="10"/>
  <c r="C4092" i="10"/>
  <c r="C4093" i="10"/>
  <c r="C4094" i="10"/>
  <c r="C4095" i="10"/>
  <c r="C4096" i="10"/>
  <c r="C4097" i="10"/>
  <c r="C4098" i="10"/>
  <c r="C4099" i="10"/>
  <c r="C4100" i="10"/>
  <c r="C4101" i="10"/>
  <c r="C4102" i="10"/>
  <c r="C4103" i="10"/>
  <c r="C4104" i="10"/>
  <c r="C4105" i="10"/>
  <c r="C4106" i="10"/>
  <c r="C4107" i="10"/>
  <c r="C4108" i="10"/>
  <c r="C4109" i="10"/>
  <c r="C4110" i="10"/>
  <c r="C4111" i="10"/>
  <c r="C4112" i="10"/>
  <c r="C4113" i="10"/>
  <c r="C4114" i="10"/>
  <c r="C4115" i="10"/>
  <c r="C4116" i="10"/>
  <c r="C4117" i="10"/>
  <c r="C4118" i="10"/>
  <c r="C4119" i="10"/>
  <c r="C4120" i="10"/>
  <c r="C4121" i="10"/>
  <c r="C4122" i="10"/>
  <c r="C4123" i="10"/>
  <c r="C4124" i="10"/>
  <c r="C4125" i="10"/>
  <c r="C4126" i="10"/>
  <c r="C4127" i="10"/>
  <c r="C4128" i="10"/>
  <c r="C4129" i="10"/>
  <c r="C4130" i="10"/>
  <c r="C4131" i="10"/>
  <c r="C4132" i="10"/>
  <c r="C4133" i="10"/>
  <c r="C4134" i="10"/>
  <c r="C4135" i="10"/>
  <c r="C4136" i="10"/>
  <c r="C4137" i="10"/>
  <c r="C4138" i="10"/>
  <c r="C4139" i="10"/>
  <c r="C4140" i="10"/>
  <c r="C4141" i="10"/>
  <c r="C4142" i="10"/>
  <c r="C4143" i="10"/>
  <c r="C4144" i="10"/>
  <c r="C4145" i="10"/>
  <c r="C4146" i="10"/>
  <c r="C4147" i="10"/>
  <c r="C4148" i="10"/>
  <c r="C4149" i="10"/>
  <c r="C4150" i="10"/>
  <c r="C4151" i="10"/>
  <c r="C4152" i="10"/>
  <c r="C4153" i="10"/>
  <c r="C4154" i="10"/>
  <c r="C4155" i="10"/>
  <c r="C4156" i="10"/>
  <c r="C4157" i="10"/>
  <c r="C4158" i="10"/>
  <c r="C4159" i="10"/>
  <c r="C4160" i="10"/>
  <c r="C4161" i="10"/>
  <c r="C4162" i="10"/>
  <c r="C4163" i="10"/>
  <c r="C4164" i="10"/>
  <c r="C4165" i="10"/>
  <c r="C4166" i="10"/>
  <c r="C4167" i="10"/>
  <c r="C4168" i="10"/>
  <c r="C4169" i="10"/>
  <c r="C4170" i="10"/>
  <c r="C4171" i="10"/>
  <c r="C4172" i="10"/>
  <c r="C4173" i="10"/>
  <c r="C4174" i="10"/>
  <c r="C4175" i="10"/>
  <c r="C4176" i="10"/>
  <c r="C4177" i="10"/>
  <c r="C4178" i="10"/>
  <c r="C4179" i="10"/>
  <c r="C4180" i="10"/>
  <c r="C4181" i="10"/>
  <c r="C4182" i="10"/>
  <c r="C4183" i="10"/>
  <c r="C4184" i="10"/>
  <c r="C4185" i="10"/>
  <c r="C4186" i="10"/>
  <c r="C4187" i="10"/>
  <c r="C4188" i="10"/>
  <c r="C4189" i="10"/>
  <c r="C4190" i="10"/>
  <c r="C4191" i="10"/>
  <c r="C4192" i="10"/>
  <c r="C4193" i="10"/>
  <c r="C4194" i="10"/>
  <c r="C4195" i="10"/>
  <c r="C4196" i="10"/>
  <c r="C4197" i="10"/>
  <c r="C4198" i="10"/>
  <c r="C4199" i="10"/>
  <c r="C4200" i="10"/>
  <c r="C4201" i="10"/>
  <c r="C4202" i="10"/>
  <c r="C4203" i="10"/>
  <c r="C4204" i="10"/>
  <c r="C4205" i="10"/>
  <c r="C4206" i="10"/>
  <c r="C4207" i="10"/>
  <c r="C4208" i="10"/>
  <c r="C4209" i="10"/>
  <c r="C4210" i="10"/>
  <c r="C4211" i="10"/>
  <c r="C4212" i="10"/>
  <c r="C4213" i="10"/>
  <c r="C4214" i="10"/>
  <c r="C4215" i="10"/>
  <c r="C4216" i="10"/>
  <c r="C4217" i="10"/>
  <c r="C4218" i="10"/>
  <c r="C4219" i="10"/>
  <c r="C4220" i="10"/>
  <c r="C4221" i="10"/>
  <c r="C4222" i="10"/>
  <c r="C4223" i="10"/>
  <c r="C4224" i="10"/>
  <c r="C4225" i="10"/>
  <c r="C4226" i="10"/>
  <c r="C4227" i="10"/>
  <c r="C4228" i="10"/>
  <c r="C4229" i="10"/>
  <c r="C4230" i="10"/>
  <c r="C4231" i="10"/>
  <c r="C4232" i="10"/>
  <c r="C4233" i="10"/>
  <c r="C4234" i="10"/>
  <c r="C4235" i="10"/>
  <c r="C4236" i="10"/>
  <c r="C4237" i="10"/>
  <c r="C4238" i="10"/>
  <c r="C4239" i="10"/>
  <c r="C4240" i="10"/>
  <c r="C4241" i="10"/>
  <c r="C4242" i="10"/>
  <c r="C4243" i="10"/>
  <c r="C4244" i="10"/>
  <c r="C4245" i="10"/>
  <c r="C4246" i="10"/>
  <c r="C4247" i="10"/>
  <c r="C4248" i="10"/>
  <c r="C4249" i="10"/>
  <c r="C4250" i="10"/>
  <c r="C4251" i="10"/>
  <c r="C4252" i="10"/>
  <c r="C4253" i="10"/>
  <c r="C4254" i="10"/>
  <c r="C4255" i="10"/>
  <c r="C4256" i="10"/>
  <c r="C4257" i="10"/>
  <c r="C4258" i="10"/>
  <c r="C4259" i="10"/>
  <c r="C4260" i="10"/>
  <c r="C4261" i="10"/>
  <c r="C4262" i="10"/>
  <c r="C4263" i="10"/>
  <c r="C4264" i="10"/>
  <c r="C4265" i="10"/>
  <c r="C4266" i="10"/>
  <c r="C4267" i="10"/>
  <c r="C4268" i="10"/>
  <c r="C4269" i="10"/>
  <c r="C4270" i="10"/>
  <c r="C4271" i="10"/>
  <c r="C4273" i="10"/>
  <c r="C4469" i="10" s="1"/>
  <c r="C4274" i="10"/>
  <c r="C4275" i="10"/>
  <c r="C4276" i="10"/>
  <c r="C4277" i="10"/>
  <c r="C4278" i="10"/>
  <c r="C4279" i="10"/>
  <c r="C4280" i="10"/>
  <c r="C4281" i="10"/>
  <c r="C4282" i="10"/>
  <c r="C4283" i="10"/>
  <c r="C4284" i="10"/>
  <c r="C4285" i="10"/>
  <c r="C4286" i="10"/>
  <c r="C4287" i="10"/>
  <c r="C4288" i="10"/>
  <c r="C4289" i="10"/>
  <c r="C4290" i="10"/>
  <c r="C4291" i="10"/>
  <c r="C4292" i="10"/>
  <c r="C4293" i="10"/>
  <c r="C4294" i="10"/>
  <c r="C4295" i="10"/>
  <c r="C4296" i="10"/>
  <c r="C4297" i="10"/>
  <c r="C4298" i="10"/>
  <c r="C4299" i="10"/>
  <c r="C4300" i="10"/>
  <c r="C4301" i="10"/>
  <c r="C4302" i="10"/>
  <c r="C4303" i="10"/>
  <c r="C4304" i="10"/>
  <c r="C4305" i="10"/>
  <c r="C4306" i="10"/>
  <c r="C4307" i="10"/>
  <c r="C4308" i="10"/>
  <c r="C4309" i="10"/>
  <c r="C4310" i="10"/>
  <c r="C4311" i="10"/>
  <c r="C4312" i="10"/>
  <c r="C4313" i="10"/>
  <c r="C4314" i="10"/>
  <c r="C4315" i="10"/>
  <c r="C4316" i="10"/>
  <c r="C4317" i="10"/>
  <c r="C4318" i="10"/>
  <c r="C4319" i="10"/>
  <c r="C4320" i="10"/>
  <c r="C4321" i="10"/>
  <c r="C4322" i="10"/>
  <c r="C4323" i="10"/>
  <c r="C4324" i="10"/>
  <c r="C4325" i="10"/>
  <c r="C4326" i="10"/>
  <c r="C4327" i="10"/>
  <c r="C4328" i="10"/>
  <c r="C4329" i="10"/>
  <c r="C4330" i="10"/>
  <c r="C4331" i="10"/>
  <c r="C4332" i="10"/>
  <c r="C4333" i="10"/>
  <c r="C4334" i="10"/>
  <c r="C4335" i="10"/>
  <c r="C4336" i="10"/>
  <c r="C4337" i="10"/>
  <c r="C4338" i="10"/>
  <c r="C4339" i="10"/>
  <c r="C4340" i="10"/>
  <c r="C4341" i="10"/>
  <c r="C4342" i="10"/>
  <c r="C4343" i="10"/>
  <c r="C4344" i="10"/>
  <c r="C4345" i="10"/>
  <c r="C4346" i="10"/>
  <c r="C4347" i="10"/>
  <c r="C4348" i="10"/>
  <c r="C4349" i="10"/>
  <c r="C4350" i="10"/>
  <c r="C4351" i="10"/>
  <c r="C4352" i="10"/>
  <c r="C4353" i="10"/>
  <c r="C4354" i="10"/>
  <c r="C4355" i="10"/>
  <c r="C4356" i="10"/>
  <c r="C4357" i="10"/>
  <c r="C4358" i="10"/>
  <c r="C4359" i="10"/>
  <c r="C4360" i="10"/>
  <c r="C4361" i="10"/>
  <c r="C4362" i="10"/>
  <c r="C4363" i="10"/>
  <c r="C4364" i="10"/>
  <c r="C4365" i="10"/>
  <c r="C4366" i="10"/>
  <c r="C4367" i="10"/>
  <c r="C4368" i="10"/>
  <c r="C4369" i="10"/>
  <c r="C4370" i="10"/>
  <c r="C4371" i="10"/>
  <c r="C4372" i="10"/>
  <c r="C4373" i="10"/>
  <c r="C4374" i="10"/>
  <c r="C4375" i="10"/>
  <c r="C4376" i="10"/>
  <c r="C4377" i="10"/>
  <c r="C4378" i="10"/>
  <c r="C4379" i="10"/>
  <c r="C4380" i="10"/>
  <c r="C4381" i="10"/>
  <c r="C4382" i="10"/>
  <c r="C4383" i="10"/>
  <c r="C4384" i="10"/>
  <c r="C4385" i="10"/>
  <c r="C4386" i="10"/>
  <c r="C4387" i="10"/>
  <c r="C4388" i="10"/>
  <c r="C4389" i="10"/>
  <c r="C4390" i="10"/>
  <c r="C4391" i="10"/>
  <c r="C4392" i="10"/>
  <c r="C4393" i="10"/>
  <c r="C4394" i="10"/>
  <c r="C4395" i="10"/>
  <c r="C4396" i="10"/>
  <c r="C4397" i="10"/>
  <c r="C4398" i="10"/>
  <c r="C4399" i="10"/>
  <c r="C4400" i="10"/>
  <c r="C4401" i="10"/>
  <c r="C4402" i="10"/>
  <c r="C4403" i="10"/>
  <c r="C4404" i="10"/>
  <c r="C4405" i="10"/>
  <c r="C4406" i="10"/>
  <c r="C4407" i="10"/>
  <c r="C4408" i="10"/>
  <c r="C4409" i="10"/>
  <c r="C4410" i="10"/>
  <c r="C4411" i="10"/>
  <c r="C4412" i="10"/>
  <c r="C4413" i="10"/>
  <c r="C4414" i="10"/>
  <c r="C4415" i="10"/>
  <c r="C4416" i="10"/>
  <c r="C4417" i="10"/>
  <c r="C4418" i="10"/>
  <c r="C4419" i="10"/>
  <c r="C4420" i="10"/>
  <c r="C4421" i="10"/>
  <c r="C4422" i="10"/>
  <c r="C4423" i="10"/>
  <c r="C4424" i="10"/>
  <c r="C4425" i="10"/>
  <c r="C4426" i="10"/>
  <c r="C4427" i="10"/>
  <c r="C4428" i="10"/>
  <c r="C4429" i="10"/>
  <c r="C4430" i="10"/>
  <c r="C4431" i="10"/>
  <c r="C4432" i="10"/>
  <c r="C4433" i="10"/>
  <c r="C4434" i="10"/>
  <c r="C4435" i="10"/>
  <c r="C4436" i="10"/>
  <c r="C4437" i="10"/>
  <c r="C4438" i="10"/>
  <c r="C4439" i="10"/>
  <c r="C4440" i="10"/>
  <c r="C4441" i="10"/>
  <c r="C4442" i="10"/>
  <c r="C4443" i="10"/>
  <c r="C4444" i="10"/>
  <c r="C4445" i="10"/>
  <c r="C4446" i="10"/>
  <c r="C4447" i="10"/>
  <c r="C4448" i="10"/>
  <c r="C4449" i="10"/>
  <c r="C4450" i="10"/>
  <c r="C4451" i="10"/>
  <c r="C4452" i="10"/>
  <c r="C4453" i="10"/>
  <c r="C4454" i="10"/>
  <c r="C4455" i="10"/>
  <c r="C4456" i="10"/>
  <c r="C4457" i="10"/>
  <c r="C4458" i="10"/>
  <c r="C4459" i="10"/>
  <c r="C4460" i="10"/>
  <c r="C4461" i="10"/>
  <c r="C4462" i="10"/>
  <c r="C4463" i="10"/>
  <c r="C4464" i="10"/>
  <c r="C4465" i="10"/>
  <c r="C4466" i="10"/>
  <c r="C4467" i="10"/>
  <c r="C4468" i="10"/>
  <c r="C4470" i="10"/>
  <c r="C4471" i="10"/>
  <c r="C4472" i="10"/>
  <c r="C4473" i="10"/>
  <c r="C4474" i="10"/>
  <c r="C4475" i="10"/>
  <c r="C4476" i="10"/>
  <c r="C4666" i="10" s="1"/>
  <c r="C4477" i="10"/>
  <c r="C4478" i="10"/>
  <c r="C4479" i="10"/>
  <c r="C4480" i="10"/>
  <c r="C4481" i="10"/>
  <c r="C4482" i="10"/>
  <c r="C4483" i="10"/>
  <c r="C4484" i="10"/>
  <c r="C4485" i="10"/>
  <c r="C4486" i="10"/>
  <c r="C4487" i="10"/>
  <c r="C4488" i="10"/>
  <c r="C4489" i="10"/>
  <c r="C4490" i="10"/>
  <c r="C4491" i="10"/>
  <c r="C4492" i="10"/>
  <c r="C4493" i="10"/>
  <c r="C4494" i="10"/>
  <c r="C4495" i="10"/>
  <c r="C4496" i="10"/>
  <c r="C4497" i="10"/>
  <c r="C4498" i="10"/>
  <c r="C4499" i="10"/>
  <c r="C4500" i="10"/>
  <c r="C4501" i="10"/>
  <c r="C4502" i="10"/>
  <c r="C4503" i="10"/>
  <c r="C4504" i="10"/>
  <c r="C4505" i="10"/>
  <c r="C4506" i="10"/>
  <c r="C4507" i="10"/>
  <c r="C4508" i="10"/>
  <c r="C4509" i="10"/>
  <c r="C4510" i="10"/>
  <c r="C4511" i="10"/>
  <c r="C4512" i="10"/>
  <c r="C4513" i="10"/>
  <c r="C4514" i="10"/>
  <c r="C4515" i="10"/>
  <c r="C4516" i="10"/>
  <c r="C4517" i="10"/>
  <c r="C4518" i="10"/>
  <c r="C4519" i="10"/>
  <c r="C4520" i="10"/>
  <c r="C4521" i="10"/>
  <c r="C4522" i="10"/>
  <c r="C4523" i="10"/>
  <c r="C4524" i="10"/>
  <c r="C4525" i="10"/>
  <c r="C4526" i="10"/>
  <c r="C4527" i="10"/>
  <c r="C4528" i="10"/>
  <c r="C4529" i="10"/>
  <c r="C4530" i="10"/>
  <c r="C4531" i="10"/>
  <c r="C4532" i="10"/>
  <c r="C4533" i="10"/>
  <c r="C4534" i="10"/>
  <c r="C4535" i="10"/>
  <c r="C4536" i="10"/>
  <c r="C4537" i="10"/>
  <c r="C4538" i="10"/>
  <c r="C4539" i="10"/>
  <c r="C4540" i="10"/>
  <c r="C4541" i="10"/>
  <c r="C4542" i="10"/>
  <c r="C4543" i="10"/>
  <c r="C4544" i="10"/>
  <c r="C4545" i="10"/>
  <c r="C4546" i="10"/>
  <c r="C4547" i="10"/>
  <c r="C4548" i="10"/>
  <c r="C4549" i="10"/>
  <c r="C4550" i="10"/>
  <c r="C4551" i="10"/>
  <c r="C4552" i="10"/>
  <c r="C4553" i="10"/>
  <c r="C4554" i="10"/>
  <c r="C4555" i="10"/>
  <c r="C4556" i="10"/>
  <c r="C4557" i="10"/>
  <c r="C4558" i="10"/>
  <c r="C4559" i="10"/>
  <c r="C4560" i="10"/>
  <c r="C4561" i="10"/>
  <c r="C4562" i="10"/>
  <c r="C4563" i="10"/>
  <c r="C4564" i="10"/>
  <c r="C4565" i="10"/>
  <c r="C4566" i="10"/>
  <c r="C4567" i="10"/>
  <c r="C4568" i="10"/>
  <c r="C4569" i="10"/>
  <c r="C4570" i="10"/>
  <c r="C4571" i="10"/>
  <c r="C4572" i="10"/>
  <c r="C4573" i="10"/>
  <c r="C4574" i="10"/>
  <c r="C4575" i="10"/>
  <c r="C4576" i="10"/>
  <c r="C4577" i="10"/>
  <c r="C4578" i="10"/>
  <c r="C4579" i="10"/>
  <c r="C4580" i="10"/>
  <c r="C4581" i="10"/>
  <c r="C4582" i="10"/>
  <c r="C4583" i="10"/>
  <c r="C4584" i="10"/>
  <c r="C4585" i="10"/>
  <c r="C4586" i="10"/>
  <c r="C4587" i="10"/>
  <c r="C4588" i="10"/>
  <c r="C4589" i="10"/>
  <c r="C4590" i="10"/>
  <c r="C4591" i="10"/>
  <c r="C4592" i="10"/>
  <c r="C4593" i="10"/>
  <c r="C4594" i="10"/>
  <c r="C4595" i="10"/>
  <c r="C4596" i="10"/>
  <c r="C4597" i="10"/>
  <c r="C4598" i="10"/>
  <c r="C4599" i="10"/>
  <c r="C4600" i="10"/>
  <c r="C4601" i="10"/>
  <c r="C4602" i="10"/>
  <c r="C4603" i="10"/>
  <c r="C4604" i="10"/>
  <c r="C4605" i="10"/>
  <c r="C4606" i="10"/>
  <c r="C4607" i="10"/>
  <c r="C4608" i="10"/>
  <c r="C4609" i="10"/>
  <c r="C4610" i="10"/>
  <c r="C4611" i="10"/>
  <c r="C4612" i="10"/>
  <c r="C4613" i="10"/>
  <c r="C4614" i="10"/>
  <c r="C4615" i="10"/>
  <c r="C4616" i="10"/>
  <c r="C4617" i="10"/>
  <c r="C4618" i="10"/>
  <c r="C4619" i="10"/>
  <c r="C4620" i="10"/>
  <c r="C4621" i="10"/>
  <c r="C4622" i="10"/>
  <c r="C4623" i="10"/>
  <c r="C4624" i="10"/>
  <c r="C4625" i="10"/>
  <c r="C4626" i="10"/>
  <c r="C4627" i="10"/>
  <c r="C4628" i="10"/>
  <c r="C4629" i="10"/>
  <c r="C4630" i="10"/>
  <c r="C4631" i="10"/>
  <c r="C4632" i="10"/>
  <c r="C4633" i="10"/>
  <c r="C4634" i="10"/>
  <c r="C4635" i="10"/>
  <c r="C4636" i="10"/>
  <c r="C4637" i="10"/>
  <c r="C4638" i="10"/>
  <c r="C4639" i="10"/>
  <c r="C4640" i="10"/>
  <c r="C4641" i="10"/>
  <c r="C4642" i="10"/>
  <c r="C4643" i="10"/>
  <c r="C4644" i="10"/>
  <c r="C4645" i="10"/>
  <c r="C4646" i="10"/>
  <c r="C4647" i="10"/>
  <c r="C4648" i="10"/>
  <c r="C4649" i="10"/>
  <c r="C4650" i="10"/>
  <c r="C4651" i="10"/>
  <c r="C4652" i="10"/>
  <c r="C4653" i="10"/>
  <c r="C4654" i="10"/>
  <c r="C4655" i="10"/>
  <c r="C4656" i="10"/>
  <c r="C4657" i="10"/>
  <c r="C4658" i="10"/>
  <c r="C4659" i="10"/>
  <c r="C4660" i="10"/>
  <c r="C4661" i="10"/>
  <c r="C4662" i="10"/>
  <c r="C4663" i="10"/>
  <c r="C4664" i="10"/>
  <c r="C4665" i="10"/>
  <c r="C4667" i="10"/>
  <c r="C4668" i="10"/>
  <c r="C4804" i="10" s="1"/>
  <c r="C4669" i="10"/>
  <c r="C4670" i="10"/>
  <c r="C4671" i="10"/>
  <c r="C4672" i="10"/>
  <c r="C4673" i="10"/>
  <c r="C4674" i="10"/>
  <c r="C4675" i="10"/>
  <c r="C4676" i="10"/>
  <c r="C4677" i="10"/>
  <c r="C4678" i="10"/>
  <c r="C4679" i="10"/>
  <c r="C4680" i="10"/>
  <c r="C4681" i="10"/>
  <c r="C4682" i="10"/>
  <c r="C4683" i="10"/>
  <c r="C4684" i="10"/>
  <c r="C4685" i="10"/>
  <c r="C4686" i="10"/>
  <c r="C4687" i="10"/>
  <c r="C4688" i="10"/>
  <c r="C4689" i="10"/>
  <c r="C4690" i="10"/>
  <c r="C4691" i="10"/>
  <c r="C4692" i="10"/>
  <c r="C4693" i="10"/>
  <c r="C4694" i="10"/>
  <c r="C4695" i="10"/>
  <c r="C4696" i="10"/>
  <c r="C4697" i="10"/>
  <c r="C4698" i="10"/>
  <c r="C4699" i="10"/>
  <c r="C4700" i="10"/>
  <c r="C4701" i="10"/>
  <c r="C4702" i="10"/>
  <c r="C4703" i="10"/>
  <c r="C4704" i="10"/>
  <c r="C4705" i="10"/>
  <c r="C4706" i="10"/>
  <c r="C4707" i="10"/>
  <c r="C4708" i="10"/>
  <c r="C4709" i="10"/>
  <c r="C4710" i="10"/>
  <c r="C4711" i="10"/>
  <c r="C4712" i="10"/>
  <c r="C4713" i="10"/>
  <c r="C4714" i="10"/>
  <c r="C4715" i="10"/>
  <c r="C4716" i="10"/>
  <c r="C4717" i="10"/>
  <c r="C4718" i="10"/>
  <c r="C4719" i="10"/>
  <c r="C4720" i="10"/>
  <c r="C4721" i="10"/>
  <c r="C4722" i="10"/>
  <c r="C4723" i="10"/>
  <c r="C4724" i="10"/>
  <c r="C4725" i="10"/>
  <c r="C4726" i="10"/>
  <c r="C4727" i="10"/>
  <c r="C4728" i="10"/>
  <c r="C4729" i="10"/>
  <c r="C4730" i="10"/>
  <c r="C4731" i="10"/>
  <c r="C4732" i="10"/>
  <c r="C4733" i="10"/>
  <c r="C4734" i="10"/>
  <c r="C4735" i="10"/>
  <c r="C4736" i="10"/>
  <c r="C4737" i="10"/>
  <c r="C4738" i="10"/>
  <c r="C4739" i="10"/>
  <c r="C4740" i="10"/>
  <c r="C4741" i="10"/>
  <c r="C4742" i="10"/>
  <c r="C4743" i="10"/>
  <c r="C4744" i="10"/>
  <c r="C4745" i="10"/>
  <c r="C4746" i="10"/>
  <c r="C4747" i="10"/>
  <c r="C4748" i="10"/>
  <c r="C4749" i="10"/>
  <c r="C4750" i="10"/>
  <c r="C4751" i="10"/>
  <c r="C4752" i="10"/>
  <c r="C4753" i="10"/>
  <c r="C4754" i="10"/>
  <c r="C4755" i="10"/>
  <c r="C4756" i="10"/>
  <c r="C4757" i="10"/>
  <c r="C4758" i="10"/>
  <c r="C4759" i="10"/>
  <c r="C4760" i="10"/>
  <c r="C4761" i="10"/>
  <c r="C4762" i="10"/>
  <c r="C4763" i="10"/>
  <c r="C4764" i="10"/>
  <c r="C4765" i="10"/>
  <c r="C4766" i="10"/>
  <c r="C4767" i="10"/>
  <c r="C4768" i="10"/>
  <c r="C4769" i="10"/>
  <c r="C4770" i="10"/>
  <c r="C4771" i="10"/>
  <c r="C4772" i="10"/>
  <c r="C4773" i="10"/>
  <c r="C4774" i="10"/>
  <c r="C4775" i="10"/>
  <c r="C4776" i="10"/>
  <c r="C4777" i="10"/>
  <c r="C4778" i="10"/>
  <c r="C4779" i="10"/>
  <c r="C4780" i="10"/>
  <c r="C4781" i="10"/>
  <c r="C4782" i="10"/>
  <c r="C4783" i="10"/>
  <c r="C4784" i="10"/>
  <c r="C4785" i="10"/>
  <c r="C4786" i="10"/>
  <c r="C4787" i="10"/>
  <c r="C4788" i="10"/>
  <c r="C4789" i="10"/>
  <c r="C4790" i="10"/>
  <c r="C4791" i="10"/>
  <c r="C4792" i="10"/>
  <c r="C4793" i="10"/>
  <c r="C4794" i="10"/>
  <c r="C4795" i="10"/>
  <c r="C4796" i="10"/>
  <c r="C4797" i="10"/>
  <c r="C4798" i="10"/>
  <c r="C4799" i="10"/>
  <c r="C4800" i="10"/>
  <c r="C4801" i="10"/>
  <c r="C4802" i="10"/>
  <c r="C4803" i="10"/>
  <c r="A48" i="3"/>
  <c r="F45" i="3"/>
  <c r="E45" i="3"/>
  <c r="D45" i="3"/>
  <c r="C45" i="3"/>
  <c r="B45" i="3"/>
  <c r="A45" i="3"/>
  <c r="A4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Студент KRSU</author>
  </authors>
  <commentList>
    <comment ref="A37" authorId="0" shapeId="0" xr:uid="{B3561B94-6418-4134-9868-C39CA7769461}">
      <text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38" authorId="0" shapeId="0" xr:uid="{AD5D8CAB-38EE-421B-991D-3FB7CD3EFA57}">
      <text>
        <r>
          <rPr>
            <b/>
            <sz val="9"/>
            <color indexed="81"/>
            <rFont val="Tahoma"/>
            <family val="2"/>
            <charset val="204"/>
          </rPr>
          <t>Студент KRSU:</t>
        </r>
        <r>
          <rPr>
            <sz val="9"/>
            <color indexed="81"/>
            <rFont val="Tahoma"/>
            <family val="2"/>
            <charset val="204"/>
          </rPr>
          <t xml:space="preserve">
- среднее значение стипендии у студентов, сдавших информатику на 4;
</t>
        </r>
      </text>
    </comment>
    <comment ref="A41" authorId="0" shapeId="0" xr:uid="{AAF47135-E8FA-4368-A691-15EF0973EBCC}">
      <text>
        <r>
          <rPr>
            <b/>
            <sz val="9"/>
            <color indexed="81"/>
            <rFont val="Tahoma"/>
            <family val="2"/>
            <charset val="204"/>
          </rPr>
          <t>Студент KRSU:</t>
        </r>
        <r>
          <rPr>
            <sz val="9"/>
            <color indexed="81"/>
            <rFont val="Tahoma"/>
            <family val="2"/>
            <charset val="204"/>
          </rPr>
          <t xml:space="preserve">
- число студентов, получивших хотя бы одну тройку;
</t>
        </r>
      </text>
    </comment>
    <comment ref="A45" authorId="0" shapeId="0" xr:uid="{7828854B-14F8-4765-91A2-EFC989DA6981}">
      <text>
        <r>
          <rPr>
            <b/>
            <sz val="9"/>
            <color indexed="81"/>
            <rFont val="Tahoma"/>
            <family val="2"/>
            <charset val="204"/>
          </rPr>
          <t>Студент KRSU:</t>
        </r>
        <r>
          <rPr>
            <sz val="9"/>
            <color indexed="81"/>
            <rFont val="Tahoma"/>
            <family val="2"/>
            <charset val="204"/>
          </rPr>
          <t xml:space="preserve">
- найти студента, получившего по информатике 2, и вывести на экран полную информацию по нему </t>
        </r>
      </text>
    </comment>
    <comment ref="B45" authorId="0" shapeId="0" xr:uid="{EBE6273A-168B-47AA-81B5-11F3ACF91378}">
      <text>
        <r>
          <rPr>
            <b/>
            <sz val="9"/>
            <color indexed="81"/>
            <rFont val="Tahoma"/>
            <family val="2"/>
            <charset val="204"/>
          </rPr>
          <t>Студент KRSU:</t>
        </r>
        <r>
          <rPr>
            <sz val="9"/>
            <color indexed="81"/>
            <rFont val="Tahoma"/>
            <family val="2"/>
            <charset val="204"/>
          </rPr>
          <t xml:space="preserve">
- найти студента, получившего по информатике 2, и вывести на экран полную информацию по нему </t>
        </r>
      </text>
    </comment>
    <comment ref="C45" authorId="0" shapeId="0" xr:uid="{F2B4198E-9071-47EC-89B4-0F62C136D0E3}">
      <text>
        <r>
          <rPr>
            <b/>
            <sz val="9"/>
            <color indexed="81"/>
            <rFont val="Tahoma"/>
            <family val="2"/>
            <charset val="204"/>
          </rPr>
          <t>Студент KRSU:</t>
        </r>
        <r>
          <rPr>
            <sz val="9"/>
            <color indexed="81"/>
            <rFont val="Tahoma"/>
            <family val="2"/>
            <charset val="204"/>
          </rPr>
          <t xml:space="preserve">
- найти студента, получившего по информатике 2, и вывести на экран полную информацию по нему </t>
        </r>
      </text>
    </comment>
    <comment ref="D45" authorId="0" shapeId="0" xr:uid="{497BEFBE-D4CA-4685-9E75-E3A6AF84A048}">
      <text>
        <r>
          <rPr>
            <b/>
            <sz val="9"/>
            <color indexed="81"/>
            <rFont val="Tahoma"/>
            <family val="2"/>
            <charset val="204"/>
          </rPr>
          <t>Студент KRSU:</t>
        </r>
        <r>
          <rPr>
            <sz val="9"/>
            <color indexed="81"/>
            <rFont val="Tahoma"/>
            <family val="2"/>
            <charset val="204"/>
          </rPr>
          <t xml:space="preserve">
- найти студента, получившего по информатике 2, и вывести на экран полную информацию по нему </t>
        </r>
      </text>
    </comment>
    <comment ref="E45" authorId="0" shapeId="0" xr:uid="{80D7A77B-FAE2-42E1-9B21-6B588DAF2B93}">
      <text>
        <r>
          <rPr>
            <b/>
            <sz val="9"/>
            <color indexed="81"/>
            <rFont val="Tahoma"/>
            <family val="2"/>
            <charset val="204"/>
          </rPr>
          <t>Студент KRSU:</t>
        </r>
        <r>
          <rPr>
            <sz val="9"/>
            <color indexed="81"/>
            <rFont val="Tahoma"/>
            <family val="2"/>
            <charset val="204"/>
          </rPr>
          <t xml:space="preserve">
- найти студента, получившего по информатике 2, и вывести на экран полную информацию по нему </t>
        </r>
      </text>
    </comment>
    <comment ref="F45" authorId="0" shapeId="0" xr:uid="{A641465D-1279-49D3-A340-6D25B68157CD}">
      <text>
        <r>
          <rPr>
            <b/>
            <sz val="9"/>
            <color indexed="81"/>
            <rFont val="Tahoma"/>
            <family val="2"/>
            <charset val="204"/>
          </rPr>
          <t>Студент KRSU:</t>
        </r>
        <r>
          <rPr>
            <sz val="9"/>
            <color indexed="81"/>
            <rFont val="Tahoma"/>
            <family val="2"/>
            <charset val="204"/>
          </rPr>
          <t xml:space="preserve">
- найти студента, получившего по информатике 2, и вывести на экран полную информацию по нему </t>
        </r>
      </text>
    </comment>
    <comment ref="A48" authorId="0" shapeId="0" xr:uid="{69ECDB0B-E754-4B52-94B1-2E16E334EFA3}">
      <text>
        <r>
          <rPr>
            <b/>
            <sz val="9"/>
            <color indexed="81"/>
            <rFont val="Tahoma"/>
            <family val="2"/>
            <charset val="204"/>
          </rPr>
          <t>Студент KRSU:</t>
        </r>
        <r>
          <rPr>
            <sz val="9"/>
            <color indexed="81"/>
            <rFont val="Tahoma"/>
            <family val="2"/>
            <charset val="204"/>
          </rPr>
          <t xml:space="preserve">
- найти максимальную стипендию среди студентов, получивших по информатике 4;</t>
        </r>
      </text>
    </comment>
    <comment ref="A51" authorId="0" shapeId="0" xr:uid="{9D8B306A-9306-4570-845C-6D6EEC581836}">
      <text>
        <r>
          <rPr>
            <b/>
            <sz val="9"/>
            <color indexed="81"/>
            <rFont val="Tahoma"/>
            <family val="2"/>
            <charset val="204"/>
          </rPr>
          <t>Студент KRSU:</t>
        </r>
        <r>
          <rPr>
            <sz val="9"/>
            <color indexed="81"/>
            <rFont val="Tahoma"/>
            <family val="2"/>
            <charset val="204"/>
          </rPr>
          <t xml:space="preserve">
- найти сумму стипендий студентов, получивших по информатике 4 и по философии 5.
</t>
        </r>
      </text>
    </comment>
  </commentList>
</comments>
</file>

<file path=xl/sharedStrings.xml><?xml version="1.0" encoding="utf-8"?>
<sst xmlns="http://schemas.openxmlformats.org/spreadsheetml/2006/main" count="5028" uniqueCount="80">
  <si>
    <t>Подгруппа</t>
  </si>
  <si>
    <t>Закупка</t>
  </si>
  <si>
    <t>Хлеб,хлебопродукты</t>
  </si>
  <si>
    <t>Выпечка</t>
  </si>
  <si>
    <t>Кондитерские изделия</t>
  </si>
  <si>
    <t>Дието-, диабетические продукты</t>
  </si>
  <si>
    <t>Детское питание</t>
  </si>
  <si>
    <t>Кофе, кофейные напитки, чай</t>
  </si>
  <si>
    <t>Бакалея</t>
  </si>
  <si>
    <t>Консервы</t>
  </si>
  <si>
    <t>Растительные масла,специи,соусы</t>
  </si>
  <si>
    <t>Алкогольные напитки, пиво</t>
  </si>
  <si>
    <t>Безалкогольные напитки</t>
  </si>
  <si>
    <t>Соки</t>
  </si>
  <si>
    <t>Табачные изделия и средства от похмелья</t>
  </si>
  <si>
    <t>Мясная гастрономия</t>
  </si>
  <si>
    <t>Замороженные продукты</t>
  </si>
  <si>
    <t>Молочные продукты, яйца, майонез</t>
  </si>
  <si>
    <t>Сыры</t>
  </si>
  <si>
    <t>Овощи и фрукты</t>
  </si>
  <si>
    <t>Свежее мясо</t>
  </si>
  <si>
    <t>Птица свежая</t>
  </si>
  <si>
    <t>Собственное производство</t>
  </si>
  <si>
    <t>Кулинария</t>
  </si>
  <si>
    <t>Товары для животных</t>
  </si>
  <si>
    <t>Косметика и парфюмерия</t>
  </si>
  <si>
    <t>Средства личной гигиены</t>
  </si>
  <si>
    <t>Бытовая химия</t>
  </si>
  <si>
    <t>Рыба и морепродукты</t>
  </si>
  <si>
    <t>№</t>
  </si>
  <si>
    <t>Фамилия</t>
  </si>
  <si>
    <t>Математика</t>
  </si>
  <si>
    <t>Философия</t>
  </si>
  <si>
    <t>Культурология</t>
  </si>
  <si>
    <t>Информатика</t>
  </si>
  <si>
    <t xml:space="preserve">Стипендия </t>
  </si>
  <si>
    <t xml:space="preserve">Агафонова </t>
  </si>
  <si>
    <t xml:space="preserve">Алиев </t>
  </si>
  <si>
    <t xml:space="preserve">Аллабердиева </t>
  </si>
  <si>
    <t xml:space="preserve">Аллаярова </t>
  </si>
  <si>
    <t xml:space="preserve">Асанов </t>
  </si>
  <si>
    <t xml:space="preserve">Бозоева </t>
  </si>
  <si>
    <t>Габибова</t>
  </si>
  <si>
    <t xml:space="preserve">Ганзий </t>
  </si>
  <si>
    <t xml:space="preserve">Дегенбаев </t>
  </si>
  <si>
    <t xml:space="preserve">Дулатов </t>
  </si>
  <si>
    <t xml:space="preserve">Жылтыров </t>
  </si>
  <si>
    <t xml:space="preserve">Исабекова </t>
  </si>
  <si>
    <t xml:space="preserve">Исаева </t>
  </si>
  <si>
    <t xml:space="preserve">Исматуллаева </t>
  </si>
  <si>
    <t xml:space="preserve">Каландарова </t>
  </si>
  <si>
    <t xml:space="preserve">Караева </t>
  </si>
  <si>
    <t xml:space="preserve">Командирова </t>
  </si>
  <si>
    <t xml:space="preserve">Кондратьева </t>
  </si>
  <si>
    <t xml:space="preserve">Лоу </t>
  </si>
  <si>
    <t xml:space="preserve">Парфенова </t>
  </si>
  <si>
    <t xml:space="preserve">Проскурина </t>
  </si>
  <si>
    <t xml:space="preserve">Руденко </t>
  </si>
  <si>
    <t xml:space="preserve">Рыштакова </t>
  </si>
  <si>
    <t xml:space="preserve">Саламатова </t>
  </si>
  <si>
    <t xml:space="preserve">Ситникова </t>
  </si>
  <si>
    <t xml:space="preserve">Сметанкина </t>
  </si>
  <si>
    <t xml:space="preserve">Степаненко </t>
  </si>
  <si>
    <t>Сулайманова</t>
  </si>
  <si>
    <t xml:space="preserve">Сулумова </t>
  </si>
  <si>
    <t xml:space="preserve">Цой </t>
  </si>
  <si>
    <t>Задание 1</t>
  </si>
  <si>
    <t>Среднее значение стипендии</t>
  </si>
  <si>
    <t>Число студентов с хотя бы одной тройкой:</t>
  </si>
  <si>
    <t>Студент, получивший по информатике 2:</t>
  </si>
  <si>
    <t>Максимальная стипендия</t>
  </si>
  <si>
    <t>Сумма стипендий</t>
  </si>
  <si>
    <t>Лаб_13</t>
  </si>
  <si>
    <t>Категории</t>
  </si>
  <si>
    <t>Сумма по полю Значение</t>
  </si>
  <si>
    <t>Названия столбцов</t>
  </si>
  <si>
    <t>Названия строк</t>
  </si>
  <si>
    <t>Общий итог</t>
  </si>
  <si>
    <t>Страница1</t>
  </si>
  <si>
    <t>(Все)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</si>
</sst>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4" fillId="0" borderId="0"/>
    <xf numFmtId="0" fontId="3" fillId="0" borderId="0"/>
  </cellStyleXfs>
  <cellXfs count="29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justify" vertical="center" wrapText="1"/>
    </xf>
    <xf numFmtId="2" fontId="0" fillId="0" borderId="0" xfId="0" applyNumberFormat="1" applyAlignment="1"/>
    <xf numFmtId="2" fontId="0" fillId="0" borderId="0" xfId="0" applyNumberFormat="1"/>
    <xf numFmtId="0" fontId="5" fillId="2" borderId="2" xfId="0" applyFont="1" applyFill="1" applyBorder="1" applyAlignment="1">
      <alignment horizontal="center" vertical="center"/>
    </xf>
    <xf numFmtId="0" fontId="0" fillId="3" borderId="0" xfId="0" applyFill="1" applyAlignment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0" borderId="2" xfId="0" applyBorder="1"/>
    <xf numFmtId="0" fontId="5" fillId="2" borderId="0" xfId="0" applyFont="1" applyFill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3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">
    <cellStyle name="Обычный" xfId="0" builtinId="0"/>
    <cellStyle name="Обычный 2_31-03-2010 (2)" xfId="1" xr:uid="{00000000-0005-0000-0000-000001000000}"/>
    <cellStyle name="Обычный 3" xfId="2" xr:uid="{00000000-0005-0000-0000-000002000000}"/>
    <cellStyle name="Стиль 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1.927794560186" createdVersion="8" refreshedVersion="8" minRefreshableVersion="3" recordCount="4776" xr:uid="{8ED3A816-F540-4F9D-AA8B-93C2E24E2E4F}">
  <cacheSource type="consolidation">
    <consolidation>
      <pages count="1">
        <page count="4">
          <pageItem name="Объект1"/>
          <pageItem name="Объект2"/>
          <pageItem name="Объект3"/>
          <pageItem name="Объект4"/>
        </page>
      </pages>
      <rangeSets count="4">
        <rangeSet i1="0" ref="A1:B1244" sheet="Альфа"/>
        <rangeSet i1="1" ref="A1:B1018" sheet="Бета"/>
        <rangeSet i1="2" ref="A1:B1262" sheet="Гамма"/>
        <rangeSet i1="3" ref="A1:B1256" sheet="Дельта"/>
      </rangeSets>
    </consolidation>
  </cacheSource>
  <cacheFields count="4">
    <cacheField name="Строка" numFmtId="0">
      <sharedItems count="27">
        <s v="Хлеб,хлебопродукты"/>
        <s v="Выпечка"/>
        <s v="Кондитерские изделия"/>
        <s v="Дието-, диабетические продукты"/>
        <s v="Детское питание"/>
        <s v="Кофе, кофейные напитки, чай"/>
        <s v="Бакалея"/>
        <s v="Консервы"/>
        <s v="Растительные масла,специи,соусы"/>
        <s v="Алкогольные напитки, пиво"/>
        <s v="Безалкогольные напитки"/>
        <s v="Соки"/>
        <s v="Табачные изделия и средства от похмелья"/>
        <s v="Мясная гастрономия"/>
        <s v="Замороженные продукты"/>
        <s v="Молочные продукты, яйца, майонез"/>
        <s v="Сыры"/>
        <s v="Овощи и фрукты"/>
        <s v="Свежее мясо"/>
        <s v="Птица свежая"/>
        <s v="Собственное производство"/>
        <s v="Кулинария"/>
        <s v="Товары для животных"/>
        <s v="Косметика и парфюмерия"/>
        <s v="Средства личной гигиены"/>
        <s v="Бытовая химия"/>
        <s v="Рыба и морепродукты"/>
      </sharedItems>
    </cacheField>
    <cacheField name="Столбец" numFmtId="0">
      <sharedItems count="1">
        <s v="Закупка"/>
      </sharedItems>
    </cacheField>
    <cacheField name="Значение" numFmtId="0">
      <sharedItems containsSemiMixedTypes="0" containsString="0" containsNumber="1" minValue="-75712.05" maxValue="1768747.25"/>
    </cacheField>
    <cacheField name="Страница1" numFmtId="0">
      <sharedItems count="4">
        <s v="Объект1"/>
        <s v="Объект2"/>
        <s v="Объект3"/>
        <s v="Объект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76">
  <r>
    <x v="0"/>
    <x v="0"/>
    <n v="14902"/>
    <x v="0"/>
  </r>
  <r>
    <x v="1"/>
    <x v="0"/>
    <n v="354936.41"/>
    <x v="0"/>
  </r>
  <r>
    <x v="2"/>
    <x v="0"/>
    <n v="150821.01"/>
    <x v="0"/>
  </r>
  <r>
    <x v="3"/>
    <x v="0"/>
    <n v="6301"/>
    <x v="0"/>
  </r>
  <r>
    <x v="4"/>
    <x v="0"/>
    <n v="5402"/>
    <x v="0"/>
  </r>
  <r>
    <x v="5"/>
    <x v="0"/>
    <n v="219822.79"/>
    <x v="0"/>
  </r>
  <r>
    <x v="6"/>
    <x v="0"/>
    <n v="846540.17"/>
    <x v="0"/>
  </r>
  <r>
    <x v="7"/>
    <x v="0"/>
    <n v="155003.84"/>
    <x v="0"/>
  </r>
  <r>
    <x v="8"/>
    <x v="0"/>
    <n v="264540.7"/>
    <x v="0"/>
  </r>
  <r>
    <x v="9"/>
    <x v="0"/>
    <n v="1642185.39"/>
    <x v="0"/>
  </r>
  <r>
    <x v="10"/>
    <x v="0"/>
    <n v="198209.29"/>
    <x v="0"/>
  </r>
  <r>
    <x v="11"/>
    <x v="0"/>
    <n v="213525.01"/>
    <x v="0"/>
  </r>
  <r>
    <x v="12"/>
    <x v="0"/>
    <n v="21356.6"/>
    <x v="0"/>
  </r>
  <r>
    <x v="13"/>
    <x v="0"/>
    <n v="236199.61"/>
    <x v="0"/>
  </r>
  <r>
    <x v="14"/>
    <x v="0"/>
    <n v="57529.37"/>
    <x v="0"/>
  </r>
  <r>
    <x v="15"/>
    <x v="0"/>
    <n v="826766.17"/>
    <x v="0"/>
  </r>
  <r>
    <x v="16"/>
    <x v="0"/>
    <n v="137484.35999999999"/>
    <x v="0"/>
  </r>
  <r>
    <x v="17"/>
    <x v="0"/>
    <n v="1121886.78"/>
    <x v="0"/>
  </r>
  <r>
    <x v="18"/>
    <x v="0"/>
    <n v="12915.14"/>
    <x v="0"/>
  </r>
  <r>
    <x v="19"/>
    <x v="0"/>
    <n v="11370.08"/>
    <x v="0"/>
  </r>
  <r>
    <x v="20"/>
    <x v="0"/>
    <n v="228397.52"/>
    <x v="0"/>
  </r>
  <r>
    <x v="21"/>
    <x v="0"/>
    <n v="266"/>
    <x v="0"/>
  </r>
  <r>
    <x v="22"/>
    <x v="0"/>
    <n v="1315.48"/>
    <x v="0"/>
  </r>
  <r>
    <x v="23"/>
    <x v="0"/>
    <n v="199015.78"/>
    <x v="0"/>
  </r>
  <r>
    <x v="24"/>
    <x v="0"/>
    <n v="551119.04"/>
    <x v="0"/>
  </r>
  <r>
    <x v="25"/>
    <x v="0"/>
    <n v="389937.87"/>
    <x v="0"/>
  </r>
  <r>
    <x v="0"/>
    <x v="0"/>
    <n v="23182"/>
    <x v="0"/>
  </r>
  <r>
    <x v="1"/>
    <x v="0"/>
    <n v="318564.89"/>
    <x v="0"/>
  </r>
  <r>
    <x v="2"/>
    <x v="0"/>
    <n v="126529.53"/>
    <x v="0"/>
  </r>
  <r>
    <x v="3"/>
    <x v="0"/>
    <n v="3057"/>
    <x v="0"/>
  </r>
  <r>
    <x v="4"/>
    <x v="0"/>
    <n v="3986"/>
    <x v="0"/>
  </r>
  <r>
    <x v="5"/>
    <x v="0"/>
    <n v="281781.92"/>
    <x v="0"/>
  </r>
  <r>
    <x v="6"/>
    <x v="0"/>
    <n v="690201.65"/>
    <x v="0"/>
  </r>
  <r>
    <x v="7"/>
    <x v="0"/>
    <n v="184643.88"/>
    <x v="0"/>
  </r>
  <r>
    <x v="8"/>
    <x v="0"/>
    <n v="427475.1"/>
    <x v="0"/>
  </r>
  <r>
    <x v="9"/>
    <x v="0"/>
    <n v="942577.51"/>
    <x v="0"/>
  </r>
  <r>
    <x v="10"/>
    <x v="0"/>
    <n v="216600.14"/>
    <x v="0"/>
  </r>
  <r>
    <x v="11"/>
    <x v="0"/>
    <n v="201591.99"/>
    <x v="0"/>
  </r>
  <r>
    <x v="12"/>
    <x v="0"/>
    <n v="54630.6"/>
    <x v="0"/>
  </r>
  <r>
    <x v="13"/>
    <x v="0"/>
    <n v="211193.42"/>
    <x v="0"/>
  </r>
  <r>
    <x v="14"/>
    <x v="0"/>
    <n v="30119.42"/>
    <x v="0"/>
  </r>
  <r>
    <x v="15"/>
    <x v="0"/>
    <n v="933452.07"/>
    <x v="0"/>
  </r>
  <r>
    <x v="16"/>
    <x v="0"/>
    <n v="46822.96"/>
    <x v="0"/>
  </r>
  <r>
    <x v="17"/>
    <x v="0"/>
    <n v="1056832.44"/>
    <x v="0"/>
  </r>
  <r>
    <x v="18"/>
    <x v="0"/>
    <n v="9993.66"/>
    <x v="0"/>
  </r>
  <r>
    <x v="19"/>
    <x v="0"/>
    <n v="8142.45"/>
    <x v="0"/>
  </r>
  <r>
    <x v="20"/>
    <x v="0"/>
    <n v="232865.32"/>
    <x v="0"/>
  </r>
  <r>
    <x v="21"/>
    <x v="0"/>
    <n v="76"/>
    <x v="0"/>
  </r>
  <r>
    <x v="22"/>
    <x v="0"/>
    <n v="1705.72"/>
    <x v="0"/>
  </r>
  <r>
    <x v="23"/>
    <x v="0"/>
    <n v="216285.59"/>
    <x v="0"/>
  </r>
  <r>
    <x v="24"/>
    <x v="0"/>
    <n v="501703.57"/>
    <x v="0"/>
  </r>
  <r>
    <x v="25"/>
    <x v="0"/>
    <n v="430318.81"/>
    <x v="0"/>
  </r>
  <r>
    <x v="0"/>
    <x v="0"/>
    <n v="15475"/>
    <x v="0"/>
  </r>
  <r>
    <x v="1"/>
    <x v="0"/>
    <n v="286140.86"/>
    <x v="0"/>
  </r>
  <r>
    <x v="2"/>
    <x v="0"/>
    <n v="119661.79"/>
    <x v="0"/>
  </r>
  <r>
    <x v="3"/>
    <x v="0"/>
    <n v="5045"/>
    <x v="0"/>
  </r>
  <r>
    <x v="4"/>
    <x v="0"/>
    <n v="3654"/>
    <x v="0"/>
  </r>
  <r>
    <x v="5"/>
    <x v="0"/>
    <n v="239213.68"/>
    <x v="0"/>
  </r>
  <r>
    <x v="6"/>
    <x v="0"/>
    <n v="624136.11"/>
    <x v="0"/>
  </r>
  <r>
    <x v="7"/>
    <x v="0"/>
    <n v="152311.51"/>
    <x v="0"/>
  </r>
  <r>
    <x v="8"/>
    <x v="0"/>
    <n v="344656.89"/>
    <x v="0"/>
  </r>
  <r>
    <x v="9"/>
    <x v="0"/>
    <n v="495989.49"/>
    <x v="0"/>
  </r>
  <r>
    <x v="10"/>
    <x v="0"/>
    <n v="195960.3"/>
    <x v="0"/>
  </r>
  <r>
    <x v="11"/>
    <x v="0"/>
    <n v="206041.74"/>
    <x v="0"/>
  </r>
  <r>
    <x v="12"/>
    <x v="0"/>
    <n v="32340"/>
    <x v="0"/>
  </r>
  <r>
    <x v="13"/>
    <x v="0"/>
    <n v="194684.49"/>
    <x v="0"/>
  </r>
  <r>
    <x v="14"/>
    <x v="0"/>
    <n v="40317.519999999997"/>
    <x v="0"/>
  </r>
  <r>
    <x v="15"/>
    <x v="0"/>
    <n v="885869.19"/>
    <x v="0"/>
  </r>
  <r>
    <x v="16"/>
    <x v="0"/>
    <n v="121041.9"/>
    <x v="0"/>
  </r>
  <r>
    <x v="17"/>
    <x v="0"/>
    <n v="1015632.52"/>
    <x v="0"/>
  </r>
  <r>
    <x v="18"/>
    <x v="0"/>
    <n v="12750.03"/>
    <x v="0"/>
  </r>
  <r>
    <x v="19"/>
    <x v="0"/>
    <n v="11761.46"/>
    <x v="0"/>
  </r>
  <r>
    <x v="20"/>
    <x v="0"/>
    <n v="215740.93"/>
    <x v="0"/>
  </r>
  <r>
    <x v="21"/>
    <x v="0"/>
    <n v="361"/>
    <x v="0"/>
  </r>
  <r>
    <x v="22"/>
    <x v="0"/>
    <n v="2133.96"/>
    <x v="0"/>
  </r>
  <r>
    <x v="23"/>
    <x v="0"/>
    <n v="211687.49"/>
    <x v="0"/>
  </r>
  <r>
    <x v="24"/>
    <x v="0"/>
    <n v="528975.64"/>
    <x v="0"/>
  </r>
  <r>
    <x v="25"/>
    <x v="0"/>
    <n v="398531.34"/>
    <x v="0"/>
  </r>
  <r>
    <x v="0"/>
    <x v="0"/>
    <n v="14470"/>
    <x v="0"/>
  </r>
  <r>
    <x v="1"/>
    <x v="0"/>
    <n v="373657.92"/>
    <x v="0"/>
  </r>
  <r>
    <x v="2"/>
    <x v="0"/>
    <n v="117557.83"/>
    <x v="0"/>
  </r>
  <r>
    <x v="3"/>
    <x v="0"/>
    <n v="4531"/>
    <x v="0"/>
  </r>
  <r>
    <x v="4"/>
    <x v="0"/>
    <n v="2314"/>
    <x v="0"/>
  </r>
  <r>
    <x v="5"/>
    <x v="0"/>
    <n v="256245.69"/>
    <x v="0"/>
  </r>
  <r>
    <x v="6"/>
    <x v="0"/>
    <n v="827350.94"/>
    <x v="0"/>
  </r>
  <r>
    <x v="7"/>
    <x v="0"/>
    <n v="165404.28"/>
    <x v="0"/>
  </r>
  <r>
    <x v="8"/>
    <x v="0"/>
    <n v="409805.45"/>
    <x v="0"/>
  </r>
  <r>
    <x v="9"/>
    <x v="0"/>
    <n v="566883.78"/>
    <x v="0"/>
  </r>
  <r>
    <x v="10"/>
    <x v="0"/>
    <n v="245222.89"/>
    <x v="0"/>
  </r>
  <r>
    <x v="11"/>
    <x v="0"/>
    <n v="235750"/>
    <x v="0"/>
  </r>
  <r>
    <x v="12"/>
    <x v="0"/>
    <n v="20418.400000000001"/>
    <x v="0"/>
  </r>
  <r>
    <x v="13"/>
    <x v="0"/>
    <n v="284351.31"/>
    <x v="0"/>
  </r>
  <r>
    <x v="14"/>
    <x v="0"/>
    <n v="104427.6"/>
    <x v="0"/>
  </r>
  <r>
    <x v="15"/>
    <x v="0"/>
    <n v="969901.63"/>
    <x v="0"/>
  </r>
  <r>
    <x v="16"/>
    <x v="0"/>
    <n v="140090.94"/>
    <x v="0"/>
  </r>
  <r>
    <x v="17"/>
    <x v="0"/>
    <n v="1120393.94"/>
    <x v="0"/>
  </r>
  <r>
    <x v="18"/>
    <x v="0"/>
    <n v="11058.12"/>
    <x v="0"/>
  </r>
  <r>
    <x v="19"/>
    <x v="0"/>
    <n v="17365.95"/>
    <x v="0"/>
  </r>
  <r>
    <x v="20"/>
    <x v="0"/>
    <n v="200239.28"/>
    <x v="0"/>
  </r>
  <r>
    <x v="21"/>
    <x v="0"/>
    <n v="133"/>
    <x v="0"/>
  </r>
  <r>
    <x v="22"/>
    <x v="0"/>
    <n v="711.6"/>
    <x v="0"/>
  </r>
  <r>
    <x v="23"/>
    <x v="0"/>
    <n v="216388.36"/>
    <x v="0"/>
  </r>
  <r>
    <x v="24"/>
    <x v="0"/>
    <n v="504392.34"/>
    <x v="0"/>
  </r>
  <r>
    <x v="25"/>
    <x v="0"/>
    <n v="381272.21"/>
    <x v="0"/>
  </r>
  <r>
    <x v="0"/>
    <x v="0"/>
    <n v="10881"/>
    <x v="0"/>
  </r>
  <r>
    <x v="1"/>
    <x v="0"/>
    <n v="453554.61"/>
    <x v="0"/>
  </r>
  <r>
    <x v="2"/>
    <x v="0"/>
    <n v="135409.35"/>
    <x v="0"/>
  </r>
  <r>
    <x v="3"/>
    <x v="0"/>
    <n v="4591"/>
    <x v="0"/>
  </r>
  <r>
    <x v="4"/>
    <x v="0"/>
    <n v="4550"/>
    <x v="0"/>
  </r>
  <r>
    <x v="5"/>
    <x v="0"/>
    <n v="250739.52"/>
    <x v="0"/>
  </r>
  <r>
    <x v="6"/>
    <x v="0"/>
    <n v="745928.41"/>
    <x v="0"/>
  </r>
  <r>
    <x v="7"/>
    <x v="0"/>
    <n v="175935.22"/>
    <x v="0"/>
  </r>
  <r>
    <x v="8"/>
    <x v="0"/>
    <n v="372338.91"/>
    <x v="0"/>
  </r>
  <r>
    <x v="9"/>
    <x v="0"/>
    <n v="946750.28"/>
    <x v="0"/>
  </r>
  <r>
    <x v="10"/>
    <x v="0"/>
    <n v="238323.69"/>
    <x v="0"/>
  </r>
  <r>
    <x v="11"/>
    <x v="0"/>
    <n v="277017.25"/>
    <x v="0"/>
  </r>
  <r>
    <x v="12"/>
    <x v="0"/>
    <n v="16249.6"/>
    <x v="0"/>
  </r>
  <r>
    <x v="26"/>
    <x v="0"/>
    <n v="9675"/>
    <x v="0"/>
  </r>
  <r>
    <x v="13"/>
    <x v="0"/>
    <n v="303395.88"/>
    <x v="0"/>
  </r>
  <r>
    <x v="14"/>
    <x v="0"/>
    <n v="156748.41"/>
    <x v="0"/>
  </r>
  <r>
    <x v="15"/>
    <x v="0"/>
    <n v="904585.96"/>
    <x v="0"/>
  </r>
  <r>
    <x v="16"/>
    <x v="0"/>
    <n v="155647.66"/>
    <x v="0"/>
  </r>
  <r>
    <x v="17"/>
    <x v="0"/>
    <n v="1241720.55"/>
    <x v="0"/>
  </r>
  <r>
    <x v="18"/>
    <x v="0"/>
    <n v="12188.16"/>
    <x v="0"/>
  </r>
  <r>
    <x v="19"/>
    <x v="0"/>
    <n v="8478.31"/>
    <x v="0"/>
  </r>
  <r>
    <x v="20"/>
    <x v="0"/>
    <n v="239982.77"/>
    <x v="0"/>
  </r>
  <r>
    <x v="21"/>
    <x v="0"/>
    <n v="247"/>
    <x v="0"/>
  </r>
  <r>
    <x v="22"/>
    <x v="0"/>
    <n v="1437.44"/>
    <x v="0"/>
  </r>
  <r>
    <x v="23"/>
    <x v="0"/>
    <n v="228994.39"/>
    <x v="0"/>
  </r>
  <r>
    <x v="24"/>
    <x v="0"/>
    <n v="596715.32999999996"/>
    <x v="0"/>
  </r>
  <r>
    <x v="25"/>
    <x v="0"/>
    <n v="447875.21"/>
    <x v="0"/>
  </r>
  <r>
    <x v="0"/>
    <x v="0"/>
    <n v="17343"/>
    <x v="0"/>
  </r>
  <r>
    <x v="1"/>
    <x v="0"/>
    <n v="553352.85"/>
    <x v="0"/>
  </r>
  <r>
    <x v="2"/>
    <x v="0"/>
    <n v="187334.15"/>
    <x v="0"/>
  </r>
  <r>
    <x v="3"/>
    <x v="0"/>
    <n v="12141"/>
    <x v="0"/>
  </r>
  <r>
    <x v="4"/>
    <x v="0"/>
    <n v="176"/>
    <x v="0"/>
  </r>
  <r>
    <x v="5"/>
    <x v="0"/>
    <n v="259594.01"/>
    <x v="0"/>
  </r>
  <r>
    <x v="6"/>
    <x v="0"/>
    <n v="1048995.3899999999"/>
    <x v="0"/>
  </r>
  <r>
    <x v="7"/>
    <x v="0"/>
    <n v="237267.79"/>
    <x v="0"/>
  </r>
  <r>
    <x v="8"/>
    <x v="0"/>
    <n v="474253.91"/>
    <x v="0"/>
  </r>
  <r>
    <x v="9"/>
    <x v="0"/>
    <n v="895284.99"/>
    <x v="0"/>
  </r>
  <r>
    <x v="10"/>
    <x v="0"/>
    <n v="290216.53999999998"/>
    <x v="0"/>
  </r>
  <r>
    <x v="11"/>
    <x v="0"/>
    <n v="308782.5"/>
    <x v="0"/>
  </r>
  <r>
    <x v="12"/>
    <x v="0"/>
    <n v="21282.799999999999"/>
    <x v="0"/>
  </r>
  <r>
    <x v="26"/>
    <x v="0"/>
    <n v="30788"/>
    <x v="0"/>
  </r>
  <r>
    <x v="13"/>
    <x v="0"/>
    <n v="368217.84"/>
    <x v="0"/>
  </r>
  <r>
    <x v="14"/>
    <x v="0"/>
    <n v="196499.23"/>
    <x v="0"/>
  </r>
  <r>
    <x v="15"/>
    <x v="0"/>
    <n v="1110807.0900000001"/>
    <x v="0"/>
  </r>
  <r>
    <x v="16"/>
    <x v="0"/>
    <n v="186971.36"/>
    <x v="0"/>
  </r>
  <r>
    <x v="17"/>
    <x v="0"/>
    <n v="1383643.01"/>
    <x v="0"/>
  </r>
  <r>
    <x v="18"/>
    <x v="0"/>
    <n v="18600.900000000001"/>
    <x v="0"/>
  </r>
  <r>
    <x v="19"/>
    <x v="0"/>
    <n v="21411.75"/>
    <x v="0"/>
  </r>
  <r>
    <x v="20"/>
    <x v="0"/>
    <n v="274278.21999999997"/>
    <x v="0"/>
  </r>
  <r>
    <x v="21"/>
    <x v="0"/>
    <n v="76"/>
    <x v="0"/>
  </r>
  <r>
    <x v="22"/>
    <x v="0"/>
    <n v="3181.12"/>
    <x v="0"/>
  </r>
  <r>
    <x v="23"/>
    <x v="0"/>
    <n v="320100.44"/>
    <x v="0"/>
  </r>
  <r>
    <x v="24"/>
    <x v="0"/>
    <n v="691964.79"/>
    <x v="0"/>
  </r>
  <r>
    <x v="25"/>
    <x v="0"/>
    <n v="650148.07999999996"/>
    <x v="0"/>
  </r>
  <r>
    <x v="0"/>
    <x v="0"/>
    <n v="15420"/>
    <x v="0"/>
  </r>
  <r>
    <x v="1"/>
    <x v="0"/>
    <n v="322703.37"/>
    <x v="0"/>
  </r>
  <r>
    <x v="2"/>
    <x v="0"/>
    <n v="120249.21"/>
    <x v="0"/>
  </r>
  <r>
    <x v="3"/>
    <x v="0"/>
    <n v="3186"/>
    <x v="0"/>
  </r>
  <r>
    <x v="5"/>
    <x v="0"/>
    <n v="272594.28999999998"/>
    <x v="0"/>
  </r>
  <r>
    <x v="6"/>
    <x v="0"/>
    <n v="859080.94"/>
    <x v="0"/>
  </r>
  <r>
    <x v="7"/>
    <x v="0"/>
    <n v="168928.99"/>
    <x v="0"/>
  </r>
  <r>
    <x v="8"/>
    <x v="0"/>
    <n v="415616.13"/>
    <x v="0"/>
  </r>
  <r>
    <x v="9"/>
    <x v="0"/>
    <n v="571208.71"/>
    <x v="0"/>
  </r>
  <r>
    <x v="10"/>
    <x v="0"/>
    <n v="232243.01"/>
    <x v="0"/>
  </r>
  <r>
    <x v="11"/>
    <x v="0"/>
    <n v="253457"/>
    <x v="0"/>
  </r>
  <r>
    <x v="12"/>
    <x v="0"/>
    <n v="20477.2"/>
    <x v="0"/>
  </r>
  <r>
    <x v="26"/>
    <x v="0"/>
    <n v="17892"/>
    <x v="0"/>
  </r>
  <r>
    <x v="13"/>
    <x v="0"/>
    <n v="291470.21000000002"/>
    <x v="0"/>
  </r>
  <r>
    <x v="14"/>
    <x v="0"/>
    <n v="140762.75"/>
    <x v="0"/>
  </r>
  <r>
    <x v="15"/>
    <x v="0"/>
    <n v="950500.19"/>
    <x v="0"/>
  </r>
  <r>
    <x v="16"/>
    <x v="0"/>
    <n v="137408.07999999999"/>
    <x v="0"/>
  </r>
  <r>
    <x v="17"/>
    <x v="0"/>
    <n v="910731.55"/>
    <x v="0"/>
  </r>
  <r>
    <x v="18"/>
    <x v="0"/>
    <n v="9677.2000000000007"/>
    <x v="0"/>
  </r>
  <r>
    <x v="19"/>
    <x v="0"/>
    <n v="16997.080000000002"/>
    <x v="0"/>
  </r>
  <r>
    <x v="20"/>
    <x v="0"/>
    <n v="225704.91"/>
    <x v="0"/>
  </r>
  <r>
    <x v="21"/>
    <x v="0"/>
    <n v="247"/>
    <x v="0"/>
  </r>
  <r>
    <x v="22"/>
    <x v="0"/>
    <n v="4100.92"/>
    <x v="0"/>
  </r>
  <r>
    <x v="23"/>
    <x v="0"/>
    <n v="283245.84000000003"/>
    <x v="0"/>
  </r>
  <r>
    <x v="24"/>
    <x v="0"/>
    <n v="634052.31999999995"/>
    <x v="0"/>
  </r>
  <r>
    <x v="25"/>
    <x v="0"/>
    <n v="479999.58"/>
    <x v="0"/>
  </r>
  <r>
    <x v="0"/>
    <x v="0"/>
    <n v="10522"/>
    <x v="0"/>
  </r>
  <r>
    <x v="1"/>
    <x v="0"/>
    <n v="392228.47"/>
    <x v="0"/>
  </r>
  <r>
    <x v="2"/>
    <x v="0"/>
    <n v="111761.42"/>
    <x v="0"/>
  </r>
  <r>
    <x v="3"/>
    <x v="0"/>
    <n v="1612"/>
    <x v="0"/>
  </r>
  <r>
    <x v="5"/>
    <x v="0"/>
    <n v="189069.35"/>
    <x v="0"/>
  </r>
  <r>
    <x v="6"/>
    <x v="0"/>
    <n v="876524.68"/>
    <x v="0"/>
  </r>
  <r>
    <x v="7"/>
    <x v="0"/>
    <n v="149540.37"/>
    <x v="0"/>
  </r>
  <r>
    <x v="8"/>
    <x v="0"/>
    <n v="329764.09999999998"/>
    <x v="0"/>
  </r>
  <r>
    <x v="9"/>
    <x v="0"/>
    <n v="887055.34"/>
    <x v="0"/>
  </r>
  <r>
    <x v="10"/>
    <x v="0"/>
    <n v="194078.29"/>
    <x v="0"/>
  </r>
  <r>
    <x v="11"/>
    <x v="0"/>
    <n v="206769"/>
    <x v="0"/>
  </r>
  <r>
    <x v="12"/>
    <x v="0"/>
    <n v="16978.400000000001"/>
    <x v="0"/>
  </r>
  <r>
    <x v="26"/>
    <x v="0"/>
    <n v="18224"/>
    <x v="0"/>
  </r>
  <r>
    <x v="13"/>
    <x v="0"/>
    <n v="236336.13"/>
    <x v="0"/>
  </r>
  <r>
    <x v="14"/>
    <x v="0"/>
    <n v="127016.73"/>
    <x v="0"/>
  </r>
  <r>
    <x v="15"/>
    <x v="0"/>
    <n v="915303.52"/>
    <x v="0"/>
  </r>
  <r>
    <x v="16"/>
    <x v="0"/>
    <n v="134627.26"/>
    <x v="0"/>
  </r>
  <r>
    <x v="17"/>
    <x v="0"/>
    <n v="728454.52"/>
    <x v="0"/>
  </r>
  <r>
    <x v="18"/>
    <x v="0"/>
    <n v="12510.1"/>
    <x v="0"/>
  </r>
  <r>
    <x v="19"/>
    <x v="0"/>
    <n v="24471.8"/>
    <x v="0"/>
  </r>
  <r>
    <x v="20"/>
    <x v="0"/>
    <n v="218939.83"/>
    <x v="0"/>
  </r>
  <r>
    <x v="21"/>
    <x v="0"/>
    <n v="114"/>
    <x v="0"/>
  </r>
  <r>
    <x v="22"/>
    <x v="0"/>
    <n v="3247.72"/>
    <x v="0"/>
  </r>
  <r>
    <x v="23"/>
    <x v="0"/>
    <n v="219850.83"/>
    <x v="0"/>
  </r>
  <r>
    <x v="24"/>
    <x v="0"/>
    <n v="561850.92000000004"/>
    <x v="0"/>
  </r>
  <r>
    <x v="25"/>
    <x v="0"/>
    <n v="474667.3"/>
    <x v="0"/>
  </r>
  <r>
    <x v="0"/>
    <x v="0"/>
    <n v="12621"/>
    <x v="0"/>
  </r>
  <r>
    <x v="1"/>
    <x v="0"/>
    <n v="407225.14"/>
    <x v="0"/>
  </r>
  <r>
    <x v="2"/>
    <x v="0"/>
    <n v="138949.54999999999"/>
    <x v="0"/>
  </r>
  <r>
    <x v="3"/>
    <x v="0"/>
    <n v="3156"/>
    <x v="0"/>
  </r>
  <r>
    <x v="5"/>
    <x v="0"/>
    <n v="142190.32"/>
    <x v="0"/>
  </r>
  <r>
    <x v="6"/>
    <x v="0"/>
    <n v="745202.73"/>
    <x v="0"/>
  </r>
  <r>
    <x v="7"/>
    <x v="0"/>
    <n v="95463.98"/>
    <x v="0"/>
  </r>
  <r>
    <x v="8"/>
    <x v="0"/>
    <n v="276111.99"/>
    <x v="0"/>
  </r>
  <r>
    <x v="9"/>
    <x v="0"/>
    <n v="631649.68999999994"/>
    <x v="0"/>
  </r>
  <r>
    <x v="10"/>
    <x v="0"/>
    <n v="209240.9"/>
    <x v="0"/>
  </r>
  <r>
    <x v="11"/>
    <x v="0"/>
    <n v="191582"/>
    <x v="0"/>
  </r>
  <r>
    <x v="12"/>
    <x v="0"/>
    <n v="7830.8"/>
    <x v="0"/>
  </r>
  <r>
    <x v="26"/>
    <x v="0"/>
    <n v="14543"/>
    <x v="0"/>
  </r>
  <r>
    <x v="13"/>
    <x v="0"/>
    <n v="212585.87"/>
    <x v="0"/>
  </r>
  <r>
    <x v="14"/>
    <x v="0"/>
    <n v="54263.66"/>
    <x v="0"/>
  </r>
  <r>
    <x v="15"/>
    <x v="0"/>
    <n v="626836.66"/>
    <x v="0"/>
  </r>
  <r>
    <x v="16"/>
    <x v="0"/>
    <n v="99099.6"/>
    <x v="0"/>
  </r>
  <r>
    <x v="17"/>
    <x v="0"/>
    <n v="784023.65"/>
    <x v="0"/>
  </r>
  <r>
    <x v="18"/>
    <x v="0"/>
    <n v="11367.86"/>
    <x v="0"/>
  </r>
  <r>
    <x v="19"/>
    <x v="0"/>
    <n v="9428.77"/>
    <x v="0"/>
  </r>
  <r>
    <x v="20"/>
    <x v="0"/>
    <n v="232231.89"/>
    <x v="0"/>
  </r>
  <r>
    <x v="21"/>
    <x v="0"/>
    <n v="133"/>
    <x v="0"/>
  </r>
  <r>
    <x v="22"/>
    <x v="0"/>
    <n v="2740.72"/>
    <x v="0"/>
  </r>
  <r>
    <x v="23"/>
    <x v="0"/>
    <n v="199352.67"/>
    <x v="0"/>
  </r>
  <r>
    <x v="24"/>
    <x v="0"/>
    <n v="422931.65"/>
    <x v="0"/>
  </r>
  <r>
    <x v="25"/>
    <x v="0"/>
    <n v="335197.64"/>
    <x v="0"/>
  </r>
  <r>
    <x v="0"/>
    <x v="0"/>
    <n v="10299"/>
    <x v="0"/>
  </r>
  <r>
    <x v="1"/>
    <x v="0"/>
    <n v="265835.34000000003"/>
    <x v="0"/>
  </r>
  <r>
    <x v="2"/>
    <x v="0"/>
    <n v="86174.43"/>
    <x v="0"/>
  </r>
  <r>
    <x v="3"/>
    <x v="0"/>
    <n v="4234"/>
    <x v="0"/>
  </r>
  <r>
    <x v="4"/>
    <x v="0"/>
    <n v="1422"/>
    <x v="0"/>
  </r>
  <r>
    <x v="5"/>
    <x v="0"/>
    <n v="155948.17000000001"/>
    <x v="0"/>
  </r>
  <r>
    <x v="6"/>
    <x v="0"/>
    <n v="660077.09"/>
    <x v="0"/>
  </r>
  <r>
    <x v="7"/>
    <x v="0"/>
    <n v="137820.67000000001"/>
    <x v="0"/>
  </r>
  <r>
    <x v="8"/>
    <x v="0"/>
    <n v="278578.14"/>
    <x v="0"/>
  </r>
  <r>
    <x v="9"/>
    <x v="0"/>
    <n v="458429.94"/>
    <x v="0"/>
  </r>
  <r>
    <x v="10"/>
    <x v="0"/>
    <n v="180457.89"/>
    <x v="0"/>
  </r>
  <r>
    <x v="11"/>
    <x v="0"/>
    <n v="173752.99"/>
    <x v="0"/>
  </r>
  <r>
    <x v="12"/>
    <x v="0"/>
    <n v="11204.2"/>
    <x v="0"/>
  </r>
  <r>
    <x v="26"/>
    <x v="0"/>
    <n v="9402"/>
    <x v="0"/>
  </r>
  <r>
    <x v="13"/>
    <x v="0"/>
    <n v="175229.51"/>
    <x v="0"/>
  </r>
  <r>
    <x v="14"/>
    <x v="0"/>
    <n v="123858.26"/>
    <x v="0"/>
  </r>
  <r>
    <x v="15"/>
    <x v="0"/>
    <n v="794108.24"/>
    <x v="0"/>
  </r>
  <r>
    <x v="16"/>
    <x v="0"/>
    <n v="89895"/>
    <x v="0"/>
  </r>
  <r>
    <x v="17"/>
    <x v="0"/>
    <n v="741810.34"/>
    <x v="0"/>
  </r>
  <r>
    <x v="18"/>
    <x v="0"/>
    <n v="11037.35"/>
    <x v="0"/>
  </r>
  <r>
    <x v="19"/>
    <x v="0"/>
    <n v="8652"/>
    <x v="0"/>
  </r>
  <r>
    <x v="20"/>
    <x v="0"/>
    <n v="188259.46"/>
    <x v="0"/>
  </r>
  <r>
    <x v="21"/>
    <x v="0"/>
    <n v="76"/>
    <x v="0"/>
  </r>
  <r>
    <x v="22"/>
    <x v="0"/>
    <n v="2148.64"/>
    <x v="0"/>
  </r>
  <r>
    <x v="23"/>
    <x v="0"/>
    <n v="141382.29999999999"/>
    <x v="0"/>
  </r>
  <r>
    <x v="24"/>
    <x v="0"/>
    <n v="392714.46"/>
    <x v="0"/>
  </r>
  <r>
    <x v="25"/>
    <x v="0"/>
    <n v="306469.40999999997"/>
    <x v="0"/>
  </r>
  <r>
    <x v="0"/>
    <x v="0"/>
    <n v="10607"/>
    <x v="0"/>
  </r>
  <r>
    <x v="1"/>
    <x v="0"/>
    <n v="284122.39"/>
    <x v="0"/>
  </r>
  <r>
    <x v="2"/>
    <x v="0"/>
    <n v="128450.94"/>
    <x v="0"/>
  </r>
  <r>
    <x v="3"/>
    <x v="0"/>
    <n v="2245"/>
    <x v="0"/>
  </r>
  <r>
    <x v="5"/>
    <x v="0"/>
    <n v="139197.93"/>
    <x v="0"/>
  </r>
  <r>
    <x v="6"/>
    <x v="0"/>
    <n v="731962.54"/>
    <x v="0"/>
  </r>
  <r>
    <x v="7"/>
    <x v="0"/>
    <n v="131298.91"/>
    <x v="0"/>
  </r>
  <r>
    <x v="8"/>
    <x v="0"/>
    <n v="273562.40999999997"/>
    <x v="0"/>
  </r>
  <r>
    <x v="9"/>
    <x v="0"/>
    <n v="556262.94999999995"/>
    <x v="0"/>
  </r>
  <r>
    <x v="10"/>
    <x v="0"/>
    <n v="185506.28"/>
    <x v="0"/>
  </r>
  <r>
    <x v="11"/>
    <x v="0"/>
    <n v="163691"/>
    <x v="0"/>
  </r>
  <r>
    <x v="12"/>
    <x v="0"/>
    <n v="15134.4"/>
    <x v="0"/>
  </r>
  <r>
    <x v="26"/>
    <x v="0"/>
    <n v="20006"/>
    <x v="0"/>
  </r>
  <r>
    <x v="13"/>
    <x v="0"/>
    <n v="192461.89"/>
    <x v="0"/>
  </r>
  <r>
    <x v="14"/>
    <x v="0"/>
    <n v="97786.36"/>
    <x v="0"/>
  </r>
  <r>
    <x v="15"/>
    <x v="0"/>
    <n v="744603.9"/>
    <x v="0"/>
  </r>
  <r>
    <x v="16"/>
    <x v="0"/>
    <n v="90469.54"/>
    <x v="0"/>
  </r>
  <r>
    <x v="17"/>
    <x v="0"/>
    <n v="720360.39"/>
    <x v="0"/>
  </r>
  <r>
    <x v="18"/>
    <x v="0"/>
    <n v="17073.98"/>
    <x v="0"/>
  </r>
  <r>
    <x v="19"/>
    <x v="0"/>
    <n v="5578.3"/>
    <x v="0"/>
  </r>
  <r>
    <x v="20"/>
    <x v="0"/>
    <n v="192006.52"/>
    <x v="0"/>
  </r>
  <r>
    <x v="21"/>
    <x v="0"/>
    <n v="152"/>
    <x v="0"/>
  </r>
  <r>
    <x v="22"/>
    <x v="0"/>
    <n v="4563.92"/>
    <x v="0"/>
  </r>
  <r>
    <x v="23"/>
    <x v="0"/>
    <n v="161464.59"/>
    <x v="0"/>
  </r>
  <r>
    <x v="24"/>
    <x v="0"/>
    <n v="399187.35"/>
    <x v="0"/>
  </r>
  <r>
    <x v="25"/>
    <x v="0"/>
    <n v="303607.75"/>
    <x v="0"/>
  </r>
  <r>
    <x v="0"/>
    <x v="0"/>
    <n v="16610"/>
    <x v="0"/>
  </r>
  <r>
    <x v="1"/>
    <x v="0"/>
    <n v="379990.91"/>
    <x v="0"/>
  </r>
  <r>
    <x v="2"/>
    <x v="0"/>
    <n v="171432.56"/>
    <x v="0"/>
  </r>
  <r>
    <x v="3"/>
    <x v="0"/>
    <n v="1793"/>
    <x v="0"/>
  </r>
  <r>
    <x v="5"/>
    <x v="0"/>
    <n v="231030.34"/>
    <x v="0"/>
  </r>
  <r>
    <x v="6"/>
    <x v="0"/>
    <n v="875078.31"/>
    <x v="0"/>
  </r>
  <r>
    <x v="7"/>
    <x v="0"/>
    <n v="183271.75"/>
    <x v="0"/>
  </r>
  <r>
    <x v="8"/>
    <x v="0"/>
    <n v="346553.17"/>
    <x v="0"/>
  </r>
  <r>
    <x v="9"/>
    <x v="0"/>
    <n v="761982.41"/>
    <x v="0"/>
  </r>
  <r>
    <x v="10"/>
    <x v="0"/>
    <n v="356954"/>
    <x v="0"/>
  </r>
  <r>
    <x v="11"/>
    <x v="0"/>
    <n v="223403.99"/>
    <x v="0"/>
  </r>
  <r>
    <x v="12"/>
    <x v="0"/>
    <n v="62433.2"/>
    <x v="0"/>
  </r>
  <r>
    <x v="26"/>
    <x v="0"/>
    <n v="17191"/>
    <x v="0"/>
  </r>
  <r>
    <x v="13"/>
    <x v="0"/>
    <n v="272519.43"/>
    <x v="0"/>
  </r>
  <r>
    <x v="14"/>
    <x v="0"/>
    <n v="97920.41"/>
    <x v="0"/>
  </r>
  <r>
    <x v="15"/>
    <x v="0"/>
    <n v="1027577.89"/>
    <x v="0"/>
  </r>
  <r>
    <x v="16"/>
    <x v="0"/>
    <n v="147779.1"/>
    <x v="0"/>
  </r>
  <r>
    <x v="17"/>
    <x v="0"/>
    <n v="1052790.9099999999"/>
    <x v="0"/>
  </r>
  <r>
    <x v="18"/>
    <x v="0"/>
    <n v="19954.71"/>
    <x v="0"/>
  </r>
  <r>
    <x v="19"/>
    <x v="0"/>
    <n v="9678.9"/>
    <x v="0"/>
  </r>
  <r>
    <x v="20"/>
    <x v="0"/>
    <n v="202521.66"/>
    <x v="0"/>
  </r>
  <r>
    <x v="21"/>
    <x v="0"/>
    <n v="209"/>
    <x v="0"/>
  </r>
  <r>
    <x v="22"/>
    <x v="0"/>
    <n v="4828.32"/>
    <x v="0"/>
  </r>
  <r>
    <x v="23"/>
    <x v="0"/>
    <n v="227563.67"/>
    <x v="0"/>
  </r>
  <r>
    <x v="24"/>
    <x v="0"/>
    <n v="561308.91"/>
    <x v="0"/>
  </r>
  <r>
    <x v="25"/>
    <x v="0"/>
    <n v="426845.68"/>
    <x v="0"/>
  </r>
  <r>
    <x v="0"/>
    <x v="0"/>
    <n v="13833"/>
    <x v="0"/>
  </r>
  <r>
    <x v="1"/>
    <x v="0"/>
    <n v="521829.37"/>
    <x v="0"/>
  </r>
  <r>
    <x v="2"/>
    <x v="0"/>
    <n v="186159.65"/>
    <x v="0"/>
  </r>
  <r>
    <x v="3"/>
    <x v="0"/>
    <n v="1871"/>
    <x v="0"/>
  </r>
  <r>
    <x v="5"/>
    <x v="0"/>
    <n v="347203.69"/>
    <x v="0"/>
  </r>
  <r>
    <x v="6"/>
    <x v="0"/>
    <n v="1020902.61"/>
    <x v="0"/>
  </r>
  <r>
    <x v="7"/>
    <x v="0"/>
    <n v="180597.07"/>
    <x v="0"/>
  </r>
  <r>
    <x v="8"/>
    <x v="0"/>
    <n v="445883.46"/>
    <x v="0"/>
  </r>
  <r>
    <x v="9"/>
    <x v="0"/>
    <n v="770041.4"/>
    <x v="0"/>
  </r>
  <r>
    <x v="10"/>
    <x v="0"/>
    <n v="330115.84000000003"/>
    <x v="0"/>
  </r>
  <r>
    <x v="11"/>
    <x v="0"/>
    <n v="274616.99"/>
    <x v="0"/>
  </r>
  <r>
    <x v="12"/>
    <x v="0"/>
    <n v="24993.200000000001"/>
    <x v="0"/>
  </r>
  <r>
    <x v="26"/>
    <x v="0"/>
    <n v="30251"/>
    <x v="0"/>
  </r>
  <r>
    <x v="13"/>
    <x v="0"/>
    <n v="417673.89"/>
    <x v="0"/>
  </r>
  <r>
    <x v="14"/>
    <x v="0"/>
    <n v="275586.89"/>
    <x v="0"/>
  </r>
  <r>
    <x v="15"/>
    <x v="0"/>
    <n v="1169548.9099999999"/>
    <x v="0"/>
  </r>
  <r>
    <x v="16"/>
    <x v="0"/>
    <n v="204069.04"/>
    <x v="0"/>
  </r>
  <r>
    <x v="17"/>
    <x v="0"/>
    <n v="1017193.7"/>
    <x v="0"/>
  </r>
  <r>
    <x v="18"/>
    <x v="0"/>
    <n v="17522.990000000002"/>
    <x v="0"/>
  </r>
  <r>
    <x v="19"/>
    <x v="0"/>
    <n v="7866.6"/>
    <x v="0"/>
  </r>
  <r>
    <x v="20"/>
    <x v="0"/>
    <n v="261118.86"/>
    <x v="0"/>
  </r>
  <r>
    <x v="21"/>
    <x v="0"/>
    <n v="152"/>
    <x v="0"/>
  </r>
  <r>
    <x v="22"/>
    <x v="0"/>
    <n v="5754.16"/>
    <x v="0"/>
  </r>
  <r>
    <x v="23"/>
    <x v="0"/>
    <n v="315371.5"/>
    <x v="0"/>
  </r>
  <r>
    <x v="24"/>
    <x v="0"/>
    <n v="630647.32999999996"/>
    <x v="0"/>
  </r>
  <r>
    <x v="25"/>
    <x v="0"/>
    <n v="567505.80000000005"/>
    <x v="0"/>
  </r>
  <r>
    <x v="0"/>
    <x v="0"/>
    <n v="13628"/>
    <x v="0"/>
  </r>
  <r>
    <x v="1"/>
    <x v="0"/>
    <n v="384121.62"/>
    <x v="0"/>
  </r>
  <r>
    <x v="2"/>
    <x v="0"/>
    <n v="170422.8"/>
    <x v="0"/>
  </r>
  <r>
    <x v="3"/>
    <x v="0"/>
    <n v="3316"/>
    <x v="0"/>
  </r>
  <r>
    <x v="5"/>
    <x v="0"/>
    <n v="271932.99"/>
    <x v="0"/>
  </r>
  <r>
    <x v="6"/>
    <x v="0"/>
    <n v="886450"/>
    <x v="0"/>
  </r>
  <r>
    <x v="7"/>
    <x v="0"/>
    <n v="138097"/>
    <x v="0"/>
  </r>
  <r>
    <x v="8"/>
    <x v="0"/>
    <n v="395878"/>
    <x v="0"/>
  </r>
  <r>
    <x v="9"/>
    <x v="0"/>
    <n v="498169.42"/>
    <x v="0"/>
  </r>
  <r>
    <x v="10"/>
    <x v="0"/>
    <n v="226196.59"/>
    <x v="0"/>
  </r>
  <r>
    <x v="11"/>
    <x v="0"/>
    <n v="201623.99"/>
    <x v="0"/>
  </r>
  <r>
    <x v="12"/>
    <x v="0"/>
    <n v="16439.8"/>
    <x v="0"/>
  </r>
  <r>
    <x v="26"/>
    <x v="0"/>
    <n v="17875"/>
    <x v="0"/>
  </r>
  <r>
    <x v="13"/>
    <x v="0"/>
    <n v="268971.65000000002"/>
    <x v="0"/>
  </r>
  <r>
    <x v="14"/>
    <x v="0"/>
    <n v="126422.78"/>
    <x v="0"/>
  </r>
  <r>
    <x v="15"/>
    <x v="0"/>
    <n v="893624.03"/>
    <x v="0"/>
  </r>
  <r>
    <x v="16"/>
    <x v="0"/>
    <n v="148000.48000000001"/>
    <x v="0"/>
  </r>
  <r>
    <x v="17"/>
    <x v="0"/>
    <n v="732357.92"/>
    <x v="0"/>
  </r>
  <r>
    <x v="18"/>
    <x v="0"/>
    <n v="10304.700000000001"/>
    <x v="0"/>
  </r>
  <r>
    <x v="19"/>
    <x v="0"/>
    <n v="5517.4"/>
    <x v="0"/>
  </r>
  <r>
    <x v="20"/>
    <x v="0"/>
    <n v="230156.25"/>
    <x v="0"/>
  </r>
  <r>
    <x v="21"/>
    <x v="0"/>
    <n v="38"/>
    <x v="0"/>
  </r>
  <r>
    <x v="22"/>
    <x v="0"/>
    <n v="5485.6"/>
    <x v="0"/>
  </r>
  <r>
    <x v="23"/>
    <x v="0"/>
    <n v="297810.48"/>
    <x v="0"/>
  </r>
  <r>
    <x v="24"/>
    <x v="0"/>
    <n v="546210.89"/>
    <x v="0"/>
  </r>
  <r>
    <x v="25"/>
    <x v="0"/>
    <n v="531187.43000000005"/>
    <x v="0"/>
  </r>
  <r>
    <x v="0"/>
    <x v="0"/>
    <n v="8316"/>
    <x v="0"/>
  </r>
  <r>
    <x v="1"/>
    <x v="0"/>
    <n v="320200.55"/>
    <x v="0"/>
  </r>
  <r>
    <x v="2"/>
    <x v="0"/>
    <n v="131559.66"/>
    <x v="0"/>
  </r>
  <r>
    <x v="3"/>
    <x v="0"/>
    <n v="2149"/>
    <x v="0"/>
  </r>
  <r>
    <x v="4"/>
    <x v="0"/>
    <n v="1512"/>
    <x v="0"/>
  </r>
  <r>
    <x v="5"/>
    <x v="0"/>
    <n v="436341.51"/>
    <x v="0"/>
  </r>
  <r>
    <x v="6"/>
    <x v="0"/>
    <n v="778942.91"/>
    <x v="0"/>
  </r>
  <r>
    <x v="7"/>
    <x v="0"/>
    <n v="110758.45"/>
    <x v="0"/>
  </r>
  <r>
    <x v="8"/>
    <x v="0"/>
    <n v="301966.59000000003"/>
    <x v="0"/>
  </r>
  <r>
    <x v="9"/>
    <x v="0"/>
    <n v="407780.47"/>
    <x v="0"/>
  </r>
  <r>
    <x v="10"/>
    <x v="0"/>
    <n v="198548.5"/>
    <x v="0"/>
  </r>
  <r>
    <x v="11"/>
    <x v="0"/>
    <n v="176819"/>
    <x v="0"/>
  </r>
  <r>
    <x v="12"/>
    <x v="0"/>
    <n v="12335"/>
    <x v="0"/>
  </r>
  <r>
    <x v="26"/>
    <x v="0"/>
    <n v="17996"/>
    <x v="0"/>
  </r>
  <r>
    <x v="13"/>
    <x v="0"/>
    <n v="238156.37"/>
    <x v="0"/>
  </r>
  <r>
    <x v="14"/>
    <x v="0"/>
    <n v="150617.34"/>
    <x v="0"/>
  </r>
  <r>
    <x v="15"/>
    <x v="0"/>
    <n v="721656.6"/>
    <x v="0"/>
  </r>
  <r>
    <x v="16"/>
    <x v="0"/>
    <n v="127359.48"/>
    <x v="0"/>
  </r>
  <r>
    <x v="17"/>
    <x v="0"/>
    <n v="698705.27"/>
    <x v="0"/>
  </r>
  <r>
    <x v="18"/>
    <x v="0"/>
    <n v="6577.92"/>
    <x v="0"/>
  </r>
  <r>
    <x v="19"/>
    <x v="0"/>
    <n v="1881.6"/>
    <x v="0"/>
  </r>
  <r>
    <x v="20"/>
    <x v="0"/>
    <n v="193535.6"/>
    <x v="0"/>
  </r>
  <r>
    <x v="21"/>
    <x v="0"/>
    <n v="114"/>
    <x v="0"/>
  </r>
  <r>
    <x v="22"/>
    <x v="0"/>
    <n v="4468.2"/>
    <x v="0"/>
  </r>
  <r>
    <x v="23"/>
    <x v="0"/>
    <n v="207416.08"/>
    <x v="0"/>
  </r>
  <r>
    <x v="24"/>
    <x v="0"/>
    <n v="424705.39"/>
    <x v="0"/>
  </r>
  <r>
    <x v="25"/>
    <x v="0"/>
    <n v="363894.68"/>
    <x v="0"/>
  </r>
  <r>
    <x v="0"/>
    <x v="0"/>
    <n v="9156.36"/>
    <x v="0"/>
  </r>
  <r>
    <x v="1"/>
    <x v="0"/>
    <n v="316567.18"/>
    <x v="0"/>
  </r>
  <r>
    <x v="2"/>
    <x v="0"/>
    <n v="166826.54"/>
    <x v="0"/>
  </r>
  <r>
    <x v="3"/>
    <x v="0"/>
    <n v="309"/>
    <x v="0"/>
  </r>
  <r>
    <x v="5"/>
    <x v="0"/>
    <n v="216064.82"/>
    <x v="0"/>
  </r>
  <r>
    <x v="6"/>
    <x v="0"/>
    <n v="792596.97"/>
    <x v="0"/>
  </r>
  <r>
    <x v="7"/>
    <x v="0"/>
    <n v="144933.9"/>
    <x v="0"/>
  </r>
  <r>
    <x v="8"/>
    <x v="0"/>
    <n v="337763.82"/>
    <x v="0"/>
  </r>
  <r>
    <x v="9"/>
    <x v="0"/>
    <n v="427832.47"/>
    <x v="0"/>
  </r>
  <r>
    <x v="10"/>
    <x v="0"/>
    <n v="195618.3"/>
    <x v="0"/>
  </r>
  <r>
    <x v="11"/>
    <x v="0"/>
    <n v="170376"/>
    <x v="0"/>
  </r>
  <r>
    <x v="12"/>
    <x v="0"/>
    <n v="14643.6"/>
    <x v="0"/>
  </r>
  <r>
    <x v="26"/>
    <x v="0"/>
    <n v="15590"/>
    <x v="0"/>
  </r>
  <r>
    <x v="13"/>
    <x v="0"/>
    <n v="223876.28"/>
    <x v="0"/>
  </r>
  <r>
    <x v="14"/>
    <x v="0"/>
    <n v="118410.5"/>
    <x v="0"/>
  </r>
  <r>
    <x v="15"/>
    <x v="0"/>
    <n v="895232.6"/>
    <x v="0"/>
  </r>
  <r>
    <x v="16"/>
    <x v="0"/>
    <n v="182187.88"/>
    <x v="0"/>
  </r>
  <r>
    <x v="17"/>
    <x v="0"/>
    <n v="938882.49"/>
    <x v="0"/>
  </r>
  <r>
    <x v="18"/>
    <x v="0"/>
    <n v="12004.36"/>
    <x v="0"/>
  </r>
  <r>
    <x v="19"/>
    <x v="0"/>
    <n v="4442.8999999999996"/>
    <x v="0"/>
  </r>
  <r>
    <x v="20"/>
    <x v="0"/>
    <n v="192673.31"/>
    <x v="0"/>
  </r>
  <r>
    <x v="21"/>
    <x v="0"/>
    <n v="171"/>
    <x v="0"/>
  </r>
  <r>
    <x v="22"/>
    <x v="0"/>
    <n v="4003.72"/>
    <x v="0"/>
  </r>
  <r>
    <x v="23"/>
    <x v="0"/>
    <n v="185523.78"/>
    <x v="0"/>
  </r>
  <r>
    <x v="24"/>
    <x v="0"/>
    <n v="494779.37"/>
    <x v="0"/>
  </r>
  <r>
    <x v="25"/>
    <x v="0"/>
    <n v="415778.08"/>
    <x v="0"/>
  </r>
  <r>
    <x v="0"/>
    <x v="0"/>
    <n v="12194.75"/>
    <x v="0"/>
  </r>
  <r>
    <x v="1"/>
    <x v="0"/>
    <n v="343114.38"/>
    <x v="0"/>
  </r>
  <r>
    <x v="2"/>
    <x v="0"/>
    <n v="185118.94"/>
    <x v="0"/>
  </r>
  <r>
    <x v="3"/>
    <x v="0"/>
    <n v="944"/>
    <x v="0"/>
  </r>
  <r>
    <x v="5"/>
    <x v="0"/>
    <n v="204872.76"/>
    <x v="0"/>
  </r>
  <r>
    <x v="6"/>
    <x v="0"/>
    <n v="1033466.7"/>
    <x v="0"/>
  </r>
  <r>
    <x v="7"/>
    <x v="0"/>
    <n v="136715.56"/>
    <x v="0"/>
  </r>
  <r>
    <x v="8"/>
    <x v="0"/>
    <n v="278397.03999999998"/>
    <x v="0"/>
  </r>
  <r>
    <x v="9"/>
    <x v="0"/>
    <n v="606967.91"/>
    <x v="0"/>
  </r>
  <r>
    <x v="10"/>
    <x v="0"/>
    <n v="272978.40000000002"/>
    <x v="0"/>
  </r>
  <r>
    <x v="11"/>
    <x v="0"/>
    <n v="230473"/>
    <x v="0"/>
  </r>
  <r>
    <x v="12"/>
    <x v="0"/>
    <n v="12756.8"/>
    <x v="0"/>
  </r>
  <r>
    <x v="26"/>
    <x v="0"/>
    <n v="13114"/>
    <x v="0"/>
  </r>
  <r>
    <x v="13"/>
    <x v="0"/>
    <n v="173195.48"/>
    <x v="0"/>
  </r>
  <r>
    <x v="14"/>
    <x v="0"/>
    <n v="429398.65"/>
    <x v="0"/>
  </r>
  <r>
    <x v="15"/>
    <x v="0"/>
    <n v="931616.79"/>
    <x v="0"/>
  </r>
  <r>
    <x v="16"/>
    <x v="0"/>
    <n v="135498.78"/>
    <x v="0"/>
  </r>
  <r>
    <x v="17"/>
    <x v="0"/>
    <n v="971682.3"/>
    <x v="0"/>
  </r>
  <r>
    <x v="18"/>
    <x v="0"/>
    <n v="9552.25"/>
    <x v="0"/>
  </r>
  <r>
    <x v="20"/>
    <x v="0"/>
    <n v="205397.37"/>
    <x v="0"/>
  </r>
  <r>
    <x v="21"/>
    <x v="0"/>
    <n v="76"/>
    <x v="0"/>
  </r>
  <r>
    <x v="22"/>
    <x v="0"/>
    <n v="1855.52"/>
    <x v="0"/>
  </r>
  <r>
    <x v="23"/>
    <x v="0"/>
    <n v="248880.43"/>
    <x v="0"/>
  </r>
  <r>
    <x v="24"/>
    <x v="0"/>
    <n v="511141.32"/>
    <x v="0"/>
  </r>
  <r>
    <x v="25"/>
    <x v="0"/>
    <n v="452115.68"/>
    <x v="0"/>
  </r>
  <r>
    <x v="0"/>
    <x v="0"/>
    <n v="11282.79"/>
    <x v="0"/>
  </r>
  <r>
    <x v="1"/>
    <x v="0"/>
    <n v="497739.66"/>
    <x v="0"/>
  </r>
  <r>
    <x v="2"/>
    <x v="0"/>
    <n v="289477.38"/>
    <x v="0"/>
  </r>
  <r>
    <x v="3"/>
    <x v="0"/>
    <n v="2828"/>
    <x v="0"/>
  </r>
  <r>
    <x v="5"/>
    <x v="0"/>
    <n v="233307.21"/>
    <x v="0"/>
  </r>
  <r>
    <x v="6"/>
    <x v="0"/>
    <n v="872963.45"/>
    <x v="0"/>
  </r>
  <r>
    <x v="7"/>
    <x v="0"/>
    <n v="203929.73"/>
    <x v="0"/>
  </r>
  <r>
    <x v="8"/>
    <x v="0"/>
    <n v="277148.81"/>
    <x v="0"/>
  </r>
  <r>
    <x v="9"/>
    <x v="0"/>
    <n v="1127346.18"/>
    <x v="0"/>
  </r>
  <r>
    <x v="10"/>
    <x v="0"/>
    <n v="258119"/>
    <x v="0"/>
  </r>
  <r>
    <x v="11"/>
    <x v="0"/>
    <n v="288686.99"/>
    <x v="0"/>
  </r>
  <r>
    <x v="12"/>
    <x v="0"/>
    <n v="12744.2"/>
    <x v="0"/>
  </r>
  <r>
    <x v="26"/>
    <x v="0"/>
    <n v="23767"/>
    <x v="0"/>
  </r>
  <r>
    <x v="13"/>
    <x v="0"/>
    <n v="182498.01"/>
    <x v="0"/>
  </r>
  <r>
    <x v="14"/>
    <x v="0"/>
    <n v="179471.63"/>
    <x v="0"/>
  </r>
  <r>
    <x v="15"/>
    <x v="0"/>
    <n v="1079538.23"/>
    <x v="0"/>
  </r>
  <r>
    <x v="16"/>
    <x v="0"/>
    <n v="161436.32"/>
    <x v="0"/>
  </r>
  <r>
    <x v="17"/>
    <x v="0"/>
    <n v="1189403.76"/>
    <x v="0"/>
  </r>
  <r>
    <x v="18"/>
    <x v="0"/>
    <n v="12711.82"/>
    <x v="0"/>
  </r>
  <r>
    <x v="20"/>
    <x v="0"/>
    <n v="230239.51"/>
    <x v="0"/>
  </r>
  <r>
    <x v="21"/>
    <x v="0"/>
    <n v="57"/>
    <x v="0"/>
  </r>
  <r>
    <x v="22"/>
    <x v="0"/>
    <n v="4426.96"/>
    <x v="0"/>
  </r>
  <r>
    <x v="23"/>
    <x v="0"/>
    <n v="658028.68000000005"/>
    <x v="0"/>
  </r>
  <r>
    <x v="24"/>
    <x v="0"/>
    <n v="665707.81000000006"/>
    <x v="0"/>
  </r>
  <r>
    <x v="25"/>
    <x v="0"/>
    <n v="742660.17"/>
    <x v="0"/>
  </r>
  <r>
    <x v="0"/>
    <x v="0"/>
    <n v="7597.54"/>
    <x v="0"/>
  </r>
  <r>
    <x v="1"/>
    <x v="0"/>
    <n v="759887.52"/>
    <x v="0"/>
  </r>
  <r>
    <x v="2"/>
    <x v="0"/>
    <n v="367371.79"/>
    <x v="0"/>
  </r>
  <r>
    <x v="3"/>
    <x v="0"/>
    <n v="810"/>
    <x v="0"/>
  </r>
  <r>
    <x v="4"/>
    <x v="0"/>
    <n v="3146"/>
    <x v="0"/>
  </r>
  <r>
    <x v="5"/>
    <x v="0"/>
    <n v="260793.32"/>
    <x v="0"/>
  </r>
  <r>
    <x v="6"/>
    <x v="0"/>
    <n v="1020691.45"/>
    <x v="0"/>
  </r>
  <r>
    <x v="7"/>
    <x v="0"/>
    <n v="252487.49"/>
    <x v="0"/>
  </r>
  <r>
    <x v="8"/>
    <x v="0"/>
    <n v="308180.07"/>
    <x v="0"/>
  </r>
  <r>
    <x v="9"/>
    <x v="0"/>
    <n v="1225095.8899999999"/>
    <x v="0"/>
  </r>
  <r>
    <x v="10"/>
    <x v="0"/>
    <n v="362933.6"/>
    <x v="0"/>
  </r>
  <r>
    <x v="11"/>
    <x v="0"/>
    <n v="360076.99"/>
    <x v="0"/>
  </r>
  <r>
    <x v="12"/>
    <x v="0"/>
    <n v="28312.400000000001"/>
    <x v="0"/>
  </r>
  <r>
    <x v="26"/>
    <x v="0"/>
    <n v="24727"/>
    <x v="0"/>
  </r>
  <r>
    <x v="13"/>
    <x v="0"/>
    <n v="340516.19"/>
    <x v="0"/>
  </r>
  <r>
    <x v="14"/>
    <x v="0"/>
    <n v="294214.40000000002"/>
    <x v="0"/>
  </r>
  <r>
    <x v="15"/>
    <x v="0"/>
    <n v="1335561.72"/>
    <x v="0"/>
  </r>
  <r>
    <x v="16"/>
    <x v="0"/>
    <n v="243986.62"/>
    <x v="0"/>
  </r>
  <r>
    <x v="17"/>
    <x v="0"/>
    <n v="1530877.08"/>
    <x v="0"/>
  </r>
  <r>
    <x v="18"/>
    <x v="0"/>
    <n v="16379.07"/>
    <x v="0"/>
  </r>
  <r>
    <x v="20"/>
    <x v="0"/>
    <n v="263232.17"/>
    <x v="0"/>
  </r>
  <r>
    <x v="21"/>
    <x v="0"/>
    <n v="76"/>
    <x v="0"/>
  </r>
  <r>
    <x v="22"/>
    <x v="0"/>
    <n v="5509.84"/>
    <x v="0"/>
  </r>
  <r>
    <x v="23"/>
    <x v="0"/>
    <n v="511439.23"/>
    <x v="0"/>
  </r>
  <r>
    <x v="24"/>
    <x v="0"/>
    <n v="673269.74"/>
    <x v="0"/>
  </r>
  <r>
    <x v="25"/>
    <x v="0"/>
    <n v="518354.72"/>
    <x v="0"/>
  </r>
  <r>
    <x v="0"/>
    <x v="0"/>
    <n v="18839.04"/>
    <x v="0"/>
  </r>
  <r>
    <x v="1"/>
    <x v="0"/>
    <n v="893727.88"/>
    <x v="0"/>
  </r>
  <r>
    <x v="2"/>
    <x v="0"/>
    <n v="279100.08"/>
    <x v="0"/>
  </r>
  <r>
    <x v="3"/>
    <x v="0"/>
    <n v="6321"/>
    <x v="0"/>
  </r>
  <r>
    <x v="5"/>
    <x v="0"/>
    <n v="308606.53999999998"/>
    <x v="0"/>
  </r>
  <r>
    <x v="6"/>
    <x v="0"/>
    <n v="1031960.57"/>
    <x v="0"/>
  </r>
  <r>
    <x v="7"/>
    <x v="0"/>
    <n v="298713.46999999997"/>
    <x v="0"/>
  </r>
  <r>
    <x v="8"/>
    <x v="0"/>
    <n v="373267.19"/>
    <x v="0"/>
  </r>
  <r>
    <x v="9"/>
    <x v="0"/>
    <n v="944689.98"/>
    <x v="0"/>
  </r>
  <r>
    <x v="10"/>
    <x v="0"/>
    <n v="453565.72"/>
    <x v="0"/>
  </r>
  <r>
    <x v="11"/>
    <x v="0"/>
    <n v="346911.93"/>
    <x v="0"/>
  </r>
  <r>
    <x v="12"/>
    <x v="0"/>
    <n v="7532.2"/>
    <x v="0"/>
  </r>
  <r>
    <x v="26"/>
    <x v="0"/>
    <n v="34328"/>
    <x v="0"/>
  </r>
  <r>
    <x v="13"/>
    <x v="0"/>
    <n v="402317"/>
    <x v="0"/>
  </r>
  <r>
    <x v="14"/>
    <x v="0"/>
    <n v="272899.59000000003"/>
    <x v="0"/>
  </r>
  <r>
    <x v="15"/>
    <x v="0"/>
    <n v="1420366.08"/>
    <x v="0"/>
  </r>
  <r>
    <x v="16"/>
    <x v="0"/>
    <n v="235634.62"/>
    <x v="0"/>
  </r>
  <r>
    <x v="17"/>
    <x v="0"/>
    <n v="1768747.25"/>
    <x v="0"/>
  </r>
  <r>
    <x v="18"/>
    <x v="0"/>
    <n v="21924.91"/>
    <x v="0"/>
  </r>
  <r>
    <x v="20"/>
    <x v="0"/>
    <n v="292852.88"/>
    <x v="0"/>
  </r>
  <r>
    <x v="21"/>
    <x v="0"/>
    <n v="247"/>
    <x v="0"/>
  </r>
  <r>
    <x v="22"/>
    <x v="0"/>
    <n v="4738.2"/>
    <x v="0"/>
  </r>
  <r>
    <x v="23"/>
    <x v="0"/>
    <n v="665856.37"/>
    <x v="0"/>
  </r>
  <r>
    <x v="24"/>
    <x v="0"/>
    <n v="755946.89"/>
    <x v="0"/>
  </r>
  <r>
    <x v="25"/>
    <x v="0"/>
    <n v="703370.01"/>
    <x v="0"/>
  </r>
  <r>
    <x v="0"/>
    <x v="0"/>
    <n v="10591.54"/>
    <x v="0"/>
  </r>
  <r>
    <x v="1"/>
    <x v="0"/>
    <n v="884177.57"/>
    <x v="0"/>
  </r>
  <r>
    <x v="2"/>
    <x v="0"/>
    <n v="239654.75"/>
    <x v="0"/>
  </r>
  <r>
    <x v="3"/>
    <x v="0"/>
    <n v="1130"/>
    <x v="0"/>
  </r>
  <r>
    <x v="5"/>
    <x v="0"/>
    <n v="266129.27"/>
    <x v="0"/>
  </r>
  <r>
    <x v="6"/>
    <x v="0"/>
    <n v="908353.92"/>
    <x v="0"/>
  </r>
  <r>
    <x v="7"/>
    <x v="0"/>
    <n v="221327.7"/>
    <x v="0"/>
  </r>
  <r>
    <x v="8"/>
    <x v="0"/>
    <n v="307370.32"/>
    <x v="0"/>
  </r>
  <r>
    <x v="9"/>
    <x v="0"/>
    <n v="984477.5"/>
    <x v="0"/>
  </r>
  <r>
    <x v="10"/>
    <x v="0"/>
    <n v="395637.34"/>
    <x v="0"/>
  </r>
  <r>
    <x v="11"/>
    <x v="0"/>
    <n v="339083.05"/>
    <x v="0"/>
  </r>
  <r>
    <x v="12"/>
    <x v="0"/>
    <n v="36595.4"/>
    <x v="0"/>
  </r>
  <r>
    <x v="26"/>
    <x v="0"/>
    <n v="15100"/>
    <x v="0"/>
  </r>
  <r>
    <x v="13"/>
    <x v="0"/>
    <n v="238100.77"/>
    <x v="0"/>
  </r>
  <r>
    <x v="14"/>
    <x v="0"/>
    <n v="262879.93"/>
    <x v="0"/>
  </r>
  <r>
    <x v="15"/>
    <x v="0"/>
    <n v="1191606.2"/>
    <x v="0"/>
  </r>
  <r>
    <x v="16"/>
    <x v="0"/>
    <n v="178304.62"/>
    <x v="0"/>
  </r>
  <r>
    <x v="17"/>
    <x v="0"/>
    <n v="1491153.16"/>
    <x v="0"/>
  </r>
  <r>
    <x v="18"/>
    <x v="0"/>
    <n v="11291.36"/>
    <x v="0"/>
  </r>
  <r>
    <x v="20"/>
    <x v="0"/>
    <n v="283782.40999999997"/>
    <x v="0"/>
  </r>
  <r>
    <x v="21"/>
    <x v="0"/>
    <n v="418"/>
    <x v="0"/>
  </r>
  <r>
    <x v="22"/>
    <x v="0"/>
    <n v="10092.6"/>
    <x v="0"/>
  </r>
  <r>
    <x v="23"/>
    <x v="0"/>
    <n v="567165.23"/>
    <x v="0"/>
  </r>
  <r>
    <x v="24"/>
    <x v="0"/>
    <n v="580202.93999999994"/>
    <x v="0"/>
  </r>
  <r>
    <x v="25"/>
    <x v="0"/>
    <n v="651129.53"/>
    <x v="0"/>
  </r>
  <r>
    <x v="0"/>
    <x v="0"/>
    <n v="8426"/>
    <x v="0"/>
  </r>
  <r>
    <x v="1"/>
    <x v="0"/>
    <n v="823759.51"/>
    <x v="0"/>
  </r>
  <r>
    <x v="2"/>
    <x v="0"/>
    <n v="248279.18"/>
    <x v="0"/>
  </r>
  <r>
    <x v="3"/>
    <x v="0"/>
    <n v="944"/>
    <x v="0"/>
  </r>
  <r>
    <x v="5"/>
    <x v="0"/>
    <n v="131850.44"/>
    <x v="0"/>
  </r>
  <r>
    <x v="6"/>
    <x v="0"/>
    <n v="486847.37"/>
    <x v="0"/>
  </r>
  <r>
    <x v="7"/>
    <x v="0"/>
    <n v="138057.42000000001"/>
    <x v="0"/>
  </r>
  <r>
    <x v="8"/>
    <x v="0"/>
    <n v="197673.04"/>
    <x v="0"/>
  </r>
  <r>
    <x v="9"/>
    <x v="0"/>
    <n v="769295.95"/>
    <x v="0"/>
  </r>
  <r>
    <x v="10"/>
    <x v="0"/>
    <n v="321835.76"/>
    <x v="0"/>
  </r>
  <r>
    <x v="11"/>
    <x v="0"/>
    <n v="309525.01"/>
    <x v="0"/>
  </r>
  <r>
    <x v="12"/>
    <x v="0"/>
    <n v="29137"/>
    <x v="0"/>
  </r>
  <r>
    <x v="26"/>
    <x v="0"/>
    <n v="10199"/>
    <x v="0"/>
  </r>
  <r>
    <x v="13"/>
    <x v="0"/>
    <n v="113050.34"/>
    <x v="0"/>
  </r>
  <r>
    <x v="14"/>
    <x v="0"/>
    <n v="169167.22"/>
    <x v="0"/>
  </r>
  <r>
    <x v="15"/>
    <x v="0"/>
    <n v="790987.71"/>
    <x v="0"/>
  </r>
  <r>
    <x v="16"/>
    <x v="0"/>
    <n v="78253.98"/>
    <x v="0"/>
  </r>
  <r>
    <x v="17"/>
    <x v="0"/>
    <n v="911380.59"/>
    <x v="0"/>
  </r>
  <r>
    <x v="18"/>
    <x v="0"/>
    <n v="7715.41"/>
    <x v="0"/>
  </r>
  <r>
    <x v="20"/>
    <x v="0"/>
    <n v="235649.36"/>
    <x v="0"/>
  </r>
  <r>
    <x v="22"/>
    <x v="0"/>
    <n v="2140"/>
    <x v="0"/>
  </r>
  <r>
    <x v="23"/>
    <x v="0"/>
    <n v="433151.35"/>
    <x v="0"/>
  </r>
  <r>
    <x v="24"/>
    <x v="0"/>
    <n v="402300.75"/>
    <x v="0"/>
  </r>
  <r>
    <x v="25"/>
    <x v="0"/>
    <n v="365403.97"/>
    <x v="0"/>
  </r>
  <r>
    <x v="0"/>
    <x v="0"/>
    <n v="5242.43"/>
    <x v="0"/>
  </r>
  <r>
    <x v="1"/>
    <x v="0"/>
    <n v="165226.70000000001"/>
    <x v="0"/>
  </r>
  <r>
    <x v="2"/>
    <x v="0"/>
    <n v="78546.89"/>
    <x v="0"/>
  </r>
  <r>
    <x v="3"/>
    <x v="0"/>
    <n v="1766"/>
    <x v="0"/>
  </r>
  <r>
    <x v="4"/>
    <x v="0"/>
    <n v="1760"/>
    <x v="0"/>
  </r>
  <r>
    <x v="5"/>
    <x v="0"/>
    <n v="118110.27"/>
    <x v="0"/>
  </r>
  <r>
    <x v="6"/>
    <x v="0"/>
    <n v="507303.73"/>
    <x v="0"/>
  </r>
  <r>
    <x v="7"/>
    <x v="0"/>
    <n v="89732.800000000003"/>
    <x v="0"/>
  </r>
  <r>
    <x v="8"/>
    <x v="0"/>
    <n v="166634.54999999999"/>
    <x v="0"/>
  </r>
  <r>
    <x v="9"/>
    <x v="0"/>
    <n v="224477"/>
    <x v="0"/>
  </r>
  <r>
    <x v="10"/>
    <x v="0"/>
    <n v="165012.18"/>
    <x v="0"/>
  </r>
  <r>
    <x v="11"/>
    <x v="0"/>
    <n v="130803.98"/>
    <x v="0"/>
  </r>
  <r>
    <x v="12"/>
    <x v="0"/>
    <n v="12133.8"/>
    <x v="0"/>
  </r>
  <r>
    <x v="26"/>
    <x v="0"/>
    <n v="5663.53"/>
    <x v="0"/>
  </r>
  <r>
    <x v="13"/>
    <x v="0"/>
    <n v="91886.61"/>
    <x v="0"/>
  </r>
  <r>
    <x v="14"/>
    <x v="0"/>
    <n v="61025.31"/>
    <x v="0"/>
  </r>
  <r>
    <x v="15"/>
    <x v="0"/>
    <n v="633274.31999999995"/>
    <x v="0"/>
  </r>
  <r>
    <x v="16"/>
    <x v="0"/>
    <n v="46700.07"/>
    <x v="0"/>
  </r>
  <r>
    <x v="17"/>
    <x v="0"/>
    <n v="550172.62"/>
    <x v="0"/>
  </r>
  <r>
    <x v="18"/>
    <x v="0"/>
    <n v="10811.04"/>
    <x v="0"/>
  </r>
  <r>
    <x v="20"/>
    <x v="0"/>
    <n v="161290.73000000001"/>
    <x v="0"/>
  </r>
  <r>
    <x v="21"/>
    <x v="0"/>
    <n v="76"/>
    <x v="0"/>
  </r>
  <r>
    <x v="22"/>
    <x v="0"/>
    <n v="3222.76"/>
    <x v="0"/>
  </r>
  <r>
    <x v="23"/>
    <x v="0"/>
    <n v="164779.69"/>
    <x v="0"/>
  </r>
  <r>
    <x v="24"/>
    <x v="0"/>
    <n v="342734.27"/>
    <x v="0"/>
  </r>
  <r>
    <x v="25"/>
    <x v="0"/>
    <n v="278539.59999999998"/>
    <x v="0"/>
  </r>
  <r>
    <x v="0"/>
    <x v="0"/>
    <n v="8424.9500000000007"/>
    <x v="0"/>
  </r>
  <r>
    <x v="1"/>
    <x v="0"/>
    <n v="182760.27"/>
    <x v="0"/>
  </r>
  <r>
    <x v="2"/>
    <x v="0"/>
    <n v="54611.24"/>
    <x v="0"/>
  </r>
  <r>
    <x v="5"/>
    <x v="0"/>
    <n v="177154.64"/>
    <x v="0"/>
  </r>
  <r>
    <x v="6"/>
    <x v="0"/>
    <n v="717239.49"/>
    <x v="0"/>
  </r>
  <r>
    <x v="7"/>
    <x v="0"/>
    <n v="95300"/>
    <x v="0"/>
  </r>
  <r>
    <x v="8"/>
    <x v="0"/>
    <n v="301641.39"/>
    <x v="0"/>
  </r>
  <r>
    <x v="9"/>
    <x v="0"/>
    <n v="317141.46999999997"/>
    <x v="0"/>
  </r>
  <r>
    <x v="10"/>
    <x v="0"/>
    <n v="150426"/>
    <x v="0"/>
  </r>
  <r>
    <x v="11"/>
    <x v="0"/>
    <n v="154565.48000000001"/>
    <x v="0"/>
  </r>
  <r>
    <x v="12"/>
    <x v="0"/>
    <n v="18797.8"/>
    <x v="0"/>
  </r>
  <r>
    <x v="26"/>
    <x v="0"/>
    <n v="12254"/>
    <x v="0"/>
  </r>
  <r>
    <x v="13"/>
    <x v="0"/>
    <n v="205830.02"/>
    <x v="0"/>
  </r>
  <r>
    <x v="14"/>
    <x v="0"/>
    <n v="95914.47"/>
    <x v="0"/>
  </r>
  <r>
    <x v="15"/>
    <x v="0"/>
    <n v="696036.38"/>
    <x v="0"/>
  </r>
  <r>
    <x v="16"/>
    <x v="0"/>
    <n v="50702.879999999997"/>
    <x v="0"/>
  </r>
  <r>
    <x v="17"/>
    <x v="0"/>
    <n v="719956.8"/>
    <x v="0"/>
  </r>
  <r>
    <x v="18"/>
    <x v="0"/>
    <n v="9596.2099999999991"/>
    <x v="0"/>
  </r>
  <r>
    <x v="20"/>
    <x v="0"/>
    <n v="181572.47"/>
    <x v="0"/>
  </r>
  <r>
    <x v="21"/>
    <x v="0"/>
    <n v="38"/>
    <x v="0"/>
  </r>
  <r>
    <x v="22"/>
    <x v="0"/>
    <n v="3551.72"/>
    <x v="0"/>
  </r>
  <r>
    <x v="23"/>
    <x v="0"/>
    <n v="160095.20000000001"/>
    <x v="0"/>
  </r>
  <r>
    <x v="24"/>
    <x v="0"/>
    <n v="379995.82"/>
    <x v="0"/>
  </r>
  <r>
    <x v="25"/>
    <x v="0"/>
    <n v="308977.14"/>
    <x v="0"/>
  </r>
  <r>
    <x v="0"/>
    <x v="0"/>
    <n v="8435.98"/>
    <x v="0"/>
  </r>
  <r>
    <x v="1"/>
    <x v="0"/>
    <n v="262633.76"/>
    <x v="0"/>
  </r>
  <r>
    <x v="2"/>
    <x v="0"/>
    <n v="40776.44"/>
    <x v="0"/>
  </r>
  <r>
    <x v="3"/>
    <x v="0"/>
    <n v="710"/>
    <x v="0"/>
  </r>
  <r>
    <x v="5"/>
    <x v="0"/>
    <n v="168313.02"/>
    <x v="0"/>
  </r>
  <r>
    <x v="6"/>
    <x v="0"/>
    <n v="524442.13"/>
    <x v="0"/>
  </r>
  <r>
    <x v="7"/>
    <x v="0"/>
    <n v="130737.03"/>
    <x v="0"/>
  </r>
  <r>
    <x v="8"/>
    <x v="0"/>
    <n v="333543.14"/>
    <x v="0"/>
  </r>
  <r>
    <x v="9"/>
    <x v="0"/>
    <n v="461168.91"/>
    <x v="0"/>
  </r>
  <r>
    <x v="10"/>
    <x v="0"/>
    <n v="212313.27"/>
    <x v="0"/>
  </r>
  <r>
    <x v="11"/>
    <x v="0"/>
    <n v="140460"/>
    <x v="0"/>
  </r>
  <r>
    <x v="12"/>
    <x v="0"/>
    <n v="14189.4"/>
    <x v="0"/>
  </r>
  <r>
    <x v="26"/>
    <x v="0"/>
    <n v="15779"/>
    <x v="0"/>
  </r>
  <r>
    <x v="13"/>
    <x v="0"/>
    <n v="177945.25"/>
    <x v="0"/>
  </r>
  <r>
    <x v="14"/>
    <x v="0"/>
    <n v="120769.71"/>
    <x v="0"/>
  </r>
  <r>
    <x v="15"/>
    <x v="0"/>
    <n v="704758.31"/>
    <x v="0"/>
  </r>
  <r>
    <x v="16"/>
    <x v="0"/>
    <n v="80461.3"/>
    <x v="0"/>
  </r>
  <r>
    <x v="17"/>
    <x v="0"/>
    <n v="757764.1"/>
    <x v="0"/>
  </r>
  <r>
    <x v="18"/>
    <x v="0"/>
    <n v="10462.799999999999"/>
    <x v="0"/>
  </r>
  <r>
    <x v="20"/>
    <x v="0"/>
    <n v="189071.05"/>
    <x v="0"/>
  </r>
  <r>
    <x v="21"/>
    <x v="0"/>
    <n v="57"/>
    <x v="0"/>
  </r>
  <r>
    <x v="22"/>
    <x v="0"/>
    <n v="1330.64"/>
    <x v="0"/>
  </r>
  <r>
    <x v="23"/>
    <x v="0"/>
    <n v="164983.32"/>
    <x v="0"/>
  </r>
  <r>
    <x v="24"/>
    <x v="0"/>
    <n v="459153.32"/>
    <x v="0"/>
  </r>
  <r>
    <x v="25"/>
    <x v="0"/>
    <n v="449315.41"/>
    <x v="0"/>
  </r>
  <r>
    <x v="0"/>
    <x v="0"/>
    <n v="13151.95"/>
    <x v="0"/>
  </r>
  <r>
    <x v="1"/>
    <x v="0"/>
    <n v="306630.05"/>
    <x v="0"/>
  </r>
  <r>
    <x v="2"/>
    <x v="0"/>
    <n v="46879.03"/>
    <x v="0"/>
  </r>
  <r>
    <x v="3"/>
    <x v="0"/>
    <n v="382"/>
    <x v="0"/>
  </r>
  <r>
    <x v="5"/>
    <x v="0"/>
    <n v="144467.89000000001"/>
    <x v="0"/>
  </r>
  <r>
    <x v="6"/>
    <x v="0"/>
    <n v="843222.27"/>
    <x v="0"/>
  </r>
  <r>
    <x v="7"/>
    <x v="0"/>
    <n v="150000.26999999999"/>
    <x v="0"/>
  </r>
  <r>
    <x v="8"/>
    <x v="0"/>
    <n v="320041.17"/>
    <x v="0"/>
  </r>
  <r>
    <x v="9"/>
    <x v="0"/>
    <n v="680297.2"/>
    <x v="0"/>
  </r>
  <r>
    <x v="10"/>
    <x v="0"/>
    <n v="225952.4"/>
    <x v="0"/>
  </r>
  <r>
    <x v="11"/>
    <x v="0"/>
    <n v="159694.99"/>
    <x v="0"/>
  </r>
  <r>
    <x v="12"/>
    <x v="0"/>
    <n v="11876.2"/>
    <x v="0"/>
  </r>
  <r>
    <x v="26"/>
    <x v="0"/>
    <n v="14333"/>
    <x v="0"/>
  </r>
  <r>
    <x v="13"/>
    <x v="0"/>
    <n v="235648.82"/>
    <x v="0"/>
  </r>
  <r>
    <x v="14"/>
    <x v="0"/>
    <n v="183558.85"/>
    <x v="0"/>
  </r>
  <r>
    <x v="15"/>
    <x v="0"/>
    <n v="901618.68"/>
    <x v="0"/>
  </r>
  <r>
    <x v="16"/>
    <x v="0"/>
    <n v="171650.36"/>
    <x v="0"/>
  </r>
  <r>
    <x v="17"/>
    <x v="0"/>
    <n v="805989.64"/>
    <x v="0"/>
  </r>
  <r>
    <x v="18"/>
    <x v="0"/>
    <n v="11703.23"/>
    <x v="0"/>
  </r>
  <r>
    <x v="20"/>
    <x v="0"/>
    <n v="219967.24"/>
    <x v="0"/>
  </r>
  <r>
    <x v="21"/>
    <x v="0"/>
    <n v="190"/>
    <x v="0"/>
  </r>
  <r>
    <x v="22"/>
    <x v="0"/>
    <n v="3470.88"/>
    <x v="0"/>
  </r>
  <r>
    <x v="23"/>
    <x v="0"/>
    <n v="149717.81"/>
    <x v="0"/>
  </r>
  <r>
    <x v="24"/>
    <x v="0"/>
    <n v="416874.59"/>
    <x v="0"/>
  </r>
  <r>
    <x v="25"/>
    <x v="0"/>
    <n v="593738.52"/>
    <x v="0"/>
  </r>
  <r>
    <x v="0"/>
    <x v="0"/>
    <n v="16477.939999999999"/>
    <x v="0"/>
  </r>
  <r>
    <x v="1"/>
    <x v="0"/>
    <n v="379801.51"/>
    <x v="0"/>
  </r>
  <r>
    <x v="2"/>
    <x v="0"/>
    <n v="78207.83"/>
    <x v="0"/>
  </r>
  <r>
    <x v="3"/>
    <x v="0"/>
    <n v="1583"/>
    <x v="0"/>
  </r>
  <r>
    <x v="5"/>
    <x v="0"/>
    <n v="163962.23000000001"/>
    <x v="0"/>
  </r>
  <r>
    <x v="6"/>
    <x v="0"/>
    <n v="951208.52"/>
    <x v="0"/>
  </r>
  <r>
    <x v="7"/>
    <x v="0"/>
    <n v="161130.49"/>
    <x v="0"/>
  </r>
  <r>
    <x v="8"/>
    <x v="0"/>
    <n v="386398.09"/>
    <x v="0"/>
  </r>
  <r>
    <x v="9"/>
    <x v="0"/>
    <n v="813115.63"/>
    <x v="0"/>
  </r>
  <r>
    <x v="10"/>
    <x v="0"/>
    <n v="310129.19"/>
    <x v="0"/>
  </r>
  <r>
    <x v="11"/>
    <x v="0"/>
    <n v="212639.99"/>
    <x v="0"/>
  </r>
  <r>
    <x v="12"/>
    <x v="0"/>
    <n v="21592.6"/>
    <x v="0"/>
  </r>
  <r>
    <x v="26"/>
    <x v="0"/>
    <n v="19642"/>
    <x v="0"/>
  </r>
  <r>
    <x v="13"/>
    <x v="0"/>
    <n v="233789.98"/>
    <x v="0"/>
  </r>
  <r>
    <x v="14"/>
    <x v="0"/>
    <n v="161962.26"/>
    <x v="0"/>
  </r>
  <r>
    <x v="15"/>
    <x v="0"/>
    <n v="1071763.78"/>
    <x v="0"/>
  </r>
  <r>
    <x v="16"/>
    <x v="0"/>
    <n v="158534.76"/>
    <x v="0"/>
  </r>
  <r>
    <x v="17"/>
    <x v="0"/>
    <n v="998986.46"/>
    <x v="0"/>
  </r>
  <r>
    <x v="18"/>
    <x v="0"/>
    <n v="13517.37"/>
    <x v="0"/>
  </r>
  <r>
    <x v="20"/>
    <x v="0"/>
    <n v="242866.09"/>
    <x v="0"/>
  </r>
  <r>
    <x v="21"/>
    <x v="0"/>
    <n v="95"/>
    <x v="0"/>
  </r>
  <r>
    <x v="22"/>
    <x v="0"/>
    <n v="1538.48"/>
    <x v="0"/>
  </r>
  <r>
    <x v="23"/>
    <x v="0"/>
    <n v="255071.76"/>
    <x v="0"/>
  </r>
  <r>
    <x v="24"/>
    <x v="0"/>
    <n v="589520.53"/>
    <x v="0"/>
  </r>
  <r>
    <x v="25"/>
    <x v="0"/>
    <n v="552149.46"/>
    <x v="0"/>
  </r>
  <r>
    <x v="0"/>
    <x v="0"/>
    <n v="3230.97"/>
    <x v="0"/>
  </r>
  <r>
    <x v="1"/>
    <x v="0"/>
    <n v="254135.24"/>
    <x v="0"/>
  </r>
  <r>
    <x v="2"/>
    <x v="0"/>
    <n v="48618.66"/>
    <x v="0"/>
  </r>
  <r>
    <x v="3"/>
    <x v="0"/>
    <n v="1565"/>
    <x v="0"/>
  </r>
  <r>
    <x v="5"/>
    <x v="0"/>
    <n v="134827.4"/>
    <x v="0"/>
  </r>
  <r>
    <x v="6"/>
    <x v="0"/>
    <n v="780338.4"/>
    <x v="0"/>
  </r>
  <r>
    <x v="7"/>
    <x v="0"/>
    <n v="131223.51"/>
    <x v="0"/>
  </r>
  <r>
    <x v="8"/>
    <x v="0"/>
    <n v="328199.15999999997"/>
    <x v="0"/>
  </r>
  <r>
    <x v="9"/>
    <x v="0"/>
    <n v="465034.93"/>
    <x v="0"/>
  </r>
  <r>
    <x v="10"/>
    <x v="0"/>
    <n v="215121.2"/>
    <x v="0"/>
  </r>
  <r>
    <x v="11"/>
    <x v="0"/>
    <n v="175689"/>
    <x v="0"/>
  </r>
  <r>
    <x v="12"/>
    <x v="0"/>
    <n v="16963.2"/>
    <x v="0"/>
  </r>
  <r>
    <x v="26"/>
    <x v="0"/>
    <n v="18822"/>
    <x v="0"/>
  </r>
  <r>
    <x v="13"/>
    <x v="0"/>
    <n v="147236"/>
    <x v="0"/>
  </r>
  <r>
    <x v="14"/>
    <x v="0"/>
    <n v="100061.02"/>
    <x v="0"/>
  </r>
  <r>
    <x v="15"/>
    <x v="0"/>
    <n v="845040.91"/>
    <x v="0"/>
  </r>
  <r>
    <x v="16"/>
    <x v="0"/>
    <n v="130232.82"/>
    <x v="0"/>
  </r>
  <r>
    <x v="17"/>
    <x v="0"/>
    <n v="798496.2"/>
    <x v="0"/>
  </r>
  <r>
    <x v="18"/>
    <x v="0"/>
    <n v="10412.68"/>
    <x v="0"/>
  </r>
  <r>
    <x v="19"/>
    <x v="0"/>
    <n v="235.23"/>
    <x v="0"/>
  </r>
  <r>
    <x v="20"/>
    <x v="0"/>
    <n v="198200.06"/>
    <x v="0"/>
  </r>
  <r>
    <x v="21"/>
    <x v="0"/>
    <n v="76"/>
    <x v="0"/>
  </r>
  <r>
    <x v="22"/>
    <x v="0"/>
    <n v="2743.84"/>
    <x v="0"/>
  </r>
  <r>
    <x v="23"/>
    <x v="0"/>
    <n v="243861.44"/>
    <x v="0"/>
  </r>
  <r>
    <x v="24"/>
    <x v="0"/>
    <n v="503900.07"/>
    <x v="0"/>
  </r>
  <r>
    <x v="25"/>
    <x v="0"/>
    <n v="540760.86"/>
    <x v="0"/>
  </r>
  <r>
    <x v="0"/>
    <x v="0"/>
    <n v="8339.94"/>
    <x v="0"/>
  </r>
  <r>
    <x v="1"/>
    <x v="0"/>
    <n v="181816.12"/>
    <x v="0"/>
  </r>
  <r>
    <x v="2"/>
    <x v="0"/>
    <n v="31647.07"/>
    <x v="0"/>
  </r>
  <r>
    <x v="5"/>
    <x v="0"/>
    <n v="121051.87"/>
    <x v="0"/>
  </r>
  <r>
    <x v="6"/>
    <x v="0"/>
    <n v="660629.15"/>
    <x v="0"/>
  </r>
  <r>
    <x v="7"/>
    <x v="0"/>
    <n v="89927.58"/>
    <x v="0"/>
  </r>
  <r>
    <x v="8"/>
    <x v="0"/>
    <n v="240167.76"/>
    <x v="0"/>
  </r>
  <r>
    <x v="9"/>
    <x v="0"/>
    <n v="423272.41"/>
    <x v="0"/>
  </r>
  <r>
    <x v="10"/>
    <x v="0"/>
    <n v="198058"/>
    <x v="0"/>
  </r>
  <r>
    <x v="11"/>
    <x v="0"/>
    <n v="176642"/>
    <x v="0"/>
  </r>
  <r>
    <x v="12"/>
    <x v="0"/>
    <n v="6385.2"/>
    <x v="0"/>
  </r>
  <r>
    <x v="26"/>
    <x v="0"/>
    <n v="7623"/>
    <x v="0"/>
  </r>
  <r>
    <x v="13"/>
    <x v="0"/>
    <n v="92796.75"/>
    <x v="0"/>
  </r>
  <r>
    <x v="14"/>
    <x v="0"/>
    <n v="130679.63"/>
    <x v="0"/>
  </r>
  <r>
    <x v="15"/>
    <x v="0"/>
    <n v="723546.31"/>
    <x v="0"/>
  </r>
  <r>
    <x v="16"/>
    <x v="0"/>
    <n v="86314.44"/>
    <x v="0"/>
  </r>
  <r>
    <x v="17"/>
    <x v="0"/>
    <n v="624240.79"/>
    <x v="0"/>
  </r>
  <r>
    <x v="18"/>
    <x v="0"/>
    <n v="9765.4699999999993"/>
    <x v="0"/>
  </r>
  <r>
    <x v="20"/>
    <x v="0"/>
    <n v="186802.1"/>
    <x v="0"/>
  </r>
  <r>
    <x v="22"/>
    <x v="0"/>
    <n v="1683.32"/>
    <x v="0"/>
  </r>
  <r>
    <x v="23"/>
    <x v="0"/>
    <n v="187559.46"/>
    <x v="0"/>
  </r>
  <r>
    <x v="24"/>
    <x v="0"/>
    <n v="328581.21000000002"/>
    <x v="0"/>
  </r>
  <r>
    <x v="25"/>
    <x v="0"/>
    <n v="355305.48"/>
    <x v="0"/>
  </r>
  <r>
    <x v="0"/>
    <x v="0"/>
    <n v="7776.95"/>
    <x v="0"/>
  </r>
  <r>
    <x v="1"/>
    <x v="0"/>
    <n v="182816.12"/>
    <x v="0"/>
  </r>
  <r>
    <x v="2"/>
    <x v="0"/>
    <n v="35029.629999999997"/>
    <x v="0"/>
  </r>
  <r>
    <x v="3"/>
    <x v="0"/>
    <n v="1172"/>
    <x v="0"/>
  </r>
  <r>
    <x v="4"/>
    <x v="0"/>
    <n v="1760"/>
    <x v="0"/>
  </r>
  <r>
    <x v="5"/>
    <x v="0"/>
    <n v="140602.1"/>
    <x v="0"/>
  </r>
  <r>
    <x v="6"/>
    <x v="0"/>
    <n v="605040.81000000006"/>
    <x v="0"/>
  </r>
  <r>
    <x v="7"/>
    <x v="0"/>
    <n v="116087.26"/>
    <x v="0"/>
  </r>
  <r>
    <x v="8"/>
    <x v="0"/>
    <n v="237633.49"/>
    <x v="0"/>
  </r>
  <r>
    <x v="9"/>
    <x v="0"/>
    <n v="405379.43"/>
    <x v="0"/>
  </r>
  <r>
    <x v="10"/>
    <x v="0"/>
    <n v="181940.6"/>
    <x v="0"/>
  </r>
  <r>
    <x v="11"/>
    <x v="0"/>
    <n v="131989"/>
    <x v="0"/>
  </r>
  <r>
    <x v="12"/>
    <x v="0"/>
    <n v="14018.6"/>
    <x v="0"/>
  </r>
  <r>
    <x v="26"/>
    <x v="0"/>
    <n v="15276.75"/>
    <x v="0"/>
  </r>
  <r>
    <x v="13"/>
    <x v="0"/>
    <n v="69613.899999999994"/>
    <x v="0"/>
  </r>
  <r>
    <x v="14"/>
    <x v="0"/>
    <n v="285502.03000000003"/>
    <x v="0"/>
  </r>
  <r>
    <x v="15"/>
    <x v="0"/>
    <n v="637217.5"/>
    <x v="0"/>
  </r>
  <r>
    <x v="16"/>
    <x v="0"/>
    <n v="101427.12"/>
    <x v="0"/>
  </r>
  <r>
    <x v="17"/>
    <x v="0"/>
    <n v="735441.24"/>
    <x v="0"/>
  </r>
  <r>
    <x v="18"/>
    <x v="0"/>
    <n v="6746.67"/>
    <x v="0"/>
  </r>
  <r>
    <x v="20"/>
    <x v="0"/>
    <n v="179221.25"/>
    <x v="0"/>
  </r>
  <r>
    <x v="21"/>
    <x v="0"/>
    <n v="76"/>
    <x v="0"/>
  </r>
  <r>
    <x v="22"/>
    <x v="0"/>
    <n v="2981.44"/>
    <x v="0"/>
  </r>
  <r>
    <x v="23"/>
    <x v="0"/>
    <n v="166699.57"/>
    <x v="0"/>
  </r>
  <r>
    <x v="24"/>
    <x v="0"/>
    <n v="328356.65000000002"/>
    <x v="0"/>
  </r>
  <r>
    <x v="25"/>
    <x v="0"/>
    <n v="370060.04"/>
    <x v="0"/>
  </r>
  <r>
    <x v="0"/>
    <x v="0"/>
    <n v="9018"/>
    <x v="0"/>
  </r>
  <r>
    <x v="1"/>
    <x v="0"/>
    <n v="204419.07"/>
    <x v="0"/>
  </r>
  <r>
    <x v="2"/>
    <x v="0"/>
    <n v="13861.62"/>
    <x v="0"/>
  </r>
  <r>
    <x v="3"/>
    <x v="0"/>
    <n v="1474"/>
    <x v="0"/>
  </r>
  <r>
    <x v="5"/>
    <x v="0"/>
    <n v="125345.52"/>
    <x v="0"/>
  </r>
  <r>
    <x v="6"/>
    <x v="0"/>
    <n v="526219.31000000006"/>
    <x v="0"/>
  </r>
  <r>
    <x v="7"/>
    <x v="0"/>
    <n v="80017.919999999998"/>
    <x v="0"/>
  </r>
  <r>
    <x v="8"/>
    <x v="0"/>
    <n v="176765.7"/>
    <x v="0"/>
  </r>
  <r>
    <x v="9"/>
    <x v="0"/>
    <n v="634489.43000000005"/>
    <x v="0"/>
  </r>
  <r>
    <x v="10"/>
    <x v="0"/>
    <n v="284257.8"/>
    <x v="0"/>
  </r>
  <r>
    <x v="11"/>
    <x v="0"/>
    <n v="138783.99"/>
    <x v="0"/>
  </r>
  <r>
    <x v="12"/>
    <x v="0"/>
    <n v="13294.8"/>
    <x v="0"/>
  </r>
  <r>
    <x v="26"/>
    <x v="0"/>
    <n v="8174"/>
    <x v="0"/>
  </r>
  <r>
    <x v="13"/>
    <x v="0"/>
    <n v="99492.46"/>
    <x v="0"/>
  </r>
  <r>
    <x v="14"/>
    <x v="0"/>
    <n v="65948.17"/>
    <x v="0"/>
  </r>
  <r>
    <x v="15"/>
    <x v="0"/>
    <n v="680529.84"/>
    <x v="0"/>
  </r>
  <r>
    <x v="16"/>
    <x v="0"/>
    <n v="77593.039999999994"/>
    <x v="0"/>
  </r>
  <r>
    <x v="17"/>
    <x v="0"/>
    <n v="574180.68000000005"/>
    <x v="0"/>
  </r>
  <r>
    <x v="18"/>
    <x v="0"/>
    <n v="5388.66"/>
    <x v="0"/>
  </r>
  <r>
    <x v="20"/>
    <x v="0"/>
    <n v="174536.27"/>
    <x v="0"/>
  </r>
  <r>
    <x v="23"/>
    <x v="0"/>
    <n v="115187.56"/>
    <x v="0"/>
  </r>
  <r>
    <x v="24"/>
    <x v="0"/>
    <n v="311518.67"/>
    <x v="0"/>
  </r>
  <r>
    <x v="25"/>
    <x v="0"/>
    <n v="366831.33"/>
    <x v="0"/>
  </r>
  <r>
    <x v="0"/>
    <x v="0"/>
    <n v="16160.98"/>
    <x v="0"/>
  </r>
  <r>
    <x v="1"/>
    <x v="0"/>
    <n v="336826.45"/>
    <x v="0"/>
  </r>
  <r>
    <x v="2"/>
    <x v="0"/>
    <n v="58657.96"/>
    <x v="0"/>
  </r>
  <r>
    <x v="3"/>
    <x v="0"/>
    <n v="382"/>
    <x v="0"/>
  </r>
  <r>
    <x v="5"/>
    <x v="0"/>
    <n v="139306.16"/>
    <x v="0"/>
  </r>
  <r>
    <x v="6"/>
    <x v="0"/>
    <n v="773002.78"/>
    <x v="0"/>
  </r>
  <r>
    <x v="7"/>
    <x v="0"/>
    <n v="201750.88"/>
    <x v="0"/>
  </r>
  <r>
    <x v="8"/>
    <x v="0"/>
    <n v="206779.93"/>
    <x v="0"/>
  </r>
  <r>
    <x v="9"/>
    <x v="0"/>
    <n v="368433.47"/>
    <x v="0"/>
  </r>
  <r>
    <x v="10"/>
    <x v="0"/>
    <n v="302111.90000000002"/>
    <x v="0"/>
  </r>
  <r>
    <x v="11"/>
    <x v="0"/>
    <n v="153286"/>
    <x v="0"/>
  </r>
  <r>
    <x v="12"/>
    <x v="0"/>
    <n v="9482.2000000000007"/>
    <x v="0"/>
  </r>
  <r>
    <x v="26"/>
    <x v="0"/>
    <n v="8514"/>
    <x v="0"/>
  </r>
  <r>
    <x v="13"/>
    <x v="0"/>
    <n v="217789.48"/>
    <x v="0"/>
  </r>
  <r>
    <x v="14"/>
    <x v="0"/>
    <n v="74185.08"/>
    <x v="0"/>
  </r>
  <r>
    <x v="15"/>
    <x v="0"/>
    <n v="755801.69"/>
    <x v="0"/>
  </r>
  <r>
    <x v="16"/>
    <x v="0"/>
    <n v="119998.32"/>
    <x v="0"/>
  </r>
  <r>
    <x v="17"/>
    <x v="0"/>
    <n v="716673.97"/>
    <x v="0"/>
  </r>
  <r>
    <x v="18"/>
    <x v="0"/>
    <n v="8011.52"/>
    <x v="0"/>
  </r>
  <r>
    <x v="20"/>
    <x v="0"/>
    <n v="209839.09"/>
    <x v="0"/>
  </r>
  <r>
    <x v="21"/>
    <x v="0"/>
    <n v="38"/>
    <x v="0"/>
  </r>
  <r>
    <x v="22"/>
    <x v="0"/>
    <n v="3136.68"/>
    <x v="0"/>
  </r>
  <r>
    <x v="23"/>
    <x v="0"/>
    <n v="181309.81"/>
    <x v="0"/>
  </r>
  <r>
    <x v="24"/>
    <x v="0"/>
    <n v="329720.7"/>
    <x v="0"/>
  </r>
  <r>
    <x v="25"/>
    <x v="0"/>
    <n v="308851.84000000003"/>
    <x v="0"/>
  </r>
  <r>
    <x v="0"/>
    <x v="0"/>
    <n v="8384.99"/>
    <x v="0"/>
  </r>
  <r>
    <x v="1"/>
    <x v="0"/>
    <n v="349582.44"/>
    <x v="0"/>
  </r>
  <r>
    <x v="2"/>
    <x v="0"/>
    <n v="147729.26"/>
    <x v="0"/>
  </r>
  <r>
    <x v="5"/>
    <x v="0"/>
    <n v="159343.32"/>
    <x v="0"/>
  </r>
  <r>
    <x v="6"/>
    <x v="0"/>
    <n v="749075.58"/>
    <x v="0"/>
  </r>
  <r>
    <x v="7"/>
    <x v="0"/>
    <n v="172293.81"/>
    <x v="0"/>
  </r>
  <r>
    <x v="8"/>
    <x v="0"/>
    <n v="329216.82"/>
    <x v="0"/>
  </r>
  <r>
    <x v="9"/>
    <x v="0"/>
    <n v="822868.76"/>
    <x v="0"/>
  </r>
  <r>
    <x v="10"/>
    <x v="0"/>
    <n v="362080.56"/>
    <x v="0"/>
  </r>
  <r>
    <x v="11"/>
    <x v="0"/>
    <n v="199781.99"/>
    <x v="0"/>
  </r>
  <r>
    <x v="12"/>
    <x v="0"/>
    <n v="21075.4"/>
    <x v="0"/>
  </r>
  <r>
    <x v="26"/>
    <x v="0"/>
    <n v="14420"/>
    <x v="0"/>
  </r>
  <r>
    <x v="13"/>
    <x v="0"/>
    <n v="212982.92"/>
    <x v="0"/>
  </r>
  <r>
    <x v="14"/>
    <x v="0"/>
    <n v="162608.87"/>
    <x v="0"/>
  </r>
  <r>
    <x v="15"/>
    <x v="0"/>
    <n v="877474.87"/>
    <x v="0"/>
  </r>
  <r>
    <x v="16"/>
    <x v="0"/>
    <n v="123616.38"/>
    <x v="0"/>
  </r>
  <r>
    <x v="17"/>
    <x v="0"/>
    <n v="825799.38"/>
    <x v="0"/>
  </r>
  <r>
    <x v="18"/>
    <x v="0"/>
    <n v="15066.82"/>
    <x v="0"/>
  </r>
  <r>
    <x v="20"/>
    <x v="0"/>
    <n v="222802.88"/>
    <x v="0"/>
  </r>
  <r>
    <x v="21"/>
    <x v="0"/>
    <n v="57"/>
    <x v="0"/>
  </r>
  <r>
    <x v="22"/>
    <x v="0"/>
    <n v="4268.32"/>
    <x v="0"/>
  </r>
  <r>
    <x v="23"/>
    <x v="0"/>
    <n v="228893.54"/>
    <x v="0"/>
  </r>
  <r>
    <x v="24"/>
    <x v="0"/>
    <n v="423845.98"/>
    <x v="0"/>
  </r>
  <r>
    <x v="25"/>
    <x v="0"/>
    <n v="479050.18"/>
    <x v="0"/>
  </r>
  <r>
    <x v="0"/>
    <x v="0"/>
    <n v="14994.98"/>
    <x v="0"/>
  </r>
  <r>
    <x v="1"/>
    <x v="0"/>
    <n v="605994.75"/>
    <x v="0"/>
  </r>
  <r>
    <x v="2"/>
    <x v="0"/>
    <n v="262526.49"/>
    <x v="0"/>
  </r>
  <r>
    <x v="3"/>
    <x v="0"/>
    <n v="5155"/>
    <x v="0"/>
  </r>
  <r>
    <x v="5"/>
    <x v="0"/>
    <n v="256072.55"/>
    <x v="0"/>
  </r>
  <r>
    <x v="6"/>
    <x v="0"/>
    <n v="916364.36"/>
    <x v="0"/>
  </r>
  <r>
    <x v="7"/>
    <x v="0"/>
    <n v="228237.28"/>
    <x v="0"/>
  </r>
  <r>
    <x v="8"/>
    <x v="0"/>
    <n v="390460.89"/>
    <x v="0"/>
  </r>
  <r>
    <x v="9"/>
    <x v="0"/>
    <n v="863947.79"/>
    <x v="0"/>
  </r>
  <r>
    <x v="10"/>
    <x v="0"/>
    <n v="390414.15"/>
    <x v="0"/>
  </r>
  <r>
    <x v="11"/>
    <x v="0"/>
    <n v="293619.99"/>
    <x v="0"/>
  </r>
  <r>
    <x v="12"/>
    <x v="0"/>
    <n v="38052.6"/>
    <x v="0"/>
  </r>
  <r>
    <x v="26"/>
    <x v="0"/>
    <n v="9859"/>
    <x v="0"/>
  </r>
  <r>
    <x v="13"/>
    <x v="0"/>
    <n v="238628.04"/>
    <x v="0"/>
  </r>
  <r>
    <x v="14"/>
    <x v="0"/>
    <n v="218662.1"/>
    <x v="0"/>
  </r>
  <r>
    <x v="15"/>
    <x v="0"/>
    <n v="1269073.6200000001"/>
    <x v="0"/>
  </r>
  <r>
    <x v="16"/>
    <x v="0"/>
    <n v="195895.36"/>
    <x v="0"/>
  </r>
  <r>
    <x v="17"/>
    <x v="0"/>
    <n v="1308679.6299999999"/>
    <x v="0"/>
  </r>
  <r>
    <x v="18"/>
    <x v="0"/>
    <n v="14742.45"/>
    <x v="0"/>
  </r>
  <r>
    <x v="20"/>
    <x v="0"/>
    <n v="306580.92"/>
    <x v="0"/>
  </r>
  <r>
    <x v="21"/>
    <x v="0"/>
    <n v="19"/>
    <x v="0"/>
  </r>
  <r>
    <x v="22"/>
    <x v="0"/>
    <n v="2096.44"/>
    <x v="0"/>
  </r>
  <r>
    <x v="23"/>
    <x v="0"/>
    <n v="326834.89"/>
    <x v="0"/>
  </r>
  <r>
    <x v="24"/>
    <x v="0"/>
    <n v="1175862.27"/>
    <x v="0"/>
  </r>
  <r>
    <x v="25"/>
    <x v="0"/>
    <n v="521661.31"/>
    <x v="0"/>
  </r>
  <r>
    <x v="0"/>
    <x v="0"/>
    <n v="14513.99"/>
    <x v="0"/>
  </r>
  <r>
    <x v="1"/>
    <x v="0"/>
    <n v="579379.93999999994"/>
    <x v="0"/>
  </r>
  <r>
    <x v="2"/>
    <x v="0"/>
    <n v="235514.2"/>
    <x v="0"/>
  </r>
  <r>
    <x v="3"/>
    <x v="0"/>
    <n v="8700"/>
    <x v="0"/>
  </r>
  <r>
    <x v="5"/>
    <x v="0"/>
    <n v="244663.23"/>
    <x v="0"/>
  </r>
  <r>
    <x v="6"/>
    <x v="0"/>
    <n v="869569.9"/>
    <x v="0"/>
  </r>
  <r>
    <x v="7"/>
    <x v="0"/>
    <n v="229446.49"/>
    <x v="0"/>
  </r>
  <r>
    <x v="8"/>
    <x v="0"/>
    <n v="384037.93"/>
    <x v="0"/>
  </r>
  <r>
    <x v="9"/>
    <x v="0"/>
    <n v="811487.49"/>
    <x v="0"/>
  </r>
  <r>
    <x v="10"/>
    <x v="0"/>
    <n v="416812.29"/>
    <x v="0"/>
  </r>
  <r>
    <x v="11"/>
    <x v="0"/>
    <n v="237555.98"/>
    <x v="0"/>
  </r>
  <r>
    <x v="12"/>
    <x v="0"/>
    <n v="10136.6"/>
    <x v="0"/>
  </r>
  <r>
    <x v="26"/>
    <x v="0"/>
    <n v="6998"/>
    <x v="0"/>
  </r>
  <r>
    <x v="13"/>
    <x v="0"/>
    <n v="109898.99"/>
    <x v="0"/>
  </r>
  <r>
    <x v="14"/>
    <x v="0"/>
    <n v="131201.56"/>
    <x v="0"/>
  </r>
  <r>
    <x v="15"/>
    <x v="0"/>
    <n v="1083976.22"/>
    <x v="0"/>
  </r>
  <r>
    <x v="16"/>
    <x v="0"/>
    <n v="177286.2"/>
    <x v="0"/>
  </r>
  <r>
    <x v="17"/>
    <x v="0"/>
    <n v="1161646.54"/>
    <x v="0"/>
  </r>
  <r>
    <x v="18"/>
    <x v="0"/>
    <n v="11793.81"/>
    <x v="0"/>
  </r>
  <r>
    <x v="20"/>
    <x v="0"/>
    <n v="283347.27"/>
    <x v="0"/>
  </r>
  <r>
    <x v="21"/>
    <x v="0"/>
    <n v="152"/>
    <x v="0"/>
  </r>
  <r>
    <x v="22"/>
    <x v="0"/>
    <n v="2160.7600000000002"/>
    <x v="0"/>
  </r>
  <r>
    <x v="23"/>
    <x v="0"/>
    <n v="265749.12"/>
    <x v="0"/>
  </r>
  <r>
    <x v="24"/>
    <x v="0"/>
    <n v="472420.09"/>
    <x v="0"/>
  </r>
  <r>
    <x v="25"/>
    <x v="0"/>
    <n v="457094.72"/>
    <x v="0"/>
  </r>
  <r>
    <x v="0"/>
    <x v="0"/>
    <n v="12629.99"/>
    <x v="0"/>
  </r>
  <r>
    <x v="1"/>
    <x v="0"/>
    <n v="602732.23"/>
    <x v="0"/>
  </r>
  <r>
    <x v="2"/>
    <x v="0"/>
    <n v="214233.89"/>
    <x v="0"/>
  </r>
  <r>
    <x v="3"/>
    <x v="0"/>
    <n v="420"/>
    <x v="0"/>
  </r>
  <r>
    <x v="5"/>
    <x v="0"/>
    <n v="155491.26"/>
    <x v="0"/>
  </r>
  <r>
    <x v="6"/>
    <x v="0"/>
    <n v="587487.56999999995"/>
    <x v="0"/>
  </r>
  <r>
    <x v="7"/>
    <x v="0"/>
    <n v="130528"/>
    <x v="0"/>
  </r>
  <r>
    <x v="8"/>
    <x v="0"/>
    <n v="161428.92000000001"/>
    <x v="0"/>
  </r>
  <r>
    <x v="9"/>
    <x v="0"/>
    <n v="716180.73"/>
    <x v="0"/>
  </r>
  <r>
    <x v="10"/>
    <x v="0"/>
    <n v="306619.84000000003"/>
    <x v="0"/>
  </r>
  <r>
    <x v="11"/>
    <x v="0"/>
    <n v="205687.98"/>
    <x v="0"/>
  </r>
  <r>
    <x v="12"/>
    <x v="0"/>
    <n v="9237.7999999999993"/>
    <x v="0"/>
  </r>
  <r>
    <x v="26"/>
    <x v="0"/>
    <n v="3442"/>
    <x v="0"/>
  </r>
  <r>
    <x v="13"/>
    <x v="0"/>
    <n v="47785.36"/>
    <x v="0"/>
  </r>
  <r>
    <x v="14"/>
    <x v="0"/>
    <n v="120842.06"/>
    <x v="0"/>
  </r>
  <r>
    <x v="15"/>
    <x v="0"/>
    <n v="606107.5"/>
    <x v="0"/>
  </r>
  <r>
    <x v="16"/>
    <x v="0"/>
    <n v="76471.3"/>
    <x v="0"/>
  </r>
  <r>
    <x v="17"/>
    <x v="0"/>
    <n v="526507.06999999995"/>
    <x v="0"/>
  </r>
  <r>
    <x v="18"/>
    <x v="0"/>
    <n v="7172.11"/>
    <x v="0"/>
  </r>
  <r>
    <x v="20"/>
    <x v="0"/>
    <n v="219602.46"/>
    <x v="0"/>
  </r>
  <r>
    <x v="21"/>
    <x v="0"/>
    <n v="57"/>
    <x v="0"/>
  </r>
  <r>
    <x v="22"/>
    <x v="0"/>
    <n v="4333.08"/>
    <x v="0"/>
  </r>
  <r>
    <x v="23"/>
    <x v="0"/>
    <n v="188873.82"/>
    <x v="0"/>
  </r>
  <r>
    <x v="24"/>
    <x v="0"/>
    <n v="323085.56"/>
    <x v="0"/>
  </r>
  <r>
    <x v="25"/>
    <x v="0"/>
    <n v="311339.23"/>
    <x v="0"/>
  </r>
  <r>
    <x v="0"/>
    <x v="0"/>
    <n v="6728"/>
    <x v="0"/>
  </r>
  <r>
    <x v="1"/>
    <x v="0"/>
    <n v="221090.77"/>
    <x v="0"/>
  </r>
  <r>
    <x v="2"/>
    <x v="0"/>
    <n v="94007.69"/>
    <x v="0"/>
  </r>
  <r>
    <x v="3"/>
    <x v="0"/>
    <n v="2264"/>
    <x v="0"/>
  </r>
  <r>
    <x v="5"/>
    <x v="0"/>
    <n v="94650.28"/>
    <x v="0"/>
  </r>
  <r>
    <x v="6"/>
    <x v="0"/>
    <n v="642282.13"/>
    <x v="0"/>
  </r>
  <r>
    <x v="7"/>
    <x v="0"/>
    <n v="92469.07"/>
    <x v="0"/>
  </r>
  <r>
    <x v="8"/>
    <x v="0"/>
    <n v="97346.64"/>
    <x v="0"/>
  </r>
  <r>
    <x v="9"/>
    <x v="0"/>
    <n v="326618"/>
    <x v="0"/>
  </r>
  <r>
    <x v="10"/>
    <x v="0"/>
    <n v="144853.62"/>
    <x v="0"/>
  </r>
  <r>
    <x v="11"/>
    <x v="0"/>
    <n v="139055.99"/>
    <x v="0"/>
  </r>
  <r>
    <x v="12"/>
    <x v="0"/>
    <n v="14253.6"/>
    <x v="0"/>
  </r>
  <r>
    <x v="26"/>
    <x v="0"/>
    <n v="5431"/>
    <x v="0"/>
  </r>
  <r>
    <x v="13"/>
    <x v="0"/>
    <n v="80745.070000000007"/>
    <x v="0"/>
  </r>
  <r>
    <x v="14"/>
    <x v="0"/>
    <n v="23080.74"/>
    <x v="0"/>
  </r>
  <r>
    <x v="15"/>
    <x v="0"/>
    <n v="311636.40000000002"/>
    <x v="0"/>
  </r>
  <r>
    <x v="16"/>
    <x v="0"/>
    <n v="59162.9"/>
    <x v="0"/>
  </r>
  <r>
    <x v="17"/>
    <x v="0"/>
    <n v="190932.52"/>
    <x v="0"/>
  </r>
  <r>
    <x v="18"/>
    <x v="0"/>
    <n v="4382.29"/>
    <x v="0"/>
  </r>
  <r>
    <x v="20"/>
    <x v="0"/>
    <n v="171432.05"/>
    <x v="0"/>
  </r>
  <r>
    <x v="21"/>
    <x v="0"/>
    <n v="19"/>
    <x v="0"/>
  </r>
  <r>
    <x v="22"/>
    <x v="0"/>
    <n v="855.96"/>
    <x v="0"/>
  </r>
  <r>
    <x v="23"/>
    <x v="0"/>
    <n v="137125.22"/>
    <x v="0"/>
  </r>
  <r>
    <x v="24"/>
    <x v="0"/>
    <n v="317931.7"/>
    <x v="0"/>
  </r>
  <r>
    <x v="25"/>
    <x v="0"/>
    <n v="303416.96000000002"/>
    <x v="0"/>
  </r>
  <r>
    <x v="0"/>
    <x v="0"/>
    <n v="9848"/>
    <x v="0"/>
  </r>
  <r>
    <x v="1"/>
    <x v="0"/>
    <n v="182404.09"/>
    <x v="0"/>
  </r>
  <r>
    <x v="2"/>
    <x v="0"/>
    <n v="87020.11"/>
    <x v="0"/>
  </r>
  <r>
    <x v="3"/>
    <x v="0"/>
    <n v="710"/>
    <x v="0"/>
  </r>
  <r>
    <x v="5"/>
    <x v="0"/>
    <n v="90496.74"/>
    <x v="0"/>
  </r>
  <r>
    <x v="6"/>
    <x v="0"/>
    <n v="391926.62"/>
    <x v="0"/>
  </r>
  <r>
    <x v="7"/>
    <x v="0"/>
    <n v="110935.14"/>
    <x v="0"/>
  </r>
  <r>
    <x v="8"/>
    <x v="0"/>
    <n v="111157.9"/>
    <x v="0"/>
  </r>
  <r>
    <x v="9"/>
    <x v="0"/>
    <n v="262230"/>
    <x v="0"/>
  </r>
  <r>
    <x v="10"/>
    <x v="0"/>
    <n v="175078.74"/>
    <x v="0"/>
  </r>
  <r>
    <x v="11"/>
    <x v="0"/>
    <n v="143529"/>
    <x v="0"/>
  </r>
  <r>
    <x v="12"/>
    <x v="0"/>
    <n v="1877.4"/>
    <x v="0"/>
  </r>
  <r>
    <x v="26"/>
    <x v="0"/>
    <n v="2600"/>
    <x v="0"/>
  </r>
  <r>
    <x v="13"/>
    <x v="0"/>
    <n v="111383.6"/>
    <x v="0"/>
  </r>
  <r>
    <x v="14"/>
    <x v="0"/>
    <n v="37939.730000000003"/>
    <x v="0"/>
  </r>
  <r>
    <x v="15"/>
    <x v="0"/>
    <n v="376326.3"/>
    <x v="0"/>
  </r>
  <r>
    <x v="16"/>
    <x v="0"/>
    <n v="47805.2"/>
    <x v="0"/>
  </r>
  <r>
    <x v="17"/>
    <x v="0"/>
    <n v="356687.52"/>
    <x v="0"/>
  </r>
  <r>
    <x v="18"/>
    <x v="0"/>
    <n v="6309.71"/>
    <x v="0"/>
  </r>
  <r>
    <x v="20"/>
    <x v="0"/>
    <n v="141904.54999999999"/>
    <x v="0"/>
  </r>
  <r>
    <x v="21"/>
    <x v="0"/>
    <n v="133"/>
    <x v="0"/>
  </r>
  <r>
    <x v="22"/>
    <x v="0"/>
    <n v="2482.12"/>
    <x v="0"/>
  </r>
  <r>
    <x v="23"/>
    <x v="0"/>
    <n v="141861.28"/>
    <x v="0"/>
  </r>
  <r>
    <x v="24"/>
    <x v="0"/>
    <n v="290082.96000000002"/>
    <x v="0"/>
  </r>
  <r>
    <x v="25"/>
    <x v="0"/>
    <n v="294161.56"/>
    <x v="0"/>
  </r>
  <r>
    <x v="0"/>
    <x v="0"/>
    <n v="5874.99"/>
    <x v="0"/>
  </r>
  <r>
    <x v="1"/>
    <x v="0"/>
    <n v="178937.21"/>
    <x v="0"/>
  </r>
  <r>
    <x v="2"/>
    <x v="0"/>
    <n v="102810.83"/>
    <x v="0"/>
  </r>
  <r>
    <x v="5"/>
    <x v="0"/>
    <n v="73731.39"/>
    <x v="0"/>
  </r>
  <r>
    <x v="6"/>
    <x v="0"/>
    <n v="399387.25"/>
    <x v="0"/>
  </r>
  <r>
    <x v="7"/>
    <x v="0"/>
    <n v="99881.22"/>
    <x v="0"/>
  </r>
  <r>
    <x v="8"/>
    <x v="0"/>
    <n v="109292.5"/>
    <x v="0"/>
  </r>
  <r>
    <x v="9"/>
    <x v="0"/>
    <n v="383887"/>
    <x v="0"/>
  </r>
  <r>
    <x v="10"/>
    <x v="0"/>
    <n v="178878.84"/>
    <x v="0"/>
  </r>
  <r>
    <x v="11"/>
    <x v="0"/>
    <n v="126110"/>
    <x v="0"/>
  </r>
  <r>
    <x v="12"/>
    <x v="0"/>
    <n v="7783.8"/>
    <x v="0"/>
  </r>
  <r>
    <x v="26"/>
    <x v="0"/>
    <n v="2600"/>
    <x v="0"/>
  </r>
  <r>
    <x v="13"/>
    <x v="0"/>
    <n v="103960.86"/>
    <x v="0"/>
  </r>
  <r>
    <x v="14"/>
    <x v="0"/>
    <n v="88390.63"/>
    <x v="0"/>
  </r>
  <r>
    <x v="15"/>
    <x v="0"/>
    <n v="395567.2"/>
    <x v="0"/>
  </r>
  <r>
    <x v="16"/>
    <x v="0"/>
    <n v="51359.12"/>
    <x v="0"/>
  </r>
  <r>
    <x v="17"/>
    <x v="0"/>
    <n v="399010.95"/>
    <x v="0"/>
  </r>
  <r>
    <x v="18"/>
    <x v="0"/>
    <n v="8381.64"/>
    <x v="0"/>
  </r>
  <r>
    <x v="19"/>
    <x v="0"/>
    <n v="7486.95"/>
    <x v="0"/>
  </r>
  <r>
    <x v="20"/>
    <x v="0"/>
    <n v="159627.73000000001"/>
    <x v="0"/>
  </r>
  <r>
    <x v="21"/>
    <x v="0"/>
    <n v="38"/>
    <x v="0"/>
  </r>
  <r>
    <x v="22"/>
    <x v="0"/>
    <n v="1056.5999999999999"/>
    <x v="0"/>
  </r>
  <r>
    <x v="23"/>
    <x v="0"/>
    <n v="122428.2"/>
    <x v="0"/>
  </r>
  <r>
    <x v="24"/>
    <x v="0"/>
    <n v="238135.11"/>
    <x v="0"/>
  </r>
  <r>
    <x v="25"/>
    <x v="0"/>
    <n v="177953.89"/>
    <x v="0"/>
  </r>
  <r>
    <x v="0"/>
    <x v="0"/>
    <n v="9448.9500000000007"/>
    <x v="0"/>
  </r>
  <r>
    <x v="1"/>
    <x v="0"/>
    <n v="211130.26"/>
    <x v="0"/>
  </r>
  <r>
    <x v="2"/>
    <x v="0"/>
    <n v="118570.24000000001"/>
    <x v="0"/>
  </r>
  <r>
    <x v="4"/>
    <x v="0"/>
    <n v="1760"/>
    <x v="0"/>
  </r>
  <r>
    <x v="5"/>
    <x v="0"/>
    <n v="90947.92"/>
    <x v="0"/>
  </r>
  <r>
    <x v="6"/>
    <x v="0"/>
    <n v="560522.23"/>
    <x v="0"/>
  </r>
  <r>
    <x v="7"/>
    <x v="0"/>
    <n v="102674.15"/>
    <x v="0"/>
  </r>
  <r>
    <x v="8"/>
    <x v="0"/>
    <n v="112788.56"/>
    <x v="0"/>
  </r>
  <r>
    <x v="9"/>
    <x v="0"/>
    <n v="370605.5"/>
    <x v="0"/>
  </r>
  <r>
    <x v="10"/>
    <x v="0"/>
    <n v="219441.44"/>
    <x v="0"/>
  </r>
  <r>
    <x v="11"/>
    <x v="0"/>
    <n v="137902"/>
    <x v="0"/>
  </r>
  <r>
    <x v="12"/>
    <x v="0"/>
    <n v="11406"/>
    <x v="0"/>
  </r>
  <r>
    <x v="26"/>
    <x v="0"/>
    <n v="4550"/>
    <x v="0"/>
  </r>
  <r>
    <x v="13"/>
    <x v="0"/>
    <n v="157289.91"/>
    <x v="0"/>
  </r>
  <r>
    <x v="14"/>
    <x v="0"/>
    <n v="59528.94"/>
    <x v="0"/>
  </r>
  <r>
    <x v="15"/>
    <x v="0"/>
    <n v="487596.61"/>
    <x v="0"/>
  </r>
  <r>
    <x v="16"/>
    <x v="0"/>
    <n v="41205.839999999997"/>
    <x v="0"/>
  </r>
  <r>
    <x v="17"/>
    <x v="0"/>
    <n v="455940.76"/>
    <x v="0"/>
  </r>
  <r>
    <x v="18"/>
    <x v="0"/>
    <n v="11259.58"/>
    <x v="0"/>
  </r>
  <r>
    <x v="19"/>
    <x v="0"/>
    <n v="14755.59"/>
    <x v="0"/>
  </r>
  <r>
    <x v="20"/>
    <x v="0"/>
    <n v="158235.26"/>
    <x v="0"/>
  </r>
  <r>
    <x v="22"/>
    <x v="0"/>
    <n v="2588.44"/>
    <x v="0"/>
  </r>
  <r>
    <x v="23"/>
    <x v="0"/>
    <n v="123321.18"/>
    <x v="0"/>
  </r>
  <r>
    <x v="24"/>
    <x v="0"/>
    <n v="212701.41"/>
    <x v="0"/>
  </r>
  <r>
    <x v="25"/>
    <x v="0"/>
    <n v="232039.71"/>
    <x v="0"/>
  </r>
  <r>
    <x v="0"/>
    <x v="0"/>
    <n v="11969.96"/>
    <x v="0"/>
  </r>
  <r>
    <x v="1"/>
    <x v="0"/>
    <n v="187228.13"/>
    <x v="0"/>
  </r>
  <r>
    <x v="2"/>
    <x v="0"/>
    <n v="106139.22"/>
    <x v="0"/>
  </r>
  <r>
    <x v="3"/>
    <x v="0"/>
    <n v="1492"/>
    <x v="0"/>
  </r>
  <r>
    <x v="5"/>
    <x v="0"/>
    <n v="97303.28"/>
    <x v="0"/>
  </r>
  <r>
    <x v="6"/>
    <x v="0"/>
    <n v="371127.71"/>
    <x v="0"/>
  </r>
  <r>
    <x v="7"/>
    <x v="0"/>
    <n v="111378.68"/>
    <x v="0"/>
  </r>
  <r>
    <x v="8"/>
    <x v="0"/>
    <n v="127607.71"/>
    <x v="0"/>
  </r>
  <r>
    <x v="9"/>
    <x v="0"/>
    <n v="336277.11"/>
    <x v="0"/>
  </r>
  <r>
    <x v="10"/>
    <x v="0"/>
    <n v="230238.1"/>
    <x v="0"/>
  </r>
  <r>
    <x v="11"/>
    <x v="0"/>
    <n v="148790"/>
    <x v="0"/>
  </r>
  <r>
    <x v="12"/>
    <x v="0"/>
    <n v="8598.7999999999993"/>
    <x v="0"/>
  </r>
  <r>
    <x v="26"/>
    <x v="0"/>
    <n v="5200"/>
    <x v="0"/>
  </r>
  <r>
    <x v="13"/>
    <x v="0"/>
    <n v="171916.39"/>
    <x v="0"/>
  </r>
  <r>
    <x v="14"/>
    <x v="0"/>
    <n v="72603.5"/>
    <x v="0"/>
  </r>
  <r>
    <x v="15"/>
    <x v="0"/>
    <n v="639344.96"/>
    <x v="0"/>
  </r>
  <r>
    <x v="16"/>
    <x v="0"/>
    <n v="109637.3"/>
    <x v="0"/>
  </r>
  <r>
    <x v="17"/>
    <x v="0"/>
    <n v="497023.1"/>
    <x v="0"/>
  </r>
  <r>
    <x v="18"/>
    <x v="0"/>
    <n v="10105.9"/>
    <x v="0"/>
  </r>
  <r>
    <x v="19"/>
    <x v="0"/>
    <n v="8586.48"/>
    <x v="0"/>
  </r>
  <r>
    <x v="20"/>
    <x v="0"/>
    <n v="200437.68"/>
    <x v="0"/>
  </r>
  <r>
    <x v="22"/>
    <x v="0"/>
    <n v="1902.72"/>
    <x v="0"/>
  </r>
  <r>
    <x v="23"/>
    <x v="0"/>
    <n v="131193.76999999999"/>
    <x v="0"/>
  </r>
  <r>
    <x v="24"/>
    <x v="0"/>
    <n v="235050.6"/>
    <x v="0"/>
  </r>
  <r>
    <x v="25"/>
    <x v="0"/>
    <n v="301419.81"/>
    <x v="0"/>
  </r>
  <r>
    <x v="0"/>
    <x v="0"/>
    <n v="10476.99"/>
    <x v="0"/>
  </r>
  <r>
    <x v="1"/>
    <x v="0"/>
    <n v="247582.53"/>
    <x v="0"/>
  </r>
  <r>
    <x v="2"/>
    <x v="0"/>
    <n v="101308.63"/>
    <x v="0"/>
  </r>
  <r>
    <x v="3"/>
    <x v="0"/>
    <n v="2130"/>
    <x v="0"/>
  </r>
  <r>
    <x v="4"/>
    <x v="0"/>
    <n v="5280"/>
    <x v="0"/>
  </r>
  <r>
    <x v="5"/>
    <x v="0"/>
    <n v="79747.16"/>
    <x v="0"/>
  </r>
  <r>
    <x v="6"/>
    <x v="0"/>
    <n v="381644.75"/>
    <x v="0"/>
  </r>
  <r>
    <x v="7"/>
    <x v="0"/>
    <n v="134848.44"/>
    <x v="0"/>
  </r>
  <r>
    <x v="8"/>
    <x v="0"/>
    <n v="131771.48000000001"/>
    <x v="0"/>
  </r>
  <r>
    <x v="9"/>
    <x v="0"/>
    <n v="277501"/>
    <x v="0"/>
  </r>
  <r>
    <x v="10"/>
    <x v="0"/>
    <n v="174144.15"/>
    <x v="0"/>
  </r>
  <r>
    <x v="11"/>
    <x v="0"/>
    <n v="103629"/>
    <x v="0"/>
  </r>
  <r>
    <x v="12"/>
    <x v="0"/>
    <n v="7485"/>
    <x v="0"/>
  </r>
  <r>
    <x v="26"/>
    <x v="0"/>
    <n v="1950"/>
    <x v="0"/>
  </r>
  <r>
    <x v="13"/>
    <x v="0"/>
    <n v="108352.64"/>
    <x v="0"/>
  </r>
  <r>
    <x v="14"/>
    <x v="0"/>
    <n v="35533.15"/>
    <x v="0"/>
  </r>
  <r>
    <x v="15"/>
    <x v="0"/>
    <n v="588351.25"/>
    <x v="0"/>
  </r>
  <r>
    <x v="16"/>
    <x v="0"/>
    <n v="78979.28"/>
    <x v="0"/>
  </r>
  <r>
    <x v="17"/>
    <x v="0"/>
    <n v="439219.98"/>
    <x v="0"/>
  </r>
  <r>
    <x v="18"/>
    <x v="0"/>
    <n v="11373.06"/>
    <x v="0"/>
  </r>
  <r>
    <x v="19"/>
    <x v="0"/>
    <n v="7714.95"/>
    <x v="0"/>
  </r>
  <r>
    <x v="20"/>
    <x v="0"/>
    <n v="168456.4"/>
    <x v="0"/>
  </r>
  <r>
    <x v="22"/>
    <x v="0"/>
    <n v="3167.12"/>
    <x v="0"/>
  </r>
  <r>
    <x v="23"/>
    <x v="0"/>
    <n v="151155.26999999999"/>
    <x v="0"/>
  </r>
  <r>
    <x v="24"/>
    <x v="0"/>
    <n v="253268.73"/>
    <x v="0"/>
  </r>
  <r>
    <x v="25"/>
    <x v="0"/>
    <n v="379699.89"/>
    <x v="0"/>
  </r>
  <r>
    <x v="0"/>
    <x v="0"/>
    <n v="9036.99"/>
    <x v="0"/>
  </r>
  <r>
    <x v="1"/>
    <x v="0"/>
    <n v="237396.06"/>
    <x v="0"/>
  </r>
  <r>
    <x v="2"/>
    <x v="0"/>
    <n v="74974.740000000005"/>
    <x v="0"/>
  </r>
  <r>
    <x v="3"/>
    <x v="0"/>
    <n v="574"/>
    <x v="0"/>
  </r>
  <r>
    <x v="5"/>
    <x v="0"/>
    <n v="87587.06"/>
    <x v="0"/>
  </r>
  <r>
    <x v="6"/>
    <x v="0"/>
    <n v="400012.79"/>
    <x v="0"/>
  </r>
  <r>
    <x v="7"/>
    <x v="0"/>
    <n v="88911.62"/>
    <x v="0"/>
  </r>
  <r>
    <x v="8"/>
    <x v="0"/>
    <n v="118848.59"/>
    <x v="0"/>
  </r>
  <r>
    <x v="9"/>
    <x v="0"/>
    <n v="233061"/>
    <x v="0"/>
  </r>
  <r>
    <x v="10"/>
    <x v="0"/>
    <n v="232050.24"/>
    <x v="0"/>
  </r>
  <r>
    <x v="11"/>
    <x v="0"/>
    <n v="78733"/>
    <x v="0"/>
  </r>
  <r>
    <x v="12"/>
    <x v="0"/>
    <n v="17976.2"/>
    <x v="0"/>
  </r>
  <r>
    <x v="13"/>
    <x v="0"/>
    <n v="58329.440000000002"/>
    <x v="0"/>
  </r>
  <r>
    <x v="14"/>
    <x v="0"/>
    <n v="40794.43"/>
    <x v="0"/>
  </r>
  <r>
    <x v="15"/>
    <x v="0"/>
    <n v="413009.47"/>
    <x v="0"/>
  </r>
  <r>
    <x v="16"/>
    <x v="0"/>
    <n v="67193.72"/>
    <x v="0"/>
  </r>
  <r>
    <x v="17"/>
    <x v="0"/>
    <n v="349689.82"/>
    <x v="0"/>
  </r>
  <r>
    <x v="18"/>
    <x v="0"/>
    <n v="9001.33"/>
    <x v="0"/>
  </r>
  <r>
    <x v="19"/>
    <x v="0"/>
    <n v="200.14"/>
    <x v="0"/>
  </r>
  <r>
    <x v="20"/>
    <x v="0"/>
    <n v="146625.42000000001"/>
    <x v="0"/>
  </r>
  <r>
    <x v="21"/>
    <x v="0"/>
    <n v="76"/>
    <x v="0"/>
  </r>
  <r>
    <x v="22"/>
    <x v="0"/>
    <n v="2199.3200000000002"/>
    <x v="0"/>
  </r>
  <r>
    <x v="23"/>
    <x v="0"/>
    <n v="93941.440000000002"/>
    <x v="0"/>
  </r>
  <r>
    <x v="24"/>
    <x v="0"/>
    <n v="221137.93"/>
    <x v="0"/>
  </r>
  <r>
    <x v="25"/>
    <x v="0"/>
    <n v="300537.75"/>
    <x v="0"/>
  </r>
  <r>
    <x v="0"/>
    <x v="0"/>
    <n v="6779.97"/>
    <x v="0"/>
  </r>
  <r>
    <x v="1"/>
    <x v="0"/>
    <n v="180409.55"/>
    <x v="0"/>
  </r>
  <r>
    <x v="2"/>
    <x v="0"/>
    <n v="75598.59"/>
    <x v="0"/>
  </r>
  <r>
    <x v="5"/>
    <x v="0"/>
    <n v="100698.55"/>
    <x v="0"/>
  </r>
  <r>
    <x v="6"/>
    <x v="0"/>
    <n v="503250.9"/>
    <x v="0"/>
  </r>
  <r>
    <x v="7"/>
    <x v="0"/>
    <n v="98716.28"/>
    <x v="0"/>
  </r>
  <r>
    <x v="8"/>
    <x v="0"/>
    <n v="220549.95"/>
    <x v="0"/>
  </r>
  <r>
    <x v="9"/>
    <x v="0"/>
    <n v="214549"/>
    <x v="0"/>
  </r>
  <r>
    <x v="10"/>
    <x v="0"/>
    <n v="170056.97"/>
    <x v="0"/>
  </r>
  <r>
    <x v="11"/>
    <x v="0"/>
    <n v="82145"/>
    <x v="0"/>
  </r>
  <r>
    <x v="12"/>
    <x v="0"/>
    <n v="11419.8"/>
    <x v="0"/>
  </r>
  <r>
    <x v="26"/>
    <x v="0"/>
    <n v="5850"/>
    <x v="0"/>
  </r>
  <r>
    <x v="13"/>
    <x v="0"/>
    <n v="41434.25"/>
    <x v="0"/>
  </r>
  <r>
    <x v="14"/>
    <x v="0"/>
    <n v="55332.46"/>
    <x v="0"/>
  </r>
  <r>
    <x v="15"/>
    <x v="0"/>
    <n v="479505.03"/>
    <x v="0"/>
  </r>
  <r>
    <x v="16"/>
    <x v="0"/>
    <n v="83807.86"/>
    <x v="0"/>
  </r>
  <r>
    <x v="17"/>
    <x v="0"/>
    <n v="492061.43"/>
    <x v="0"/>
  </r>
  <r>
    <x v="18"/>
    <x v="0"/>
    <n v="10272.02"/>
    <x v="0"/>
  </r>
  <r>
    <x v="19"/>
    <x v="0"/>
    <n v="2835"/>
    <x v="0"/>
  </r>
  <r>
    <x v="20"/>
    <x v="0"/>
    <n v="166987.84"/>
    <x v="0"/>
  </r>
  <r>
    <x v="22"/>
    <x v="0"/>
    <n v="665.88"/>
    <x v="0"/>
  </r>
  <r>
    <x v="23"/>
    <x v="0"/>
    <n v="104593.91"/>
    <x v="0"/>
  </r>
  <r>
    <x v="24"/>
    <x v="0"/>
    <n v="253017.36"/>
    <x v="0"/>
  </r>
  <r>
    <x v="25"/>
    <x v="0"/>
    <n v="332855.11"/>
    <x v="0"/>
  </r>
  <r>
    <x v="0"/>
    <x v="0"/>
    <n v="7214.99"/>
    <x v="0"/>
  </r>
  <r>
    <x v="1"/>
    <x v="0"/>
    <n v="205531.9"/>
    <x v="0"/>
  </r>
  <r>
    <x v="2"/>
    <x v="0"/>
    <n v="72783.02"/>
    <x v="0"/>
  </r>
  <r>
    <x v="3"/>
    <x v="0"/>
    <n v="994"/>
    <x v="0"/>
  </r>
  <r>
    <x v="5"/>
    <x v="0"/>
    <n v="110244.68"/>
    <x v="0"/>
  </r>
  <r>
    <x v="6"/>
    <x v="0"/>
    <n v="656217.67000000004"/>
    <x v="0"/>
  </r>
  <r>
    <x v="7"/>
    <x v="0"/>
    <n v="96405"/>
    <x v="0"/>
  </r>
  <r>
    <x v="8"/>
    <x v="0"/>
    <n v="232057.16"/>
    <x v="0"/>
  </r>
  <r>
    <x v="9"/>
    <x v="0"/>
    <n v="297658.96999999997"/>
    <x v="0"/>
  </r>
  <r>
    <x v="10"/>
    <x v="0"/>
    <n v="155873.24"/>
    <x v="0"/>
  </r>
  <r>
    <x v="11"/>
    <x v="0"/>
    <n v="101402.99"/>
    <x v="0"/>
  </r>
  <r>
    <x v="12"/>
    <x v="0"/>
    <n v="11618.4"/>
    <x v="0"/>
  </r>
  <r>
    <x v="26"/>
    <x v="0"/>
    <n v="1300"/>
    <x v="0"/>
  </r>
  <r>
    <x v="13"/>
    <x v="0"/>
    <n v="103842.14"/>
    <x v="0"/>
  </r>
  <r>
    <x v="14"/>
    <x v="0"/>
    <n v="58329.46"/>
    <x v="0"/>
  </r>
  <r>
    <x v="15"/>
    <x v="0"/>
    <n v="537855.62"/>
    <x v="0"/>
  </r>
  <r>
    <x v="16"/>
    <x v="0"/>
    <n v="66996.36"/>
    <x v="0"/>
  </r>
  <r>
    <x v="17"/>
    <x v="0"/>
    <n v="509377.86"/>
    <x v="0"/>
  </r>
  <r>
    <x v="18"/>
    <x v="0"/>
    <n v="10565.55"/>
    <x v="0"/>
  </r>
  <r>
    <x v="19"/>
    <x v="0"/>
    <n v="8995.1299999999992"/>
    <x v="0"/>
  </r>
  <r>
    <x v="20"/>
    <x v="0"/>
    <n v="165050.79"/>
    <x v="0"/>
  </r>
  <r>
    <x v="21"/>
    <x v="0"/>
    <n v="19"/>
    <x v="0"/>
  </r>
  <r>
    <x v="22"/>
    <x v="0"/>
    <n v="3203.28"/>
    <x v="0"/>
  </r>
  <r>
    <x v="23"/>
    <x v="0"/>
    <n v="123448.9"/>
    <x v="0"/>
  </r>
  <r>
    <x v="24"/>
    <x v="0"/>
    <n v="275552.21999999997"/>
    <x v="0"/>
  </r>
  <r>
    <x v="25"/>
    <x v="0"/>
    <n v="333526.32"/>
    <x v="0"/>
  </r>
  <r>
    <x v="0"/>
    <x v="0"/>
    <n v="13855"/>
    <x v="0"/>
  </r>
  <r>
    <x v="1"/>
    <x v="0"/>
    <n v="193677.15"/>
    <x v="0"/>
  </r>
  <r>
    <x v="2"/>
    <x v="0"/>
    <n v="67578.070000000007"/>
    <x v="0"/>
  </r>
  <r>
    <x v="5"/>
    <x v="0"/>
    <n v="109467.36"/>
    <x v="0"/>
  </r>
  <r>
    <x v="6"/>
    <x v="0"/>
    <n v="624742.47"/>
    <x v="0"/>
  </r>
  <r>
    <x v="7"/>
    <x v="0"/>
    <n v="91977.84"/>
    <x v="0"/>
  </r>
  <r>
    <x v="8"/>
    <x v="0"/>
    <n v="217825.59"/>
    <x v="0"/>
  </r>
  <r>
    <x v="9"/>
    <x v="0"/>
    <n v="316703.93"/>
    <x v="0"/>
  </r>
  <r>
    <x v="10"/>
    <x v="0"/>
    <n v="199146.58"/>
    <x v="0"/>
  </r>
  <r>
    <x v="11"/>
    <x v="0"/>
    <n v="75259.990000000005"/>
    <x v="0"/>
  </r>
  <r>
    <x v="12"/>
    <x v="0"/>
    <n v="8963.2000000000007"/>
    <x v="0"/>
  </r>
  <r>
    <x v="26"/>
    <x v="0"/>
    <n v="650"/>
    <x v="0"/>
  </r>
  <r>
    <x v="13"/>
    <x v="0"/>
    <n v="80620.63"/>
    <x v="0"/>
  </r>
  <r>
    <x v="14"/>
    <x v="0"/>
    <n v="74144.289999999994"/>
    <x v="0"/>
  </r>
  <r>
    <x v="15"/>
    <x v="0"/>
    <n v="609553.02"/>
    <x v="0"/>
  </r>
  <r>
    <x v="16"/>
    <x v="0"/>
    <n v="64988.14"/>
    <x v="0"/>
  </r>
  <r>
    <x v="17"/>
    <x v="0"/>
    <n v="543813.24"/>
    <x v="0"/>
  </r>
  <r>
    <x v="18"/>
    <x v="0"/>
    <n v="11261.98"/>
    <x v="0"/>
  </r>
  <r>
    <x v="19"/>
    <x v="0"/>
    <n v="7633.5"/>
    <x v="0"/>
  </r>
  <r>
    <x v="20"/>
    <x v="0"/>
    <n v="169018.41"/>
    <x v="0"/>
  </r>
  <r>
    <x v="21"/>
    <x v="0"/>
    <n v="209.75"/>
    <x v="0"/>
  </r>
  <r>
    <x v="22"/>
    <x v="0"/>
    <n v="374.2"/>
    <x v="0"/>
  </r>
  <r>
    <x v="23"/>
    <x v="0"/>
    <n v="161348.13"/>
    <x v="0"/>
  </r>
  <r>
    <x v="24"/>
    <x v="0"/>
    <n v="349705.99"/>
    <x v="0"/>
  </r>
  <r>
    <x v="25"/>
    <x v="0"/>
    <n v="326927.98"/>
    <x v="0"/>
  </r>
  <r>
    <x v="0"/>
    <x v="0"/>
    <n v="10452.99"/>
    <x v="0"/>
  </r>
  <r>
    <x v="1"/>
    <x v="0"/>
    <n v="224915.24"/>
    <x v="0"/>
  </r>
  <r>
    <x v="2"/>
    <x v="0"/>
    <n v="129995.58"/>
    <x v="0"/>
  </r>
  <r>
    <x v="3"/>
    <x v="0"/>
    <n v="740"/>
    <x v="0"/>
  </r>
  <r>
    <x v="5"/>
    <x v="0"/>
    <n v="117451.91"/>
    <x v="0"/>
  </r>
  <r>
    <x v="6"/>
    <x v="0"/>
    <n v="652566.07999999996"/>
    <x v="0"/>
  </r>
  <r>
    <x v="7"/>
    <x v="0"/>
    <n v="121243.92"/>
    <x v="0"/>
  </r>
  <r>
    <x v="8"/>
    <x v="0"/>
    <n v="294085.05"/>
    <x v="0"/>
  </r>
  <r>
    <x v="9"/>
    <x v="0"/>
    <n v="489852.36"/>
    <x v="0"/>
  </r>
  <r>
    <x v="10"/>
    <x v="0"/>
    <n v="265386.7"/>
    <x v="0"/>
  </r>
  <r>
    <x v="11"/>
    <x v="0"/>
    <n v="124751.99"/>
    <x v="0"/>
  </r>
  <r>
    <x v="12"/>
    <x v="0"/>
    <n v="4126.6000000000004"/>
    <x v="0"/>
  </r>
  <r>
    <x v="26"/>
    <x v="0"/>
    <n v="1300"/>
    <x v="0"/>
  </r>
  <r>
    <x v="13"/>
    <x v="0"/>
    <n v="83675.570000000007"/>
    <x v="0"/>
  </r>
  <r>
    <x v="14"/>
    <x v="0"/>
    <n v="221262.42"/>
    <x v="0"/>
  </r>
  <r>
    <x v="15"/>
    <x v="0"/>
    <n v="816058.3"/>
    <x v="0"/>
  </r>
  <r>
    <x v="16"/>
    <x v="0"/>
    <n v="52683.02"/>
    <x v="0"/>
  </r>
  <r>
    <x v="17"/>
    <x v="0"/>
    <n v="540619.82999999996"/>
    <x v="0"/>
  </r>
  <r>
    <x v="18"/>
    <x v="0"/>
    <n v="6943.54"/>
    <x v="0"/>
  </r>
  <r>
    <x v="19"/>
    <x v="0"/>
    <n v="5010.4399999999996"/>
    <x v="0"/>
  </r>
  <r>
    <x v="20"/>
    <x v="0"/>
    <n v="279304.67"/>
    <x v="0"/>
  </r>
  <r>
    <x v="21"/>
    <x v="0"/>
    <n v="266"/>
    <x v="0"/>
  </r>
  <r>
    <x v="22"/>
    <x v="0"/>
    <n v="974.92"/>
    <x v="0"/>
  </r>
  <r>
    <x v="23"/>
    <x v="0"/>
    <n v="191538.29"/>
    <x v="0"/>
  </r>
  <r>
    <x v="24"/>
    <x v="0"/>
    <n v="349465.81"/>
    <x v="0"/>
  </r>
  <r>
    <x v="25"/>
    <x v="0"/>
    <n v="411859.89"/>
    <x v="0"/>
  </r>
  <r>
    <x v="0"/>
    <x v="0"/>
    <n v="7850.96"/>
    <x v="0"/>
  </r>
  <r>
    <x v="1"/>
    <x v="0"/>
    <n v="281294.71999999997"/>
    <x v="0"/>
  </r>
  <r>
    <x v="2"/>
    <x v="0"/>
    <n v="163488.29"/>
    <x v="0"/>
  </r>
  <r>
    <x v="3"/>
    <x v="0"/>
    <n v="1994"/>
    <x v="0"/>
  </r>
  <r>
    <x v="5"/>
    <x v="0"/>
    <n v="142423.71"/>
    <x v="0"/>
  </r>
  <r>
    <x v="6"/>
    <x v="0"/>
    <n v="602383.34"/>
    <x v="0"/>
  </r>
  <r>
    <x v="7"/>
    <x v="0"/>
    <n v="173563.33"/>
    <x v="0"/>
  </r>
  <r>
    <x v="8"/>
    <x v="0"/>
    <n v="199184.76"/>
    <x v="0"/>
  </r>
  <r>
    <x v="9"/>
    <x v="0"/>
    <n v="645267.84"/>
    <x v="0"/>
  </r>
  <r>
    <x v="10"/>
    <x v="0"/>
    <n v="329741.44"/>
    <x v="0"/>
  </r>
  <r>
    <x v="11"/>
    <x v="0"/>
    <n v="197956.99"/>
    <x v="0"/>
  </r>
  <r>
    <x v="12"/>
    <x v="0"/>
    <n v="17051"/>
    <x v="0"/>
  </r>
  <r>
    <x v="26"/>
    <x v="0"/>
    <n v="1950"/>
    <x v="0"/>
  </r>
  <r>
    <x v="13"/>
    <x v="0"/>
    <n v="70571.75"/>
    <x v="0"/>
  </r>
  <r>
    <x v="14"/>
    <x v="0"/>
    <n v="114167.03999999999"/>
    <x v="0"/>
  </r>
  <r>
    <x v="15"/>
    <x v="0"/>
    <n v="793959.46"/>
    <x v="0"/>
  </r>
  <r>
    <x v="16"/>
    <x v="0"/>
    <n v="81802.42"/>
    <x v="0"/>
  </r>
  <r>
    <x v="17"/>
    <x v="0"/>
    <n v="632796.09"/>
    <x v="0"/>
  </r>
  <r>
    <x v="18"/>
    <x v="0"/>
    <n v="8543.82"/>
    <x v="0"/>
  </r>
  <r>
    <x v="19"/>
    <x v="0"/>
    <n v="2023.7"/>
    <x v="0"/>
  </r>
  <r>
    <x v="20"/>
    <x v="0"/>
    <n v="420200.34"/>
    <x v="0"/>
  </r>
  <r>
    <x v="21"/>
    <x v="0"/>
    <n v="57"/>
    <x v="0"/>
  </r>
  <r>
    <x v="22"/>
    <x v="0"/>
    <n v="865.92"/>
    <x v="0"/>
  </r>
  <r>
    <x v="23"/>
    <x v="0"/>
    <n v="197701.01"/>
    <x v="0"/>
  </r>
  <r>
    <x v="24"/>
    <x v="0"/>
    <n v="332124.45"/>
    <x v="0"/>
  </r>
  <r>
    <x v="25"/>
    <x v="0"/>
    <n v="402673.04"/>
    <x v="0"/>
  </r>
  <r>
    <x v="0"/>
    <x v="0"/>
    <n v="7710.97"/>
    <x v="0"/>
  </r>
  <r>
    <x v="1"/>
    <x v="0"/>
    <n v="267291.08"/>
    <x v="0"/>
  </r>
  <r>
    <x v="2"/>
    <x v="0"/>
    <n v="100904.19"/>
    <x v="0"/>
  </r>
  <r>
    <x v="3"/>
    <x v="0"/>
    <n v="710"/>
    <x v="0"/>
  </r>
  <r>
    <x v="5"/>
    <x v="0"/>
    <n v="95910.27"/>
    <x v="0"/>
  </r>
  <r>
    <x v="6"/>
    <x v="0"/>
    <n v="617324.05000000005"/>
    <x v="0"/>
  </r>
  <r>
    <x v="7"/>
    <x v="0"/>
    <n v="100844.89"/>
    <x v="0"/>
  </r>
  <r>
    <x v="8"/>
    <x v="0"/>
    <n v="228653.48"/>
    <x v="0"/>
  </r>
  <r>
    <x v="9"/>
    <x v="0"/>
    <n v="408639.77"/>
    <x v="0"/>
  </r>
  <r>
    <x v="10"/>
    <x v="0"/>
    <n v="185212.5"/>
    <x v="0"/>
  </r>
  <r>
    <x v="11"/>
    <x v="0"/>
    <n v="147402.99"/>
    <x v="0"/>
  </r>
  <r>
    <x v="12"/>
    <x v="0"/>
    <n v="8221.7999999999993"/>
    <x v="0"/>
  </r>
  <r>
    <x v="13"/>
    <x v="0"/>
    <n v="53335.98"/>
    <x v="0"/>
  </r>
  <r>
    <x v="14"/>
    <x v="0"/>
    <n v="54362.54"/>
    <x v="0"/>
  </r>
  <r>
    <x v="15"/>
    <x v="0"/>
    <n v="630990.5"/>
    <x v="0"/>
  </r>
  <r>
    <x v="16"/>
    <x v="0"/>
    <n v="80450.720000000001"/>
    <x v="0"/>
  </r>
  <r>
    <x v="17"/>
    <x v="0"/>
    <n v="584814.35"/>
    <x v="0"/>
  </r>
  <r>
    <x v="18"/>
    <x v="0"/>
    <n v="3671.16"/>
    <x v="0"/>
  </r>
  <r>
    <x v="20"/>
    <x v="0"/>
    <n v="190811.46"/>
    <x v="0"/>
  </r>
  <r>
    <x v="22"/>
    <x v="0"/>
    <n v="324.72000000000003"/>
    <x v="0"/>
  </r>
  <r>
    <x v="23"/>
    <x v="0"/>
    <n v="225070.37"/>
    <x v="0"/>
  </r>
  <r>
    <x v="24"/>
    <x v="0"/>
    <n v="315792.06"/>
    <x v="0"/>
  </r>
  <r>
    <x v="25"/>
    <x v="0"/>
    <n v="419762.67"/>
    <x v="0"/>
  </r>
  <r>
    <x v="0"/>
    <x v="0"/>
    <n v="2213"/>
    <x v="1"/>
  </r>
  <r>
    <x v="1"/>
    <x v="0"/>
    <n v="51615.08"/>
    <x v="1"/>
  </r>
  <r>
    <x v="2"/>
    <x v="0"/>
    <n v="37470.239999999998"/>
    <x v="1"/>
  </r>
  <r>
    <x v="3"/>
    <x v="0"/>
    <n v="1286"/>
    <x v="1"/>
  </r>
  <r>
    <x v="4"/>
    <x v="0"/>
    <n v="6477.89"/>
    <x v="1"/>
  </r>
  <r>
    <x v="5"/>
    <x v="0"/>
    <n v="113014.8"/>
    <x v="1"/>
  </r>
  <r>
    <x v="6"/>
    <x v="0"/>
    <n v="407615.55"/>
    <x v="1"/>
  </r>
  <r>
    <x v="7"/>
    <x v="0"/>
    <n v="28027"/>
    <x v="1"/>
  </r>
  <r>
    <x v="8"/>
    <x v="0"/>
    <n v="72917.289999999994"/>
    <x v="1"/>
  </r>
  <r>
    <x v="9"/>
    <x v="0"/>
    <n v="108895.48"/>
    <x v="1"/>
  </r>
  <r>
    <x v="10"/>
    <x v="0"/>
    <n v="50113.52"/>
    <x v="1"/>
  </r>
  <r>
    <x v="11"/>
    <x v="0"/>
    <n v="42579"/>
    <x v="1"/>
  </r>
  <r>
    <x v="12"/>
    <x v="0"/>
    <n v="1552"/>
    <x v="1"/>
  </r>
  <r>
    <x v="13"/>
    <x v="0"/>
    <n v="29689.279999999999"/>
    <x v="1"/>
  </r>
  <r>
    <x v="15"/>
    <x v="0"/>
    <n v="68993"/>
    <x v="1"/>
  </r>
  <r>
    <x v="16"/>
    <x v="0"/>
    <n v="11895.48"/>
    <x v="1"/>
  </r>
  <r>
    <x v="17"/>
    <x v="0"/>
    <n v="81985.48"/>
    <x v="1"/>
  </r>
  <r>
    <x v="20"/>
    <x v="0"/>
    <n v="5867"/>
    <x v="1"/>
  </r>
  <r>
    <x v="22"/>
    <x v="0"/>
    <n v="3897"/>
    <x v="1"/>
  </r>
  <r>
    <x v="23"/>
    <x v="0"/>
    <n v="30663.77"/>
    <x v="1"/>
  </r>
  <r>
    <x v="24"/>
    <x v="0"/>
    <n v="65629.960000000006"/>
    <x v="1"/>
  </r>
  <r>
    <x v="25"/>
    <x v="0"/>
    <n v="59388.79"/>
    <x v="1"/>
  </r>
  <r>
    <x v="0"/>
    <x v="0"/>
    <n v="4074"/>
    <x v="1"/>
  </r>
  <r>
    <x v="1"/>
    <x v="0"/>
    <n v="57278.98"/>
    <x v="1"/>
  </r>
  <r>
    <x v="2"/>
    <x v="0"/>
    <n v="29400.75"/>
    <x v="1"/>
  </r>
  <r>
    <x v="3"/>
    <x v="0"/>
    <n v="768"/>
    <x v="1"/>
  </r>
  <r>
    <x v="4"/>
    <x v="0"/>
    <n v="3553.62"/>
    <x v="1"/>
  </r>
  <r>
    <x v="5"/>
    <x v="0"/>
    <n v="126993.67"/>
    <x v="1"/>
  </r>
  <r>
    <x v="6"/>
    <x v="0"/>
    <n v="217498.94"/>
    <x v="1"/>
  </r>
  <r>
    <x v="7"/>
    <x v="0"/>
    <n v="40741"/>
    <x v="1"/>
  </r>
  <r>
    <x v="8"/>
    <x v="0"/>
    <n v="72940.91"/>
    <x v="1"/>
  </r>
  <r>
    <x v="9"/>
    <x v="0"/>
    <n v="125633.47"/>
    <x v="1"/>
  </r>
  <r>
    <x v="10"/>
    <x v="0"/>
    <n v="55624.800000000003"/>
    <x v="1"/>
  </r>
  <r>
    <x v="11"/>
    <x v="0"/>
    <n v="42441"/>
    <x v="1"/>
  </r>
  <r>
    <x v="12"/>
    <x v="0"/>
    <n v="1104"/>
    <x v="1"/>
  </r>
  <r>
    <x v="13"/>
    <x v="0"/>
    <n v="19153.009999999998"/>
    <x v="1"/>
  </r>
  <r>
    <x v="15"/>
    <x v="0"/>
    <n v="77657"/>
    <x v="1"/>
  </r>
  <r>
    <x v="16"/>
    <x v="0"/>
    <n v="7758.88"/>
    <x v="1"/>
  </r>
  <r>
    <x v="17"/>
    <x v="0"/>
    <n v="99125.46"/>
    <x v="1"/>
  </r>
  <r>
    <x v="20"/>
    <x v="0"/>
    <n v="4358"/>
    <x v="1"/>
  </r>
  <r>
    <x v="22"/>
    <x v="0"/>
    <n v="5451"/>
    <x v="1"/>
  </r>
  <r>
    <x v="23"/>
    <x v="0"/>
    <n v="26704.720000000001"/>
    <x v="1"/>
  </r>
  <r>
    <x v="24"/>
    <x v="0"/>
    <n v="48586.05"/>
    <x v="1"/>
  </r>
  <r>
    <x v="25"/>
    <x v="0"/>
    <n v="69921.87"/>
    <x v="1"/>
  </r>
  <r>
    <x v="0"/>
    <x v="0"/>
    <n v="5545"/>
    <x v="1"/>
  </r>
  <r>
    <x v="1"/>
    <x v="0"/>
    <n v="50305.55"/>
    <x v="1"/>
  </r>
  <r>
    <x v="2"/>
    <x v="0"/>
    <n v="32173.26"/>
    <x v="1"/>
  </r>
  <r>
    <x v="3"/>
    <x v="0"/>
    <n v="1077"/>
    <x v="1"/>
  </r>
  <r>
    <x v="4"/>
    <x v="0"/>
    <n v="1436"/>
    <x v="1"/>
  </r>
  <r>
    <x v="5"/>
    <x v="0"/>
    <n v="90121.01"/>
    <x v="1"/>
  </r>
  <r>
    <x v="6"/>
    <x v="0"/>
    <n v="298270.90000000002"/>
    <x v="1"/>
  </r>
  <r>
    <x v="7"/>
    <x v="0"/>
    <n v="34244"/>
    <x v="1"/>
  </r>
  <r>
    <x v="8"/>
    <x v="0"/>
    <n v="79713.75"/>
    <x v="1"/>
  </r>
  <r>
    <x v="9"/>
    <x v="0"/>
    <n v="124325.12"/>
    <x v="1"/>
  </r>
  <r>
    <x v="10"/>
    <x v="0"/>
    <n v="53086.52"/>
    <x v="1"/>
  </r>
  <r>
    <x v="11"/>
    <x v="0"/>
    <n v="31792.99"/>
    <x v="1"/>
  </r>
  <r>
    <x v="12"/>
    <x v="0"/>
    <n v="3344"/>
    <x v="1"/>
  </r>
  <r>
    <x v="13"/>
    <x v="0"/>
    <n v="21994.49"/>
    <x v="1"/>
  </r>
  <r>
    <x v="15"/>
    <x v="0"/>
    <n v="78195"/>
    <x v="1"/>
  </r>
  <r>
    <x v="16"/>
    <x v="0"/>
    <n v="8737.42"/>
    <x v="1"/>
  </r>
  <r>
    <x v="17"/>
    <x v="0"/>
    <n v="83674.98"/>
    <x v="1"/>
  </r>
  <r>
    <x v="20"/>
    <x v="0"/>
    <n v="5957"/>
    <x v="1"/>
  </r>
  <r>
    <x v="22"/>
    <x v="0"/>
    <n v="7944"/>
    <x v="1"/>
  </r>
  <r>
    <x v="23"/>
    <x v="0"/>
    <n v="24625.32"/>
    <x v="1"/>
  </r>
  <r>
    <x v="24"/>
    <x v="0"/>
    <n v="57979.59"/>
    <x v="1"/>
  </r>
  <r>
    <x v="25"/>
    <x v="0"/>
    <n v="54764.37"/>
    <x v="1"/>
  </r>
  <r>
    <x v="0"/>
    <x v="0"/>
    <n v="3270"/>
    <x v="1"/>
  </r>
  <r>
    <x v="1"/>
    <x v="0"/>
    <n v="53039.79"/>
    <x v="1"/>
  </r>
  <r>
    <x v="2"/>
    <x v="0"/>
    <n v="40203.97"/>
    <x v="1"/>
  </r>
  <r>
    <x v="3"/>
    <x v="0"/>
    <n v="693"/>
    <x v="1"/>
  </r>
  <r>
    <x v="4"/>
    <x v="0"/>
    <n v="4962.6499999999996"/>
    <x v="1"/>
  </r>
  <r>
    <x v="5"/>
    <x v="0"/>
    <n v="115140.04"/>
    <x v="1"/>
  </r>
  <r>
    <x v="6"/>
    <x v="0"/>
    <n v="172370.6"/>
    <x v="1"/>
  </r>
  <r>
    <x v="7"/>
    <x v="0"/>
    <n v="25780.18"/>
    <x v="1"/>
  </r>
  <r>
    <x v="8"/>
    <x v="0"/>
    <n v="56256.66"/>
    <x v="1"/>
  </r>
  <r>
    <x v="9"/>
    <x v="0"/>
    <n v="168191.47"/>
    <x v="1"/>
  </r>
  <r>
    <x v="10"/>
    <x v="0"/>
    <n v="51861.599999999999"/>
    <x v="1"/>
  </r>
  <r>
    <x v="11"/>
    <x v="0"/>
    <n v="33830"/>
    <x v="1"/>
  </r>
  <r>
    <x v="12"/>
    <x v="0"/>
    <n v="1180"/>
    <x v="1"/>
  </r>
  <r>
    <x v="13"/>
    <x v="0"/>
    <n v="24914.7"/>
    <x v="1"/>
  </r>
  <r>
    <x v="15"/>
    <x v="0"/>
    <n v="60663"/>
    <x v="1"/>
  </r>
  <r>
    <x v="16"/>
    <x v="0"/>
    <n v="15393.8"/>
    <x v="1"/>
  </r>
  <r>
    <x v="17"/>
    <x v="0"/>
    <n v="101850.73"/>
    <x v="1"/>
  </r>
  <r>
    <x v="20"/>
    <x v="0"/>
    <n v="4729"/>
    <x v="1"/>
  </r>
  <r>
    <x v="22"/>
    <x v="0"/>
    <n v="1874"/>
    <x v="1"/>
  </r>
  <r>
    <x v="23"/>
    <x v="0"/>
    <n v="21511.53"/>
    <x v="1"/>
  </r>
  <r>
    <x v="24"/>
    <x v="0"/>
    <n v="97230.48"/>
    <x v="1"/>
  </r>
  <r>
    <x v="25"/>
    <x v="0"/>
    <n v="59825.54"/>
    <x v="1"/>
  </r>
  <r>
    <x v="0"/>
    <x v="0"/>
    <n v="5028"/>
    <x v="1"/>
  </r>
  <r>
    <x v="1"/>
    <x v="0"/>
    <n v="42341.73"/>
    <x v="1"/>
  </r>
  <r>
    <x v="2"/>
    <x v="0"/>
    <n v="40642.85"/>
    <x v="1"/>
  </r>
  <r>
    <x v="3"/>
    <x v="0"/>
    <n v="672"/>
    <x v="1"/>
  </r>
  <r>
    <x v="4"/>
    <x v="0"/>
    <n v="8389.8700000000008"/>
    <x v="1"/>
  </r>
  <r>
    <x v="5"/>
    <x v="0"/>
    <n v="56593.36"/>
    <x v="1"/>
  </r>
  <r>
    <x v="6"/>
    <x v="0"/>
    <n v="149188.60999999999"/>
    <x v="1"/>
  </r>
  <r>
    <x v="7"/>
    <x v="0"/>
    <n v="32639.13"/>
    <x v="1"/>
  </r>
  <r>
    <x v="8"/>
    <x v="0"/>
    <n v="64334.720000000001"/>
    <x v="1"/>
  </r>
  <r>
    <x v="9"/>
    <x v="0"/>
    <n v="227637.98"/>
    <x v="1"/>
  </r>
  <r>
    <x v="10"/>
    <x v="0"/>
    <n v="51771.03"/>
    <x v="1"/>
  </r>
  <r>
    <x v="11"/>
    <x v="0"/>
    <n v="55914"/>
    <x v="1"/>
  </r>
  <r>
    <x v="12"/>
    <x v="0"/>
    <n v="1280"/>
    <x v="1"/>
  </r>
  <r>
    <x v="13"/>
    <x v="0"/>
    <n v="24319.49"/>
    <x v="1"/>
  </r>
  <r>
    <x v="15"/>
    <x v="0"/>
    <n v="71737"/>
    <x v="1"/>
  </r>
  <r>
    <x v="16"/>
    <x v="0"/>
    <n v="15519.24"/>
    <x v="1"/>
  </r>
  <r>
    <x v="17"/>
    <x v="0"/>
    <n v="75189.08"/>
    <x v="1"/>
  </r>
  <r>
    <x v="20"/>
    <x v="0"/>
    <n v="3261"/>
    <x v="1"/>
  </r>
  <r>
    <x v="22"/>
    <x v="0"/>
    <n v="2587"/>
    <x v="1"/>
  </r>
  <r>
    <x v="23"/>
    <x v="0"/>
    <n v="28799.49"/>
    <x v="1"/>
  </r>
  <r>
    <x v="24"/>
    <x v="0"/>
    <n v="117983.28"/>
    <x v="1"/>
  </r>
  <r>
    <x v="25"/>
    <x v="0"/>
    <n v="85511.24"/>
    <x v="1"/>
  </r>
  <r>
    <x v="0"/>
    <x v="0"/>
    <n v="5031"/>
    <x v="1"/>
  </r>
  <r>
    <x v="1"/>
    <x v="0"/>
    <n v="69519.5"/>
    <x v="1"/>
  </r>
  <r>
    <x v="2"/>
    <x v="0"/>
    <n v="56268.11"/>
    <x v="1"/>
  </r>
  <r>
    <x v="3"/>
    <x v="0"/>
    <n v="672"/>
    <x v="1"/>
  </r>
  <r>
    <x v="4"/>
    <x v="0"/>
    <n v="8425.01"/>
    <x v="1"/>
  </r>
  <r>
    <x v="5"/>
    <x v="0"/>
    <n v="104599.65"/>
    <x v="1"/>
  </r>
  <r>
    <x v="6"/>
    <x v="0"/>
    <n v="322887.46000000002"/>
    <x v="1"/>
  </r>
  <r>
    <x v="7"/>
    <x v="0"/>
    <n v="67860.98"/>
    <x v="1"/>
  </r>
  <r>
    <x v="8"/>
    <x v="0"/>
    <n v="109622.55"/>
    <x v="1"/>
  </r>
  <r>
    <x v="9"/>
    <x v="0"/>
    <n v="293751.7"/>
    <x v="1"/>
  </r>
  <r>
    <x v="10"/>
    <x v="0"/>
    <n v="78779.41"/>
    <x v="1"/>
  </r>
  <r>
    <x v="11"/>
    <x v="0"/>
    <n v="63793"/>
    <x v="1"/>
  </r>
  <r>
    <x v="12"/>
    <x v="0"/>
    <n v="2436"/>
    <x v="1"/>
  </r>
  <r>
    <x v="13"/>
    <x v="0"/>
    <n v="31891.69"/>
    <x v="1"/>
  </r>
  <r>
    <x v="15"/>
    <x v="0"/>
    <n v="142414"/>
    <x v="1"/>
  </r>
  <r>
    <x v="16"/>
    <x v="0"/>
    <n v="24344.880000000001"/>
    <x v="1"/>
  </r>
  <r>
    <x v="17"/>
    <x v="0"/>
    <n v="195663.68"/>
    <x v="1"/>
  </r>
  <r>
    <x v="20"/>
    <x v="0"/>
    <n v="7232"/>
    <x v="1"/>
  </r>
  <r>
    <x v="22"/>
    <x v="0"/>
    <n v="6347"/>
    <x v="1"/>
  </r>
  <r>
    <x v="23"/>
    <x v="0"/>
    <n v="85177.74"/>
    <x v="1"/>
  </r>
  <r>
    <x v="24"/>
    <x v="0"/>
    <n v="699873.42"/>
    <x v="1"/>
  </r>
  <r>
    <x v="25"/>
    <x v="0"/>
    <n v="146969.44"/>
    <x v="1"/>
  </r>
  <r>
    <x v="0"/>
    <x v="0"/>
    <n v="4090"/>
    <x v="1"/>
  </r>
  <r>
    <x v="1"/>
    <x v="0"/>
    <n v="63211.86"/>
    <x v="1"/>
  </r>
  <r>
    <x v="2"/>
    <x v="0"/>
    <n v="82046.929999999993"/>
    <x v="1"/>
  </r>
  <r>
    <x v="3"/>
    <x v="0"/>
    <n v="768"/>
    <x v="1"/>
  </r>
  <r>
    <x v="4"/>
    <x v="0"/>
    <n v="9899.23"/>
    <x v="1"/>
  </r>
  <r>
    <x v="5"/>
    <x v="0"/>
    <n v="90256.85"/>
    <x v="1"/>
  </r>
  <r>
    <x v="6"/>
    <x v="0"/>
    <n v="225981.18"/>
    <x v="1"/>
  </r>
  <r>
    <x v="7"/>
    <x v="0"/>
    <n v="64950.18"/>
    <x v="1"/>
  </r>
  <r>
    <x v="8"/>
    <x v="0"/>
    <n v="112005.69"/>
    <x v="1"/>
  </r>
  <r>
    <x v="9"/>
    <x v="0"/>
    <n v="302973.90999999997"/>
    <x v="1"/>
  </r>
  <r>
    <x v="10"/>
    <x v="0"/>
    <n v="102552.81"/>
    <x v="1"/>
  </r>
  <r>
    <x v="11"/>
    <x v="0"/>
    <n v="73218.990000000005"/>
    <x v="1"/>
  </r>
  <r>
    <x v="12"/>
    <x v="0"/>
    <n v="3016"/>
    <x v="1"/>
  </r>
  <r>
    <x v="13"/>
    <x v="0"/>
    <n v="23711.7"/>
    <x v="1"/>
  </r>
  <r>
    <x v="15"/>
    <x v="0"/>
    <n v="130435"/>
    <x v="1"/>
  </r>
  <r>
    <x v="16"/>
    <x v="0"/>
    <n v="16774.599999999999"/>
    <x v="1"/>
  </r>
  <r>
    <x v="17"/>
    <x v="0"/>
    <n v="151388.49"/>
    <x v="1"/>
  </r>
  <r>
    <x v="20"/>
    <x v="0"/>
    <n v="5236"/>
    <x v="1"/>
  </r>
  <r>
    <x v="22"/>
    <x v="0"/>
    <n v="5334"/>
    <x v="1"/>
  </r>
  <r>
    <x v="23"/>
    <x v="0"/>
    <n v="65493"/>
    <x v="1"/>
  </r>
  <r>
    <x v="24"/>
    <x v="0"/>
    <n v="114898.71"/>
    <x v="1"/>
  </r>
  <r>
    <x v="25"/>
    <x v="0"/>
    <n v="164039.51"/>
    <x v="1"/>
  </r>
  <r>
    <x v="0"/>
    <x v="0"/>
    <n v="2040"/>
    <x v="1"/>
  </r>
  <r>
    <x v="1"/>
    <x v="0"/>
    <n v="32345.85"/>
    <x v="1"/>
  </r>
  <r>
    <x v="2"/>
    <x v="0"/>
    <n v="33613.019999999997"/>
    <x v="1"/>
  </r>
  <r>
    <x v="3"/>
    <x v="0"/>
    <n v="288"/>
    <x v="1"/>
  </r>
  <r>
    <x v="4"/>
    <x v="0"/>
    <n v="2562"/>
    <x v="1"/>
  </r>
  <r>
    <x v="5"/>
    <x v="0"/>
    <n v="42639.63"/>
    <x v="1"/>
  </r>
  <r>
    <x v="6"/>
    <x v="0"/>
    <n v="144367.23000000001"/>
    <x v="1"/>
  </r>
  <r>
    <x v="7"/>
    <x v="0"/>
    <n v="44961.83"/>
    <x v="1"/>
  </r>
  <r>
    <x v="8"/>
    <x v="0"/>
    <n v="46689.18"/>
    <x v="1"/>
  </r>
  <r>
    <x v="9"/>
    <x v="0"/>
    <n v="158538.35999999999"/>
    <x v="1"/>
  </r>
  <r>
    <x v="10"/>
    <x v="0"/>
    <n v="66205.97"/>
    <x v="1"/>
  </r>
  <r>
    <x v="11"/>
    <x v="0"/>
    <n v="37695"/>
    <x v="1"/>
  </r>
  <r>
    <x v="12"/>
    <x v="0"/>
    <n v="1252"/>
    <x v="1"/>
  </r>
  <r>
    <x v="13"/>
    <x v="0"/>
    <n v="11155.29"/>
    <x v="1"/>
  </r>
  <r>
    <x v="15"/>
    <x v="0"/>
    <n v="60971"/>
    <x v="1"/>
  </r>
  <r>
    <x v="16"/>
    <x v="0"/>
    <n v="8003.78"/>
    <x v="1"/>
  </r>
  <r>
    <x v="17"/>
    <x v="0"/>
    <n v="220499.27"/>
    <x v="1"/>
  </r>
  <r>
    <x v="20"/>
    <x v="0"/>
    <n v="2533"/>
    <x v="1"/>
  </r>
  <r>
    <x v="22"/>
    <x v="0"/>
    <n v="2541"/>
    <x v="1"/>
  </r>
  <r>
    <x v="23"/>
    <x v="0"/>
    <n v="37201.620000000003"/>
    <x v="1"/>
  </r>
  <r>
    <x v="24"/>
    <x v="0"/>
    <n v="52644.43"/>
    <x v="1"/>
  </r>
  <r>
    <x v="25"/>
    <x v="0"/>
    <n v="66551.87"/>
    <x v="1"/>
  </r>
  <r>
    <x v="0"/>
    <x v="0"/>
    <n v="3481"/>
    <x v="1"/>
  </r>
  <r>
    <x v="1"/>
    <x v="0"/>
    <n v="38888.67"/>
    <x v="1"/>
  </r>
  <r>
    <x v="2"/>
    <x v="0"/>
    <n v="30956.99"/>
    <x v="1"/>
  </r>
  <r>
    <x v="3"/>
    <x v="0"/>
    <n v="192"/>
    <x v="1"/>
  </r>
  <r>
    <x v="4"/>
    <x v="0"/>
    <n v="5708.99"/>
    <x v="1"/>
  </r>
  <r>
    <x v="5"/>
    <x v="0"/>
    <n v="35872.89"/>
    <x v="1"/>
  </r>
  <r>
    <x v="6"/>
    <x v="0"/>
    <n v="137995.93"/>
    <x v="1"/>
  </r>
  <r>
    <x v="7"/>
    <x v="0"/>
    <n v="31720.6"/>
    <x v="1"/>
  </r>
  <r>
    <x v="8"/>
    <x v="0"/>
    <n v="51926.73"/>
    <x v="1"/>
  </r>
  <r>
    <x v="9"/>
    <x v="0"/>
    <n v="114743.65"/>
    <x v="1"/>
  </r>
  <r>
    <x v="10"/>
    <x v="0"/>
    <n v="47707.34"/>
    <x v="1"/>
  </r>
  <r>
    <x v="11"/>
    <x v="0"/>
    <n v="37374"/>
    <x v="1"/>
  </r>
  <r>
    <x v="12"/>
    <x v="0"/>
    <n v="824"/>
    <x v="1"/>
  </r>
  <r>
    <x v="13"/>
    <x v="0"/>
    <n v="10924.15"/>
    <x v="1"/>
  </r>
  <r>
    <x v="15"/>
    <x v="0"/>
    <n v="65359"/>
    <x v="1"/>
  </r>
  <r>
    <x v="16"/>
    <x v="0"/>
    <n v="9769.86"/>
    <x v="1"/>
  </r>
  <r>
    <x v="17"/>
    <x v="0"/>
    <n v="65107.42"/>
    <x v="1"/>
  </r>
  <r>
    <x v="20"/>
    <x v="0"/>
    <n v="4873"/>
    <x v="1"/>
  </r>
  <r>
    <x v="22"/>
    <x v="0"/>
    <n v="698"/>
    <x v="1"/>
  </r>
  <r>
    <x v="23"/>
    <x v="0"/>
    <n v="36758.68"/>
    <x v="1"/>
  </r>
  <r>
    <x v="24"/>
    <x v="0"/>
    <n v="88117.35"/>
    <x v="1"/>
  </r>
  <r>
    <x v="25"/>
    <x v="0"/>
    <n v="60657.760000000002"/>
    <x v="1"/>
  </r>
  <r>
    <x v="0"/>
    <x v="0"/>
    <n v="2528"/>
    <x v="1"/>
  </r>
  <r>
    <x v="1"/>
    <x v="0"/>
    <n v="39621.1"/>
    <x v="1"/>
  </r>
  <r>
    <x v="2"/>
    <x v="0"/>
    <n v="25452.959999999999"/>
    <x v="1"/>
  </r>
  <r>
    <x v="3"/>
    <x v="0"/>
    <n v="710"/>
    <x v="1"/>
  </r>
  <r>
    <x v="4"/>
    <x v="0"/>
    <n v="7671.36"/>
    <x v="1"/>
  </r>
  <r>
    <x v="5"/>
    <x v="0"/>
    <n v="43871.54"/>
    <x v="1"/>
  </r>
  <r>
    <x v="6"/>
    <x v="0"/>
    <n v="129710"/>
    <x v="1"/>
  </r>
  <r>
    <x v="7"/>
    <x v="0"/>
    <n v="31395.279999999999"/>
    <x v="1"/>
  </r>
  <r>
    <x v="8"/>
    <x v="0"/>
    <n v="56389.55"/>
    <x v="1"/>
  </r>
  <r>
    <x v="9"/>
    <x v="0"/>
    <n v="126358.5"/>
    <x v="1"/>
  </r>
  <r>
    <x v="10"/>
    <x v="0"/>
    <n v="53928.9"/>
    <x v="1"/>
  </r>
  <r>
    <x v="11"/>
    <x v="0"/>
    <n v="28256.49"/>
    <x v="1"/>
  </r>
  <r>
    <x v="12"/>
    <x v="0"/>
    <n v="500"/>
    <x v="1"/>
  </r>
  <r>
    <x v="13"/>
    <x v="0"/>
    <n v="10139.64"/>
    <x v="1"/>
  </r>
  <r>
    <x v="15"/>
    <x v="0"/>
    <n v="60837"/>
    <x v="1"/>
  </r>
  <r>
    <x v="16"/>
    <x v="0"/>
    <n v="3728.78"/>
    <x v="1"/>
  </r>
  <r>
    <x v="17"/>
    <x v="0"/>
    <n v="71495.320000000007"/>
    <x v="1"/>
  </r>
  <r>
    <x v="20"/>
    <x v="0"/>
    <n v="4998"/>
    <x v="1"/>
  </r>
  <r>
    <x v="22"/>
    <x v="0"/>
    <n v="1903"/>
    <x v="1"/>
  </r>
  <r>
    <x v="23"/>
    <x v="0"/>
    <n v="28220.35"/>
    <x v="1"/>
  </r>
  <r>
    <x v="24"/>
    <x v="0"/>
    <n v="68018.91"/>
    <x v="1"/>
  </r>
  <r>
    <x v="25"/>
    <x v="0"/>
    <n v="77050.13"/>
    <x v="1"/>
  </r>
  <r>
    <x v="0"/>
    <x v="0"/>
    <n v="1462"/>
    <x v="1"/>
  </r>
  <r>
    <x v="1"/>
    <x v="0"/>
    <n v="35139.51"/>
    <x v="1"/>
  </r>
  <r>
    <x v="2"/>
    <x v="0"/>
    <n v="30112.79"/>
    <x v="1"/>
  </r>
  <r>
    <x v="3"/>
    <x v="0"/>
    <n v="96"/>
    <x v="1"/>
  </r>
  <r>
    <x v="4"/>
    <x v="0"/>
    <n v="1598"/>
    <x v="1"/>
  </r>
  <r>
    <x v="5"/>
    <x v="0"/>
    <n v="54517.73"/>
    <x v="1"/>
  </r>
  <r>
    <x v="6"/>
    <x v="0"/>
    <n v="144060.89000000001"/>
    <x v="1"/>
  </r>
  <r>
    <x v="7"/>
    <x v="0"/>
    <n v="34098.47"/>
    <x v="1"/>
  </r>
  <r>
    <x v="8"/>
    <x v="0"/>
    <n v="54472.21"/>
    <x v="1"/>
  </r>
  <r>
    <x v="9"/>
    <x v="0"/>
    <n v="91016.52"/>
    <x v="1"/>
  </r>
  <r>
    <x v="10"/>
    <x v="0"/>
    <n v="29191.43"/>
    <x v="1"/>
  </r>
  <r>
    <x v="11"/>
    <x v="0"/>
    <n v="27588.47"/>
    <x v="1"/>
  </r>
  <r>
    <x v="12"/>
    <x v="0"/>
    <n v="340"/>
    <x v="1"/>
  </r>
  <r>
    <x v="13"/>
    <x v="0"/>
    <n v="7688.65"/>
    <x v="1"/>
  </r>
  <r>
    <x v="15"/>
    <x v="0"/>
    <n v="56232"/>
    <x v="1"/>
  </r>
  <r>
    <x v="16"/>
    <x v="0"/>
    <n v="7391.9"/>
    <x v="1"/>
  </r>
  <r>
    <x v="17"/>
    <x v="0"/>
    <n v="56330.2"/>
    <x v="1"/>
  </r>
  <r>
    <x v="20"/>
    <x v="0"/>
    <n v="3921"/>
    <x v="1"/>
  </r>
  <r>
    <x v="22"/>
    <x v="0"/>
    <n v="1549"/>
    <x v="1"/>
  </r>
  <r>
    <x v="23"/>
    <x v="0"/>
    <n v="30387.87"/>
    <x v="1"/>
  </r>
  <r>
    <x v="24"/>
    <x v="0"/>
    <n v="94167.31"/>
    <x v="1"/>
  </r>
  <r>
    <x v="25"/>
    <x v="0"/>
    <n v="65576.570000000007"/>
    <x v="1"/>
  </r>
  <r>
    <x v="0"/>
    <x v="0"/>
    <n v="1809"/>
    <x v="1"/>
  </r>
  <r>
    <x v="1"/>
    <x v="0"/>
    <n v="40794.47"/>
    <x v="1"/>
  </r>
  <r>
    <x v="2"/>
    <x v="0"/>
    <n v="30800.95"/>
    <x v="1"/>
  </r>
  <r>
    <x v="3"/>
    <x v="0"/>
    <n v="1002"/>
    <x v="1"/>
  </r>
  <r>
    <x v="4"/>
    <x v="0"/>
    <n v="4066.56"/>
    <x v="1"/>
  </r>
  <r>
    <x v="5"/>
    <x v="0"/>
    <n v="45527.39"/>
    <x v="1"/>
  </r>
  <r>
    <x v="6"/>
    <x v="0"/>
    <n v="308124.87"/>
    <x v="1"/>
  </r>
  <r>
    <x v="7"/>
    <x v="0"/>
    <n v="41367.26"/>
    <x v="1"/>
  </r>
  <r>
    <x v="8"/>
    <x v="0"/>
    <n v="53744.54"/>
    <x v="1"/>
  </r>
  <r>
    <x v="9"/>
    <x v="0"/>
    <n v="162172.71"/>
    <x v="1"/>
  </r>
  <r>
    <x v="10"/>
    <x v="0"/>
    <n v="63880.09"/>
    <x v="1"/>
  </r>
  <r>
    <x v="11"/>
    <x v="0"/>
    <n v="45977.49"/>
    <x v="1"/>
  </r>
  <r>
    <x v="12"/>
    <x v="0"/>
    <n v="660"/>
    <x v="1"/>
  </r>
  <r>
    <x v="13"/>
    <x v="0"/>
    <n v="2332.36"/>
    <x v="1"/>
  </r>
  <r>
    <x v="15"/>
    <x v="0"/>
    <n v="62018"/>
    <x v="1"/>
  </r>
  <r>
    <x v="16"/>
    <x v="0"/>
    <n v="9025.64"/>
    <x v="1"/>
  </r>
  <r>
    <x v="17"/>
    <x v="0"/>
    <n v="-75712.05"/>
    <x v="1"/>
  </r>
  <r>
    <x v="20"/>
    <x v="0"/>
    <n v="3510"/>
    <x v="1"/>
  </r>
  <r>
    <x v="22"/>
    <x v="0"/>
    <n v="923"/>
    <x v="1"/>
  </r>
  <r>
    <x v="23"/>
    <x v="0"/>
    <n v="29155.65"/>
    <x v="1"/>
  </r>
  <r>
    <x v="24"/>
    <x v="0"/>
    <n v="60976.4"/>
    <x v="1"/>
  </r>
  <r>
    <x v="25"/>
    <x v="0"/>
    <n v="77060.960000000006"/>
    <x v="1"/>
  </r>
  <r>
    <x v="0"/>
    <x v="0"/>
    <n v="4086"/>
    <x v="1"/>
  </r>
  <r>
    <x v="1"/>
    <x v="0"/>
    <n v="67931.48"/>
    <x v="1"/>
  </r>
  <r>
    <x v="2"/>
    <x v="0"/>
    <n v="53058.65"/>
    <x v="1"/>
  </r>
  <r>
    <x v="4"/>
    <x v="0"/>
    <n v="2639.56"/>
    <x v="1"/>
  </r>
  <r>
    <x v="5"/>
    <x v="0"/>
    <n v="75248.66"/>
    <x v="1"/>
  </r>
  <r>
    <x v="6"/>
    <x v="0"/>
    <n v="271900.93"/>
    <x v="1"/>
  </r>
  <r>
    <x v="7"/>
    <x v="0"/>
    <n v="66495.11"/>
    <x v="1"/>
  </r>
  <r>
    <x v="8"/>
    <x v="0"/>
    <n v="105517.66"/>
    <x v="1"/>
  </r>
  <r>
    <x v="9"/>
    <x v="0"/>
    <n v="208400.07"/>
    <x v="1"/>
  </r>
  <r>
    <x v="10"/>
    <x v="0"/>
    <n v="56677.5"/>
    <x v="1"/>
  </r>
  <r>
    <x v="11"/>
    <x v="0"/>
    <n v="48735.99"/>
    <x v="1"/>
  </r>
  <r>
    <x v="12"/>
    <x v="0"/>
    <n v="700"/>
    <x v="1"/>
  </r>
  <r>
    <x v="13"/>
    <x v="0"/>
    <n v="8215.69"/>
    <x v="1"/>
  </r>
  <r>
    <x v="15"/>
    <x v="0"/>
    <n v="95623"/>
    <x v="1"/>
  </r>
  <r>
    <x v="16"/>
    <x v="0"/>
    <n v="13782.64"/>
    <x v="1"/>
  </r>
  <r>
    <x v="17"/>
    <x v="0"/>
    <n v="102542.65"/>
    <x v="1"/>
  </r>
  <r>
    <x v="20"/>
    <x v="0"/>
    <n v="1682"/>
    <x v="1"/>
  </r>
  <r>
    <x v="22"/>
    <x v="0"/>
    <n v="6491"/>
    <x v="1"/>
  </r>
  <r>
    <x v="23"/>
    <x v="0"/>
    <n v="76420.160000000003"/>
    <x v="1"/>
  </r>
  <r>
    <x v="24"/>
    <x v="0"/>
    <n v="136763.18"/>
    <x v="1"/>
  </r>
  <r>
    <x v="25"/>
    <x v="0"/>
    <n v="146853.53"/>
    <x v="1"/>
  </r>
  <r>
    <x v="0"/>
    <x v="0"/>
    <n v="2273"/>
    <x v="1"/>
  </r>
  <r>
    <x v="1"/>
    <x v="0"/>
    <n v="55657.99"/>
    <x v="1"/>
  </r>
  <r>
    <x v="2"/>
    <x v="0"/>
    <n v="145583.97"/>
    <x v="1"/>
  </r>
  <r>
    <x v="3"/>
    <x v="0"/>
    <n v="710"/>
    <x v="1"/>
  </r>
  <r>
    <x v="4"/>
    <x v="0"/>
    <n v="7281.64"/>
    <x v="1"/>
  </r>
  <r>
    <x v="5"/>
    <x v="0"/>
    <n v="80535.23"/>
    <x v="1"/>
  </r>
  <r>
    <x v="6"/>
    <x v="0"/>
    <n v="228922.34"/>
    <x v="1"/>
  </r>
  <r>
    <x v="7"/>
    <x v="0"/>
    <n v="52868.49"/>
    <x v="1"/>
  </r>
  <r>
    <x v="8"/>
    <x v="0"/>
    <n v="91994.76"/>
    <x v="1"/>
  </r>
  <r>
    <x v="9"/>
    <x v="0"/>
    <n v="182363.71"/>
    <x v="1"/>
  </r>
  <r>
    <x v="10"/>
    <x v="0"/>
    <n v="57555.12"/>
    <x v="1"/>
  </r>
  <r>
    <x v="11"/>
    <x v="0"/>
    <n v="40355"/>
    <x v="1"/>
  </r>
  <r>
    <x v="12"/>
    <x v="0"/>
    <n v="1480"/>
    <x v="1"/>
  </r>
  <r>
    <x v="13"/>
    <x v="0"/>
    <n v="5397.86"/>
    <x v="1"/>
  </r>
  <r>
    <x v="15"/>
    <x v="0"/>
    <n v="90433"/>
    <x v="1"/>
  </r>
  <r>
    <x v="16"/>
    <x v="0"/>
    <n v="17606.7"/>
    <x v="1"/>
  </r>
  <r>
    <x v="17"/>
    <x v="0"/>
    <n v="86215.9"/>
    <x v="1"/>
  </r>
  <r>
    <x v="20"/>
    <x v="0"/>
    <n v="4583"/>
    <x v="1"/>
  </r>
  <r>
    <x v="22"/>
    <x v="0"/>
    <n v="6220"/>
    <x v="1"/>
  </r>
  <r>
    <x v="23"/>
    <x v="0"/>
    <n v="73658.289999999994"/>
    <x v="1"/>
  </r>
  <r>
    <x v="24"/>
    <x v="0"/>
    <n v="158361.01"/>
    <x v="1"/>
  </r>
  <r>
    <x v="25"/>
    <x v="0"/>
    <n v="136848.15"/>
    <x v="1"/>
  </r>
  <r>
    <x v="0"/>
    <x v="0"/>
    <n v="1761"/>
    <x v="1"/>
  </r>
  <r>
    <x v="1"/>
    <x v="0"/>
    <n v="25984.080000000002"/>
    <x v="1"/>
  </r>
  <r>
    <x v="2"/>
    <x v="0"/>
    <n v="18750.849999999999"/>
    <x v="1"/>
  </r>
  <r>
    <x v="3"/>
    <x v="0"/>
    <n v="1420"/>
    <x v="1"/>
  </r>
  <r>
    <x v="4"/>
    <x v="0"/>
    <n v="4215.17"/>
    <x v="1"/>
  </r>
  <r>
    <x v="5"/>
    <x v="0"/>
    <n v="31868.7"/>
    <x v="1"/>
  </r>
  <r>
    <x v="6"/>
    <x v="0"/>
    <n v="155928.57"/>
    <x v="1"/>
  </r>
  <r>
    <x v="7"/>
    <x v="0"/>
    <n v="23145.25"/>
    <x v="1"/>
  </r>
  <r>
    <x v="8"/>
    <x v="0"/>
    <n v="51221.67"/>
    <x v="1"/>
  </r>
  <r>
    <x v="9"/>
    <x v="0"/>
    <n v="61377.5"/>
    <x v="1"/>
  </r>
  <r>
    <x v="10"/>
    <x v="0"/>
    <n v="33718.269999999997"/>
    <x v="1"/>
  </r>
  <r>
    <x v="11"/>
    <x v="0"/>
    <n v="13252"/>
    <x v="1"/>
  </r>
  <r>
    <x v="12"/>
    <x v="0"/>
    <n v="180"/>
    <x v="1"/>
  </r>
  <r>
    <x v="13"/>
    <x v="0"/>
    <n v="1324.58"/>
    <x v="1"/>
  </r>
  <r>
    <x v="15"/>
    <x v="0"/>
    <n v="48951"/>
    <x v="1"/>
  </r>
  <r>
    <x v="16"/>
    <x v="0"/>
    <n v="8368.92"/>
    <x v="1"/>
  </r>
  <r>
    <x v="17"/>
    <x v="0"/>
    <n v="42114.66"/>
    <x v="1"/>
  </r>
  <r>
    <x v="20"/>
    <x v="0"/>
    <n v="3026"/>
    <x v="1"/>
  </r>
  <r>
    <x v="22"/>
    <x v="0"/>
    <n v="2940"/>
    <x v="1"/>
  </r>
  <r>
    <x v="23"/>
    <x v="0"/>
    <n v="20239.849999999999"/>
    <x v="1"/>
  </r>
  <r>
    <x v="24"/>
    <x v="0"/>
    <n v="59698.81"/>
    <x v="1"/>
  </r>
  <r>
    <x v="25"/>
    <x v="0"/>
    <n v="91037.7"/>
    <x v="1"/>
  </r>
  <r>
    <x v="0"/>
    <x v="0"/>
    <n v="2744"/>
    <x v="1"/>
  </r>
  <r>
    <x v="1"/>
    <x v="0"/>
    <n v="34139.21"/>
    <x v="1"/>
  </r>
  <r>
    <x v="2"/>
    <x v="0"/>
    <n v="34322.75"/>
    <x v="1"/>
  </r>
  <r>
    <x v="4"/>
    <x v="0"/>
    <n v="3422"/>
    <x v="1"/>
  </r>
  <r>
    <x v="5"/>
    <x v="0"/>
    <n v="51122.38"/>
    <x v="1"/>
  </r>
  <r>
    <x v="6"/>
    <x v="0"/>
    <n v="199955.11"/>
    <x v="1"/>
  </r>
  <r>
    <x v="7"/>
    <x v="0"/>
    <n v="40530.6"/>
    <x v="1"/>
  </r>
  <r>
    <x v="8"/>
    <x v="0"/>
    <n v="51949.83"/>
    <x v="1"/>
  </r>
  <r>
    <x v="9"/>
    <x v="0"/>
    <n v="95666"/>
    <x v="1"/>
  </r>
  <r>
    <x v="10"/>
    <x v="0"/>
    <n v="31426.61"/>
    <x v="1"/>
  </r>
  <r>
    <x v="11"/>
    <x v="0"/>
    <n v="33678.44"/>
    <x v="1"/>
  </r>
  <r>
    <x v="12"/>
    <x v="0"/>
    <n v="520"/>
    <x v="1"/>
  </r>
  <r>
    <x v="13"/>
    <x v="0"/>
    <n v="4153.38"/>
    <x v="1"/>
  </r>
  <r>
    <x v="15"/>
    <x v="0"/>
    <n v="61611"/>
    <x v="1"/>
  </r>
  <r>
    <x v="16"/>
    <x v="0"/>
    <n v="9632.52"/>
    <x v="1"/>
  </r>
  <r>
    <x v="17"/>
    <x v="0"/>
    <n v="64119.07"/>
    <x v="1"/>
  </r>
  <r>
    <x v="20"/>
    <x v="0"/>
    <n v="3813.82"/>
    <x v="1"/>
  </r>
  <r>
    <x v="22"/>
    <x v="0"/>
    <n v="1357"/>
    <x v="1"/>
  </r>
  <r>
    <x v="23"/>
    <x v="0"/>
    <n v="32120.959999999999"/>
    <x v="1"/>
  </r>
  <r>
    <x v="24"/>
    <x v="0"/>
    <n v="58623.23"/>
    <x v="1"/>
  </r>
  <r>
    <x v="25"/>
    <x v="0"/>
    <n v="75581.039999999994"/>
    <x v="1"/>
  </r>
  <r>
    <x v="0"/>
    <x v="0"/>
    <n v="1639"/>
    <x v="1"/>
  </r>
  <r>
    <x v="1"/>
    <x v="0"/>
    <n v="36537.230000000003"/>
    <x v="1"/>
  </r>
  <r>
    <x v="2"/>
    <x v="0"/>
    <n v="190955.49"/>
    <x v="1"/>
  </r>
  <r>
    <x v="4"/>
    <x v="0"/>
    <n v="6060.15"/>
    <x v="1"/>
  </r>
  <r>
    <x v="5"/>
    <x v="0"/>
    <n v="70251.55"/>
    <x v="1"/>
  </r>
  <r>
    <x v="6"/>
    <x v="0"/>
    <n v="177719.91"/>
    <x v="1"/>
  </r>
  <r>
    <x v="7"/>
    <x v="0"/>
    <n v="35171.14"/>
    <x v="1"/>
  </r>
  <r>
    <x v="8"/>
    <x v="0"/>
    <n v="71466.28"/>
    <x v="1"/>
  </r>
  <r>
    <x v="9"/>
    <x v="0"/>
    <n v="127147.5"/>
    <x v="1"/>
  </r>
  <r>
    <x v="10"/>
    <x v="0"/>
    <n v="31187.66"/>
    <x v="1"/>
  </r>
  <r>
    <x v="11"/>
    <x v="0"/>
    <n v="30994.97"/>
    <x v="1"/>
  </r>
  <r>
    <x v="12"/>
    <x v="0"/>
    <n v="340"/>
    <x v="1"/>
  </r>
  <r>
    <x v="13"/>
    <x v="0"/>
    <n v="2214.92"/>
    <x v="1"/>
  </r>
  <r>
    <x v="15"/>
    <x v="0"/>
    <n v="57537"/>
    <x v="1"/>
  </r>
  <r>
    <x v="16"/>
    <x v="0"/>
    <n v="15749.24"/>
    <x v="1"/>
  </r>
  <r>
    <x v="17"/>
    <x v="0"/>
    <n v="76631.75"/>
    <x v="1"/>
  </r>
  <r>
    <x v="20"/>
    <x v="0"/>
    <n v="1963"/>
    <x v="1"/>
  </r>
  <r>
    <x v="22"/>
    <x v="0"/>
    <n v="2335"/>
    <x v="1"/>
  </r>
  <r>
    <x v="23"/>
    <x v="0"/>
    <n v="36840.68"/>
    <x v="1"/>
  </r>
  <r>
    <x v="24"/>
    <x v="0"/>
    <n v="84732.79"/>
    <x v="1"/>
  </r>
  <r>
    <x v="25"/>
    <x v="0"/>
    <n v="87706.54"/>
    <x v="1"/>
  </r>
  <r>
    <x v="0"/>
    <x v="0"/>
    <n v="4912"/>
    <x v="1"/>
  </r>
  <r>
    <x v="1"/>
    <x v="0"/>
    <n v="36523.89"/>
    <x v="1"/>
  </r>
  <r>
    <x v="2"/>
    <x v="0"/>
    <n v="139797.18"/>
    <x v="1"/>
  </r>
  <r>
    <x v="4"/>
    <x v="0"/>
    <n v="4342"/>
    <x v="1"/>
  </r>
  <r>
    <x v="5"/>
    <x v="0"/>
    <n v="44895.1"/>
    <x v="1"/>
  </r>
  <r>
    <x v="6"/>
    <x v="0"/>
    <n v="159932.71"/>
    <x v="1"/>
  </r>
  <r>
    <x v="7"/>
    <x v="0"/>
    <n v="29141.66"/>
    <x v="1"/>
  </r>
  <r>
    <x v="8"/>
    <x v="0"/>
    <n v="56297.91"/>
    <x v="1"/>
  </r>
  <r>
    <x v="9"/>
    <x v="0"/>
    <n v="155526.01"/>
    <x v="1"/>
  </r>
  <r>
    <x v="10"/>
    <x v="0"/>
    <n v="55890.58"/>
    <x v="1"/>
  </r>
  <r>
    <x v="11"/>
    <x v="0"/>
    <n v="61958.49"/>
    <x v="1"/>
  </r>
  <r>
    <x v="12"/>
    <x v="0"/>
    <n v="700"/>
    <x v="1"/>
  </r>
  <r>
    <x v="13"/>
    <x v="0"/>
    <n v="379.5"/>
    <x v="1"/>
  </r>
  <r>
    <x v="15"/>
    <x v="0"/>
    <n v="59567"/>
    <x v="1"/>
  </r>
  <r>
    <x v="16"/>
    <x v="0"/>
    <n v="5743.6"/>
    <x v="1"/>
  </r>
  <r>
    <x v="17"/>
    <x v="0"/>
    <n v="39107.440000000002"/>
    <x v="1"/>
  </r>
  <r>
    <x v="20"/>
    <x v="0"/>
    <n v="5834.82"/>
    <x v="1"/>
  </r>
  <r>
    <x v="22"/>
    <x v="0"/>
    <n v="12634"/>
    <x v="1"/>
  </r>
  <r>
    <x v="23"/>
    <x v="0"/>
    <n v="50208.84"/>
    <x v="1"/>
  </r>
  <r>
    <x v="24"/>
    <x v="0"/>
    <n v="72980.850000000006"/>
    <x v="1"/>
  </r>
  <r>
    <x v="25"/>
    <x v="0"/>
    <n v="58998.49"/>
    <x v="1"/>
  </r>
  <r>
    <x v="0"/>
    <x v="0"/>
    <n v="1318"/>
    <x v="1"/>
  </r>
  <r>
    <x v="1"/>
    <x v="0"/>
    <n v="45919.21"/>
    <x v="1"/>
  </r>
  <r>
    <x v="2"/>
    <x v="0"/>
    <n v="204618.2"/>
    <x v="1"/>
  </r>
  <r>
    <x v="4"/>
    <x v="0"/>
    <n v="2837"/>
    <x v="1"/>
  </r>
  <r>
    <x v="5"/>
    <x v="0"/>
    <n v="53128.76"/>
    <x v="1"/>
  </r>
  <r>
    <x v="6"/>
    <x v="0"/>
    <n v="145602.13"/>
    <x v="1"/>
  </r>
  <r>
    <x v="7"/>
    <x v="0"/>
    <n v="27363.360000000001"/>
    <x v="1"/>
  </r>
  <r>
    <x v="8"/>
    <x v="0"/>
    <n v="64665.919999999998"/>
    <x v="1"/>
  </r>
  <r>
    <x v="9"/>
    <x v="0"/>
    <n v="248540.43"/>
    <x v="1"/>
  </r>
  <r>
    <x v="10"/>
    <x v="0"/>
    <n v="66279.06"/>
    <x v="1"/>
  </r>
  <r>
    <x v="11"/>
    <x v="0"/>
    <n v="55180.99"/>
    <x v="1"/>
  </r>
  <r>
    <x v="12"/>
    <x v="0"/>
    <n v="240"/>
    <x v="1"/>
  </r>
  <r>
    <x v="13"/>
    <x v="0"/>
    <n v="3448.62"/>
    <x v="1"/>
  </r>
  <r>
    <x v="15"/>
    <x v="0"/>
    <n v="63816"/>
    <x v="1"/>
  </r>
  <r>
    <x v="16"/>
    <x v="0"/>
    <n v="10904.44"/>
    <x v="1"/>
  </r>
  <r>
    <x v="17"/>
    <x v="0"/>
    <n v="56540.76"/>
    <x v="1"/>
  </r>
  <r>
    <x v="20"/>
    <x v="0"/>
    <n v="1481"/>
    <x v="1"/>
  </r>
  <r>
    <x v="22"/>
    <x v="0"/>
    <n v="3198"/>
    <x v="1"/>
  </r>
  <r>
    <x v="23"/>
    <x v="0"/>
    <n v="51903.06"/>
    <x v="1"/>
  </r>
  <r>
    <x v="24"/>
    <x v="0"/>
    <n v="74341.31"/>
    <x v="1"/>
  </r>
  <r>
    <x v="25"/>
    <x v="0"/>
    <n v="86344.77"/>
    <x v="1"/>
  </r>
  <r>
    <x v="0"/>
    <x v="0"/>
    <n v="3015"/>
    <x v="1"/>
  </r>
  <r>
    <x v="1"/>
    <x v="0"/>
    <n v="68274.17"/>
    <x v="1"/>
  </r>
  <r>
    <x v="2"/>
    <x v="0"/>
    <n v="175893.87"/>
    <x v="1"/>
  </r>
  <r>
    <x v="4"/>
    <x v="0"/>
    <n v="12604.82"/>
    <x v="1"/>
  </r>
  <r>
    <x v="5"/>
    <x v="0"/>
    <n v="73775.740000000005"/>
    <x v="1"/>
  </r>
  <r>
    <x v="6"/>
    <x v="0"/>
    <n v="338462.83"/>
    <x v="1"/>
  </r>
  <r>
    <x v="7"/>
    <x v="0"/>
    <n v="83545.679999999993"/>
    <x v="1"/>
  </r>
  <r>
    <x v="8"/>
    <x v="0"/>
    <n v="125282.75"/>
    <x v="1"/>
  </r>
  <r>
    <x v="9"/>
    <x v="0"/>
    <n v="348904.58"/>
    <x v="1"/>
  </r>
  <r>
    <x v="10"/>
    <x v="0"/>
    <n v="71402.009999999995"/>
    <x v="1"/>
  </r>
  <r>
    <x v="11"/>
    <x v="0"/>
    <n v="73734.990000000005"/>
    <x v="1"/>
  </r>
  <r>
    <x v="12"/>
    <x v="0"/>
    <n v="500"/>
    <x v="1"/>
  </r>
  <r>
    <x v="13"/>
    <x v="0"/>
    <n v="8206.8799999999992"/>
    <x v="1"/>
  </r>
  <r>
    <x v="15"/>
    <x v="0"/>
    <n v="125224.23"/>
    <x v="1"/>
  </r>
  <r>
    <x v="16"/>
    <x v="0"/>
    <n v="19727.66"/>
    <x v="1"/>
  </r>
  <r>
    <x v="17"/>
    <x v="0"/>
    <n v="132610.79999999999"/>
    <x v="1"/>
  </r>
  <r>
    <x v="20"/>
    <x v="0"/>
    <n v="6016.82"/>
    <x v="1"/>
  </r>
  <r>
    <x v="22"/>
    <x v="0"/>
    <n v="1608"/>
    <x v="1"/>
  </r>
  <r>
    <x v="23"/>
    <x v="0"/>
    <n v="69115.91"/>
    <x v="1"/>
  </r>
  <r>
    <x v="24"/>
    <x v="0"/>
    <n v="130342.71"/>
    <x v="1"/>
  </r>
  <r>
    <x v="25"/>
    <x v="0"/>
    <n v="170241.96"/>
    <x v="1"/>
  </r>
  <r>
    <x v="0"/>
    <x v="0"/>
    <n v="3291"/>
    <x v="1"/>
  </r>
  <r>
    <x v="1"/>
    <x v="0"/>
    <n v="48701.52"/>
    <x v="1"/>
  </r>
  <r>
    <x v="2"/>
    <x v="0"/>
    <n v="53216.19"/>
    <x v="1"/>
  </r>
  <r>
    <x v="4"/>
    <x v="0"/>
    <n v="4142"/>
    <x v="1"/>
  </r>
  <r>
    <x v="5"/>
    <x v="0"/>
    <n v="70185.97"/>
    <x v="1"/>
  </r>
  <r>
    <x v="6"/>
    <x v="0"/>
    <n v="228615.79"/>
    <x v="1"/>
  </r>
  <r>
    <x v="7"/>
    <x v="0"/>
    <n v="52525.3"/>
    <x v="1"/>
  </r>
  <r>
    <x v="8"/>
    <x v="0"/>
    <n v="95620.17"/>
    <x v="1"/>
  </r>
  <r>
    <x v="9"/>
    <x v="0"/>
    <n v="317558.08"/>
    <x v="1"/>
  </r>
  <r>
    <x v="10"/>
    <x v="0"/>
    <n v="84223.81"/>
    <x v="1"/>
  </r>
  <r>
    <x v="11"/>
    <x v="0"/>
    <n v="70653.490000000005"/>
    <x v="1"/>
  </r>
  <r>
    <x v="12"/>
    <x v="0"/>
    <n v="820"/>
    <x v="1"/>
  </r>
  <r>
    <x v="13"/>
    <x v="0"/>
    <n v="6274.04"/>
    <x v="1"/>
  </r>
  <r>
    <x v="15"/>
    <x v="0"/>
    <n v="94608.85"/>
    <x v="1"/>
  </r>
  <r>
    <x v="16"/>
    <x v="0"/>
    <n v="15766.98"/>
    <x v="1"/>
  </r>
  <r>
    <x v="17"/>
    <x v="0"/>
    <n v="64592.54"/>
    <x v="1"/>
  </r>
  <r>
    <x v="20"/>
    <x v="0"/>
    <n v="3808"/>
    <x v="1"/>
  </r>
  <r>
    <x v="22"/>
    <x v="0"/>
    <n v="3023"/>
    <x v="1"/>
  </r>
  <r>
    <x v="23"/>
    <x v="0"/>
    <n v="72884.990000000005"/>
    <x v="1"/>
  </r>
  <r>
    <x v="24"/>
    <x v="0"/>
    <n v="102688.53"/>
    <x v="1"/>
  </r>
  <r>
    <x v="25"/>
    <x v="0"/>
    <n v="127548.97"/>
    <x v="1"/>
  </r>
  <r>
    <x v="0"/>
    <x v="0"/>
    <n v="1536"/>
    <x v="1"/>
  </r>
  <r>
    <x v="1"/>
    <x v="0"/>
    <n v="32933.56"/>
    <x v="1"/>
  </r>
  <r>
    <x v="2"/>
    <x v="0"/>
    <n v="130814.83"/>
    <x v="1"/>
  </r>
  <r>
    <x v="4"/>
    <x v="0"/>
    <n v="2890.56"/>
    <x v="1"/>
  </r>
  <r>
    <x v="5"/>
    <x v="0"/>
    <n v="24166.74"/>
    <x v="1"/>
  </r>
  <r>
    <x v="6"/>
    <x v="0"/>
    <n v="117287.84"/>
    <x v="1"/>
  </r>
  <r>
    <x v="7"/>
    <x v="0"/>
    <n v="22803"/>
    <x v="1"/>
  </r>
  <r>
    <x v="8"/>
    <x v="0"/>
    <n v="40793.49"/>
    <x v="1"/>
  </r>
  <r>
    <x v="9"/>
    <x v="0"/>
    <n v="231612.43"/>
    <x v="1"/>
  </r>
  <r>
    <x v="10"/>
    <x v="0"/>
    <n v="-47858.2"/>
    <x v="1"/>
  </r>
  <r>
    <x v="11"/>
    <x v="0"/>
    <n v="63445.98"/>
    <x v="1"/>
  </r>
  <r>
    <x v="12"/>
    <x v="0"/>
    <n v="80"/>
    <x v="1"/>
  </r>
  <r>
    <x v="13"/>
    <x v="0"/>
    <n v="8328.64"/>
    <x v="1"/>
  </r>
  <r>
    <x v="15"/>
    <x v="0"/>
    <n v="44923.45"/>
    <x v="1"/>
  </r>
  <r>
    <x v="16"/>
    <x v="0"/>
    <n v="5207.58"/>
    <x v="1"/>
  </r>
  <r>
    <x v="17"/>
    <x v="0"/>
    <n v="22249.41"/>
    <x v="1"/>
  </r>
  <r>
    <x v="20"/>
    <x v="0"/>
    <n v="3384"/>
    <x v="1"/>
  </r>
  <r>
    <x v="22"/>
    <x v="0"/>
    <n v="482"/>
    <x v="1"/>
  </r>
  <r>
    <x v="23"/>
    <x v="0"/>
    <n v="35191.279999999999"/>
    <x v="1"/>
  </r>
  <r>
    <x v="24"/>
    <x v="0"/>
    <n v="48877.94"/>
    <x v="1"/>
  </r>
  <r>
    <x v="25"/>
    <x v="0"/>
    <n v="42419.46"/>
    <x v="1"/>
  </r>
  <r>
    <x v="0"/>
    <x v="0"/>
    <n v="1264"/>
    <x v="1"/>
  </r>
  <r>
    <x v="1"/>
    <x v="0"/>
    <n v="15517.69"/>
    <x v="1"/>
  </r>
  <r>
    <x v="2"/>
    <x v="0"/>
    <n v="11335.52"/>
    <x v="1"/>
  </r>
  <r>
    <x v="4"/>
    <x v="0"/>
    <n v="5357"/>
    <x v="1"/>
  </r>
  <r>
    <x v="5"/>
    <x v="0"/>
    <n v="22683.14"/>
    <x v="1"/>
  </r>
  <r>
    <x v="6"/>
    <x v="0"/>
    <n v="110748.65"/>
    <x v="1"/>
  </r>
  <r>
    <x v="7"/>
    <x v="0"/>
    <n v="12662"/>
    <x v="1"/>
  </r>
  <r>
    <x v="8"/>
    <x v="0"/>
    <n v="38316.36"/>
    <x v="1"/>
  </r>
  <r>
    <x v="9"/>
    <x v="0"/>
    <n v="72340.009999999995"/>
    <x v="1"/>
  </r>
  <r>
    <x v="10"/>
    <x v="0"/>
    <n v="40118.6"/>
    <x v="1"/>
  </r>
  <r>
    <x v="11"/>
    <x v="0"/>
    <n v="14107.49"/>
    <x v="1"/>
  </r>
  <r>
    <x v="12"/>
    <x v="0"/>
    <n v="300"/>
    <x v="1"/>
  </r>
  <r>
    <x v="13"/>
    <x v="0"/>
    <n v="3242.54"/>
    <x v="1"/>
  </r>
  <r>
    <x v="15"/>
    <x v="0"/>
    <n v="44866.22"/>
    <x v="1"/>
  </r>
  <r>
    <x v="16"/>
    <x v="0"/>
    <n v="2440.7199999999998"/>
    <x v="1"/>
  </r>
  <r>
    <x v="17"/>
    <x v="0"/>
    <n v="17090.63"/>
    <x v="1"/>
  </r>
  <r>
    <x v="20"/>
    <x v="0"/>
    <n v="5687.64"/>
    <x v="1"/>
  </r>
  <r>
    <x v="22"/>
    <x v="0"/>
    <n v="2598"/>
    <x v="1"/>
  </r>
  <r>
    <x v="23"/>
    <x v="0"/>
    <n v="21410.68"/>
    <x v="1"/>
  </r>
  <r>
    <x v="24"/>
    <x v="0"/>
    <n v="29468.81"/>
    <x v="1"/>
  </r>
  <r>
    <x v="25"/>
    <x v="0"/>
    <n v="28875.83"/>
    <x v="1"/>
  </r>
  <r>
    <x v="0"/>
    <x v="0"/>
    <n v="40"/>
    <x v="1"/>
  </r>
  <r>
    <x v="1"/>
    <x v="0"/>
    <n v="24426.62"/>
    <x v="1"/>
  </r>
  <r>
    <x v="2"/>
    <x v="0"/>
    <n v="15634.31"/>
    <x v="1"/>
  </r>
  <r>
    <x v="4"/>
    <x v="0"/>
    <n v="4441"/>
    <x v="1"/>
  </r>
  <r>
    <x v="5"/>
    <x v="0"/>
    <n v="42177"/>
    <x v="1"/>
  </r>
  <r>
    <x v="6"/>
    <x v="0"/>
    <n v="105245.86"/>
    <x v="1"/>
  </r>
  <r>
    <x v="7"/>
    <x v="0"/>
    <n v="19367"/>
    <x v="1"/>
  </r>
  <r>
    <x v="8"/>
    <x v="0"/>
    <n v="40220.92"/>
    <x v="1"/>
  </r>
  <r>
    <x v="9"/>
    <x v="0"/>
    <n v="96459.51"/>
    <x v="1"/>
  </r>
  <r>
    <x v="10"/>
    <x v="0"/>
    <n v="36942"/>
    <x v="1"/>
  </r>
  <r>
    <x v="11"/>
    <x v="0"/>
    <n v="19502"/>
    <x v="1"/>
  </r>
  <r>
    <x v="12"/>
    <x v="0"/>
    <n v="20"/>
    <x v="1"/>
  </r>
  <r>
    <x v="13"/>
    <x v="0"/>
    <n v="4225.74"/>
    <x v="1"/>
  </r>
  <r>
    <x v="15"/>
    <x v="0"/>
    <n v="98856.74"/>
    <x v="1"/>
  </r>
  <r>
    <x v="16"/>
    <x v="0"/>
    <n v="2382.1799999999998"/>
    <x v="1"/>
  </r>
  <r>
    <x v="17"/>
    <x v="0"/>
    <n v="36115.49"/>
    <x v="1"/>
  </r>
  <r>
    <x v="20"/>
    <x v="0"/>
    <n v="2777"/>
    <x v="1"/>
  </r>
  <r>
    <x v="22"/>
    <x v="0"/>
    <n v="1616"/>
    <x v="1"/>
  </r>
  <r>
    <x v="23"/>
    <x v="0"/>
    <n v="17387.13"/>
    <x v="1"/>
  </r>
  <r>
    <x v="24"/>
    <x v="0"/>
    <n v="49855.82"/>
    <x v="1"/>
  </r>
  <r>
    <x v="25"/>
    <x v="0"/>
    <n v="65034.26"/>
    <x v="1"/>
  </r>
  <r>
    <x v="0"/>
    <x v="0"/>
    <n v="1040"/>
    <x v="1"/>
  </r>
  <r>
    <x v="1"/>
    <x v="0"/>
    <n v="23938.12"/>
    <x v="1"/>
  </r>
  <r>
    <x v="2"/>
    <x v="0"/>
    <n v="17989.310000000001"/>
    <x v="1"/>
  </r>
  <r>
    <x v="3"/>
    <x v="0"/>
    <n v="810"/>
    <x v="1"/>
  </r>
  <r>
    <x v="4"/>
    <x v="0"/>
    <n v="5000.43"/>
    <x v="1"/>
  </r>
  <r>
    <x v="5"/>
    <x v="0"/>
    <n v="37916.870000000003"/>
    <x v="1"/>
  </r>
  <r>
    <x v="6"/>
    <x v="0"/>
    <n v="184459.5"/>
    <x v="1"/>
  </r>
  <r>
    <x v="7"/>
    <x v="0"/>
    <n v="17224"/>
    <x v="1"/>
  </r>
  <r>
    <x v="8"/>
    <x v="0"/>
    <n v="44278.33"/>
    <x v="1"/>
  </r>
  <r>
    <x v="9"/>
    <x v="0"/>
    <n v="97055.06"/>
    <x v="1"/>
  </r>
  <r>
    <x v="10"/>
    <x v="0"/>
    <n v="45816.5"/>
    <x v="1"/>
  </r>
  <r>
    <x v="11"/>
    <x v="0"/>
    <n v="19380"/>
    <x v="1"/>
  </r>
  <r>
    <x v="13"/>
    <x v="0"/>
    <n v="5807.34"/>
    <x v="1"/>
  </r>
  <r>
    <x v="15"/>
    <x v="0"/>
    <n v="53656.87"/>
    <x v="1"/>
  </r>
  <r>
    <x v="16"/>
    <x v="0"/>
    <n v="5871.84"/>
    <x v="1"/>
  </r>
  <r>
    <x v="17"/>
    <x v="0"/>
    <n v="38382.620000000003"/>
    <x v="1"/>
  </r>
  <r>
    <x v="20"/>
    <x v="0"/>
    <n v="4833.6400000000003"/>
    <x v="1"/>
  </r>
  <r>
    <x v="22"/>
    <x v="0"/>
    <n v="2007"/>
    <x v="1"/>
  </r>
  <r>
    <x v="23"/>
    <x v="0"/>
    <n v="21299.84"/>
    <x v="1"/>
  </r>
  <r>
    <x v="24"/>
    <x v="0"/>
    <n v="71258.009999999995"/>
    <x v="1"/>
  </r>
  <r>
    <x v="25"/>
    <x v="0"/>
    <n v="64347.64"/>
    <x v="1"/>
  </r>
  <r>
    <x v="1"/>
    <x v="0"/>
    <n v="22229.83"/>
    <x v="1"/>
  </r>
  <r>
    <x v="2"/>
    <x v="0"/>
    <n v="93888.15"/>
    <x v="1"/>
  </r>
  <r>
    <x v="4"/>
    <x v="0"/>
    <n v="284"/>
    <x v="1"/>
  </r>
  <r>
    <x v="5"/>
    <x v="0"/>
    <n v="27501.5"/>
    <x v="1"/>
  </r>
  <r>
    <x v="6"/>
    <x v="0"/>
    <n v="137308.29"/>
    <x v="1"/>
  </r>
  <r>
    <x v="7"/>
    <x v="0"/>
    <n v="14830"/>
    <x v="1"/>
  </r>
  <r>
    <x v="8"/>
    <x v="0"/>
    <n v="44780.35"/>
    <x v="1"/>
  </r>
  <r>
    <x v="9"/>
    <x v="0"/>
    <n v="132274.97"/>
    <x v="1"/>
  </r>
  <r>
    <x v="10"/>
    <x v="0"/>
    <n v="30078.22"/>
    <x v="1"/>
  </r>
  <r>
    <x v="11"/>
    <x v="0"/>
    <n v="30781.98"/>
    <x v="1"/>
  </r>
  <r>
    <x v="12"/>
    <x v="0"/>
    <n v="20"/>
    <x v="1"/>
  </r>
  <r>
    <x v="13"/>
    <x v="0"/>
    <n v="2767.52"/>
    <x v="1"/>
  </r>
  <r>
    <x v="15"/>
    <x v="0"/>
    <n v="41917.480000000003"/>
    <x v="1"/>
  </r>
  <r>
    <x v="16"/>
    <x v="0"/>
    <n v="8919.26"/>
    <x v="1"/>
  </r>
  <r>
    <x v="17"/>
    <x v="0"/>
    <n v="40468.879999999997"/>
    <x v="1"/>
  </r>
  <r>
    <x v="20"/>
    <x v="0"/>
    <n v="2567"/>
    <x v="1"/>
  </r>
  <r>
    <x v="23"/>
    <x v="0"/>
    <n v="22119.200000000001"/>
    <x v="1"/>
  </r>
  <r>
    <x v="24"/>
    <x v="0"/>
    <n v="35326.85"/>
    <x v="1"/>
  </r>
  <r>
    <x v="25"/>
    <x v="0"/>
    <n v="61476.43"/>
    <x v="1"/>
  </r>
  <r>
    <x v="0"/>
    <x v="0"/>
    <n v="988"/>
    <x v="1"/>
  </r>
  <r>
    <x v="1"/>
    <x v="0"/>
    <n v="34630.1"/>
    <x v="1"/>
  </r>
  <r>
    <x v="2"/>
    <x v="0"/>
    <n v="21065.46"/>
    <x v="1"/>
  </r>
  <r>
    <x v="4"/>
    <x v="0"/>
    <n v="2644.21"/>
    <x v="1"/>
  </r>
  <r>
    <x v="5"/>
    <x v="0"/>
    <n v="65880.539999999994"/>
    <x v="1"/>
  </r>
  <r>
    <x v="6"/>
    <x v="0"/>
    <n v="234401.85"/>
    <x v="1"/>
  </r>
  <r>
    <x v="7"/>
    <x v="0"/>
    <n v="36713"/>
    <x v="1"/>
  </r>
  <r>
    <x v="8"/>
    <x v="0"/>
    <n v="89577.57"/>
    <x v="1"/>
  </r>
  <r>
    <x v="9"/>
    <x v="0"/>
    <n v="241713.01"/>
    <x v="1"/>
  </r>
  <r>
    <x v="10"/>
    <x v="0"/>
    <n v="53067"/>
    <x v="1"/>
  </r>
  <r>
    <x v="11"/>
    <x v="0"/>
    <n v="70974.490000000005"/>
    <x v="1"/>
  </r>
  <r>
    <x v="13"/>
    <x v="0"/>
    <n v="10367.780000000001"/>
    <x v="1"/>
  </r>
  <r>
    <x v="15"/>
    <x v="0"/>
    <n v="93582.63"/>
    <x v="1"/>
  </r>
  <r>
    <x v="16"/>
    <x v="0"/>
    <n v="22289.759999999998"/>
    <x v="1"/>
  </r>
  <r>
    <x v="17"/>
    <x v="0"/>
    <n v="69970.22"/>
    <x v="1"/>
  </r>
  <r>
    <x v="20"/>
    <x v="0"/>
    <n v="3559"/>
    <x v="1"/>
  </r>
  <r>
    <x v="22"/>
    <x v="0"/>
    <n v="4162"/>
    <x v="1"/>
  </r>
  <r>
    <x v="23"/>
    <x v="0"/>
    <n v="35963.07"/>
    <x v="1"/>
  </r>
  <r>
    <x v="24"/>
    <x v="0"/>
    <n v="81556.039999999994"/>
    <x v="1"/>
  </r>
  <r>
    <x v="25"/>
    <x v="0"/>
    <n v="134725.87"/>
    <x v="1"/>
  </r>
  <r>
    <x v="0"/>
    <x v="0"/>
    <n v="52"/>
    <x v="1"/>
  </r>
  <r>
    <x v="1"/>
    <x v="0"/>
    <n v="32556.080000000002"/>
    <x v="1"/>
  </r>
  <r>
    <x v="2"/>
    <x v="0"/>
    <n v="21335.22"/>
    <x v="1"/>
  </r>
  <r>
    <x v="4"/>
    <x v="0"/>
    <n v="1084.03"/>
    <x v="1"/>
  </r>
  <r>
    <x v="5"/>
    <x v="0"/>
    <n v="39419.79"/>
    <x v="1"/>
  </r>
  <r>
    <x v="6"/>
    <x v="0"/>
    <n v="182495.08"/>
    <x v="1"/>
  </r>
  <r>
    <x v="7"/>
    <x v="0"/>
    <n v="30349"/>
    <x v="1"/>
  </r>
  <r>
    <x v="8"/>
    <x v="0"/>
    <n v="67916.11"/>
    <x v="1"/>
  </r>
  <r>
    <x v="9"/>
    <x v="0"/>
    <n v="160994.49"/>
    <x v="1"/>
  </r>
  <r>
    <x v="10"/>
    <x v="0"/>
    <n v="56761.919999999998"/>
    <x v="1"/>
  </r>
  <r>
    <x v="11"/>
    <x v="0"/>
    <n v="25285"/>
    <x v="1"/>
  </r>
  <r>
    <x v="13"/>
    <x v="0"/>
    <n v="1399.7"/>
    <x v="1"/>
  </r>
  <r>
    <x v="15"/>
    <x v="0"/>
    <n v="60743.38"/>
    <x v="1"/>
  </r>
  <r>
    <x v="16"/>
    <x v="0"/>
    <n v="5621.42"/>
    <x v="1"/>
  </r>
  <r>
    <x v="17"/>
    <x v="0"/>
    <n v="36075.58"/>
    <x v="1"/>
  </r>
  <r>
    <x v="20"/>
    <x v="0"/>
    <n v="6797.64"/>
    <x v="1"/>
  </r>
  <r>
    <x v="22"/>
    <x v="0"/>
    <n v="1914"/>
    <x v="1"/>
  </r>
  <r>
    <x v="23"/>
    <x v="0"/>
    <n v="23864.54"/>
    <x v="1"/>
  </r>
  <r>
    <x v="24"/>
    <x v="0"/>
    <n v="63795.47"/>
    <x v="1"/>
  </r>
  <r>
    <x v="25"/>
    <x v="0"/>
    <n v="71639.16"/>
    <x v="1"/>
  </r>
  <r>
    <x v="0"/>
    <x v="0"/>
    <n v="832"/>
    <x v="1"/>
  </r>
  <r>
    <x v="1"/>
    <x v="0"/>
    <n v="17468.7"/>
    <x v="1"/>
  </r>
  <r>
    <x v="2"/>
    <x v="0"/>
    <n v="10317.209999999999"/>
    <x v="1"/>
  </r>
  <r>
    <x v="5"/>
    <x v="0"/>
    <n v="31213.32"/>
    <x v="1"/>
  </r>
  <r>
    <x v="6"/>
    <x v="0"/>
    <n v="115937.73"/>
    <x v="1"/>
  </r>
  <r>
    <x v="7"/>
    <x v="0"/>
    <n v="8209"/>
    <x v="1"/>
  </r>
  <r>
    <x v="8"/>
    <x v="0"/>
    <n v="40516.379999999997"/>
    <x v="1"/>
  </r>
  <r>
    <x v="9"/>
    <x v="0"/>
    <n v="60675.96"/>
    <x v="1"/>
  </r>
  <r>
    <x v="10"/>
    <x v="0"/>
    <n v="28739.4"/>
    <x v="1"/>
  </r>
  <r>
    <x v="11"/>
    <x v="0"/>
    <n v="9703"/>
    <x v="1"/>
  </r>
  <r>
    <x v="13"/>
    <x v="0"/>
    <n v="1935.26"/>
    <x v="1"/>
  </r>
  <r>
    <x v="15"/>
    <x v="0"/>
    <n v="50918.03"/>
    <x v="1"/>
  </r>
  <r>
    <x v="16"/>
    <x v="0"/>
    <n v="2110.42"/>
    <x v="1"/>
  </r>
  <r>
    <x v="17"/>
    <x v="0"/>
    <n v="42622.89"/>
    <x v="1"/>
  </r>
  <r>
    <x v="20"/>
    <x v="0"/>
    <n v="2678"/>
    <x v="1"/>
  </r>
  <r>
    <x v="22"/>
    <x v="0"/>
    <n v="866"/>
    <x v="1"/>
  </r>
  <r>
    <x v="23"/>
    <x v="0"/>
    <n v="8767.77"/>
    <x v="1"/>
  </r>
  <r>
    <x v="24"/>
    <x v="0"/>
    <n v="35663.18"/>
    <x v="1"/>
  </r>
  <r>
    <x v="25"/>
    <x v="0"/>
    <n v="42835.57"/>
    <x v="1"/>
  </r>
  <r>
    <x v="0"/>
    <x v="0"/>
    <n v="208"/>
    <x v="1"/>
  </r>
  <r>
    <x v="1"/>
    <x v="0"/>
    <n v="14818.77"/>
    <x v="1"/>
  </r>
  <r>
    <x v="2"/>
    <x v="0"/>
    <n v="15570.14"/>
    <x v="1"/>
  </r>
  <r>
    <x v="4"/>
    <x v="0"/>
    <n v="994"/>
    <x v="1"/>
  </r>
  <r>
    <x v="5"/>
    <x v="0"/>
    <n v="25721.3"/>
    <x v="1"/>
  </r>
  <r>
    <x v="6"/>
    <x v="0"/>
    <n v="163616.85"/>
    <x v="1"/>
  </r>
  <r>
    <x v="7"/>
    <x v="0"/>
    <n v="16424"/>
    <x v="1"/>
  </r>
  <r>
    <x v="8"/>
    <x v="0"/>
    <n v="52739.02"/>
    <x v="1"/>
  </r>
  <r>
    <x v="9"/>
    <x v="0"/>
    <n v="90960.97"/>
    <x v="1"/>
  </r>
  <r>
    <x v="10"/>
    <x v="0"/>
    <n v="55333.71"/>
    <x v="1"/>
  </r>
  <r>
    <x v="11"/>
    <x v="0"/>
    <n v="14179.49"/>
    <x v="1"/>
  </r>
  <r>
    <x v="13"/>
    <x v="0"/>
    <n v="2655.26"/>
    <x v="1"/>
  </r>
  <r>
    <x v="15"/>
    <x v="0"/>
    <n v="68280.45"/>
    <x v="1"/>
  </r>
  <r>
    <x v="16"/>
    <x v="0"/>
    <n v="4296.9399999999996"/>
    <x v="1"/>
  </r>
  <r>
    <x v="17"/>
    <x v="0"/>
    <n v="26463.31"/>
    <x v="1"/>
  </r>
  <r>
    <x v="20"/>
    <x v="0"/>
    <n v="3231"/>
    <x v="1"/>
  </r>
  <r>
    <x v="22"/>
    <x v="0"/>
    <n v="2381"/>
    <x v="1"/>
  </r>
  <r>
    <x v="23"/>
    <x v="0"/>
    <n v="17021.22"/>
    <x v="1"/>
  </r>
  <r>
    <x v="24"/>
    <x v="0"/>
    <n v="53981.09"/>
    <x v="1"/>
  </r>
  <r>
    <x v="25"/>
    <x v="0"/>
    <n v="73658.679999999993"/>
    <x v="1"/>
  </r>
  <r>
    <x v="0"/>
    <x v="0"/>
    <n v="416"/>
    <x v="1"/>
  </r>
  <r>
    <x v="1"/>
    <x v="0"/>
    <n v="14744.93"/>
    <x v="1"/>
  </r>
  <r>
    <x v="2"/>
    <x v="0"/>
    <n v="17400.43"/>
    <x v="1"/>
  </r>
  <r>
    <x v="4"/>
    <x v="0"/>
    <n v="3453.3"/>
    <x v="1"/>
  </r>
  <r>
    <x v="5"/>
    <x v="0"/>
    <n v="31380.47"/>
    <x v="1"/>
  </r>
  <r>
    <x v="6"/>
    <x v="0"/>
    <n v="147418.29999999999"/>
    <x v="1"/>
  </r>
  <r>
    <x v="7"/>
    <x v="0"/>
    <n v="10362.299999999999"/>
    <x v="1"/>
  </r>
  <r>
    <x v="8"/>
    <x v="0"/>
    <n v="41024.36"/>
    <x v="1"/>
  </r>
  <r>
    <x v="9"/>
    <x v="0"/>
    <n v="70986.05"/>
    <x v="1"/>
  </r>
  <r>
    <x v="10"/>
    <x v="0"/>
    <n v="54138.400000000001"/>
    <x v="1"/>
  </r>
  <r>
    <x v="11"/>
    <x v="0"/>
    <n v="13721.5"/>
    <x v="1"/>
  </r>
  <r>
    <x v="13"/>
    <x v="0"/>
    <n v="960.6"/>
    <x v="1"/>
  </r>
  <r>
    <x v="15"/>
    <x v="0"/>
    <n v="33663.35"/>
    <x v="1"/>
  </r>
  <r>
    <x v="16"/>
    <x v="0"/>
    <n v="2431.3000000000002"/>
    <x v="1"/>
  </r>
  <r>
    <x v="17"/>
    <x v="0"/>
    <n v="25603.32"/>
    <x v="1"/>
  </r>
  <r>
    <x v="20"/>
    <x v="0"/>
    <n v="2038"/>
    <x v="1"/>
  </r>
  <r>
    <x v="22"/>
    <x v="0"/>
    <n v="1082"/>
    <x v="1"/>
  </r>
  <r>
    <x v="23"/>
    <x v="0"/>
    <n v="13452.36"/>
    <x v="1"/>
  </r>
  <r>
    <x v="24"/>
    <x v="0"/>
    <n v="43897.02"/>
    <x v="1"/>
  </r>
  <r>
    <x v="25"/>
    <x v="0"/>
    <n v="25466.68"/>
    <x v="1"/>
  </r>
  <r>
    <x v="0"/>
    <x v="0"/>
    <n v="416"/>
    <x v="1"/>
  </r>
  <r>
    <x v="1"/>
    <x v="0"/>
    <n v="15708.04"/>
    <x v="1"/>
  </r>
  <r>
    <x v="2"/>
    <x v="0"/>
    <n v="19417.78"/>
    <x v="1"/>
  </r>
  <r>
    <x v="4"/>
    <x v="0"/>
    <n v="3986.58"/>
    <x v="1"/>
  </r>
  <r>
    <x v="5"/>
    <x v="0"/>
    <n v="31208.97"/>
    <x v="1"/>
  </r>
  <r>
    <x v="6"/>
    <x v="0"/>
    <n v="147872.76"/>
    <x v="1"/>
  </r>
  <r>
    <x v="7"/>
    <x v="0"/>
    <n v="25436.34"/>
    <x v="1"/>
  </r>
  <r>
    <x v="8"/>
    <x v="0"/>
    <n v="42772.15"/>
    <x v="1"/>
  </r>
  <r>
    <x v="9"/>
    <x v="0"/>
    <n v="119602.5"/>
    <x v="1"/>
  </r>
  <r>
    <x v="10"/>
    <x v="0"/>
    <n v="33300.9"/>
    <x v="1"/>
  </r>
  <r>
    <x v="11"/>
    <x v="0"/>
    <n v="38101.49"/>
    <x v="1"/>
  </r>
  <r>
    <x v="13"/>
    <x v="0"/>
    <n v="343.2"/>
    <x v="1"/>
  </r>
  <r>
    <x v="15"/>
    <x v="0"/>
    <n v="50068.68"/>
    <x v="1"/>
  </r>
  <r>
    <x v="16"/>
    <x v="0"/>
    <n v="7339.76"/>
    <x v="1"/>
  </r>
  <r>
    <x v="17"/>
    <x v="0"/>
    <n v="39315.24"/>
    <x v="1"/>
  </r>
  <r>
    <x v="20"/>
    <x v="0"/>
    <n v="5332.82"/>
    <x v="1"/>
  </r>
  <r>
    <x v="22"/>
    <x v="0"/>
    <n v="1815"/>
    <x v="1"/>
  </r>
  <r>
    <x v="23"/>
    <x v="0"/>
    <n v="13407.82"/>
    <x v="1"/>
  </r>
  <r>
    <x v="24"/>
    <x v="0"/>
    <n v="39835.67"/>
    <x v="1"/>
  </r>
  <r>
    <x v="25"/>
    <x v="0"/>
    <n v="51306.09"/>
    <x v="1"/>
  </r>
  <r>
    <x v="0"/>
    <x v="0"/>
    <n v="468"/>
    <x v="1"/>
  </r>
  <r>
    <x v="1"/>
    <x v="0"/>
    <n v="21618.43"/>
    <x v="1"/>
  </r>
  <r>
    <x v="2"/>
    <x v="0"/>
    <n v="23137.08"/>
    <x v="1"/>
  </r>
  <r>
    <x v="3"/>
    <x v="0"/>
    <n v="810"/>
    <x v="1"/>
  </r>
  <r>
    <x v="4"/>
    <x v="0"/>
    <n v="142"/>
    <x v="1"/>
  </r>
  <r>
    <x v="5"/>
    <x v="0"/>
    <n v="30193.48"/>
    <x v="1"/>
  </r>
  <r>
    <x v="6"/>
    <x v="0"/>
    <n v="136205.81"/>
    <x v="1"/>
  </r>
  <r>
    <x v="7"/>
    <x v="0"/>
    <n v="20380.55"/>
    <x v="1"/>
  </r>
  <r>
    <x v="8"/>
    <x v="0"/>
    <n v="36287.81"/>
    <x v="1"/>
  </r>
  <r>
    <x v="9"/>
    <x v="0"/>
    <n v="181511.5"/>
    <x v="1"/>
  </r>
  <r>
    <x v="10"/>
    <x v="0"/>
    <n v="39589.81"/>
    <x v="1"/>
  </r>
  <r>
    <x v="11"/>
    <x v="0"/>
    <n v="49758.5"/>
    <x v="1"/>
  </r>
  <r>
    <x v="13"/>
    <x v="0"/>
    <n v="818.36"/>
    <x v="1"/>
  </r>
  <r>
    <x v="15"/>
    <x v="0"/>
    <n v="45598.05"/>
    <x v="1"/>
  </r>
  <r>
    <x v="16"/>
    <x v="0"/>
    <n v="6348.74"/>
    <x v="1"/>
  </r>
  <r>
    <x v="17"/>
    <x v="0"/>
    <n v="23922.43"/>
    <x v="1"/>
  </r>
  <r>
    <x v="20"/>
    <x v="0"/>
    <n v="2377"/>
    <x v="1"/>
  </r>
  <r>
    <x v="22"/>
    <x v="0"/>
    <n v="1333"/>
    <x v="1"/>
  </r>
  <r>
    <x v="23"/>
    <x v="0"/>
    <n v="18964.78"/>
    <x v="1"/>
  </r>
  <r>
    <x v="24"/>
    <x v="0"/>
    <n v="40353.25"/>
    <x v="1"/>
  </r>
  <r>
    <x v="25"/>
    <x v="0"/>
    <n v="63567"/>
    <x v="1"/>
  </r>
  <r>
    <x v="0"/>
    <x v="0"/>
    <n v="520"/>
    <x v="1"/>
  </r>
  <r>
    <x v="1"/>
    <x v="0"/>
    <n v="29805.040000000001"/>
    <x v="1"/>
  </r>
  <r>
    <x v="2"/>
    <x v="0"/>
    <n v="40558.230000000003"/>
    <x v="1"/>
  </r>
  <r>
    <x v="4"/>
    <x v="0"/>
    <n v="746"/>
    <x v="1"/>
  </r>
  <r>
    <x v="5"/>
    <x v="0"/>
    <n v="63494.17"/>
    <x v="1"/>
  </r>
  <r>
    <x v="6"/>
    <x v="0"/>
    <n v="210915.72"/>
    <x v="1"/>
  </r>
  <r>
    <x v="7"/>
    <x v="0"/>
    <n v="52300.34"/>
    <x v="1"/>
  </r>
  <r>
    <x v="8"/>
    <x v="0"/>
    <n v="68094.53"/>
    <x v="1"/>
  </r>
  <r>
    <x v="9"/>
    <x v="0"/>
    <n v="211193.55"/>
    <x v="1"/>
  </r>
  <r>
    <x v="10"/>
    <x v="0"/>
    <n v="71975"/>
    <x v="1"/>
  </r>
  <r>
    <x v="11"/>
    <x v="0"/>
    <n v="37547.49"/>
    <x v="1"/>
  </r>
  <r>
    <x v="13"/>
    <x v="0"/>
    <n v="8602.86"/>
    <x v="1"/>
  </r>
  <r>
    <x v="15"/>
    <x v="0"/>
    <n v="81350"/>
    <x v="1"/>
  </r>
  <r>
    <x v="16"/>
    <x v="0"/>
    <n v="13850.9"/>
    <x v="1"/>
  </r>
  <r>
    <x v="17"/>
    <x v="0"/>
    <n v="42331.75"/>
    <x v="1"/>
  </r>
  <r>
    <x v="20"/>
    <x v="0"/>
    <n v="10130.459999999999"/>
    <x v="1"/>
  </r>
  <r>
    <x v="22"/>
    <x v="0"/>
    <n v="4319"/>
    <x v="1"/>
  </r>
  <r>
    <x v="23"/>
    <x v="0"/>
    <n v="33027.65"/>
    <x v="1"/>
  </r>
  <r>
    <x v="24"/>
    <x v="0"/>
    <n v="194809.21"/>
    <x v="1"/>
  </r>
  <r>
    <x v="25"/>
    <x v="0"/>
    <n v="81886.66"/>
    <x v="1"/>
  </r>
  <r>
    <x v="0"/>
    <x v="0"/>
    <n v="832"/>
    <x v="1"/>
  </r>
  <r>
    <x v="1"/>
    <x v="0"/>
    <n v="27324.48"/>
    <x v="1"/>
  </r>
  <r>
    <x v="2"/>
    <x v="0"/>
    <n v="34763.629999999997"/>
    <x v="1"/>
  </r>
  <r>
    <x v="3"/>
    <x v="0"/>
    <n v="2230"/>
    <x v="1"/>
  </r>
  <r>
    <x v="4"/>
    <x v="0"/>
    <n v="4266.1499999999996"/>
    <x v="1"/>
  </r>
  <r>
    <x v="5"/>
    <x v="0"/>
    <n v="52949.88"/>
    <x v="1"/>
  </r>
  <r>
    <x v="6"/>
    <x v="0"/>
    <n v="226504.67"/>
    <x v="1"/>
  </r>
  <r>
    <x v="7"/>
    <x v="0"/>
    <n v="37601.68"/>
    <x v="1"/>
  </r>
  <r>
    <x v="8"/>
    <x v="0"/>
    <n v="66097.03"/>
    <x v="1"/>
  </r>
  <r>
    <x v="9"/>
    <x v="0"/>
    <n v="213137.16"/>
    <x v="1"/>
  </r>
  <r>
    <x v="10"/>
    <x v="0"/>
    <n v="67494.81"/>
    <x v="1"/>
  </r>
  <r>
    <x v="11"/>
    <x v="0"/>
    <n v="41609.94"/>
    <x v="1"/>
  </r>
  <r>
    <x v="13"/>
    <x v="0"/>
    <n v="9984"/>
    <x v="1"/>
  </r>
  <r>
    <x v="15"/>
    <x v="0"/>
    <n v="81065.02"/>
    <x v="1"/>
  </r>
  <r>
    <x v="16"/>
    <x v="0"/>
    <n v="13016.94"/>
    <x v="1"/>
  </r>
  <r>
    <x v="17"/>
    <x v="0"/>
    <n v="43441.68"/>
    <x v="1"/>
  </r>
  <r>
    <x v="20"/>
    <x v="0"/>
    <n v="5749.82"/>
    <x v="1"/>
  </r>
  <r>
    <x v="22"/>
    <x v="0"/>
    <n v="3090"/>
    <x v="1"/>
  </r>
  <r>
    <x v="23"/>
    <x v="0"/>
    <n v="35759.370000000003"/>
    <x v="1"/>
  </r>
  <r>
    <x v="24"/>
    <x v="0"/>
    <n v="57982.06"/>
    <x v="1"/>
  </r>
  <r>
    <x v="25"/>
    <x v="0"/>
    <n v="68787.11"/>
    <x v="1"/>
  </r>
  <r>
    <x v="0"/>
    <x v="0"/>
    <n v="208"/>
    <x v="1"/>
  </r>
  <r>
    <x v="1"/>
    <x v="0"/>
    <n v="23254.68"/>
    <x v="1"/>
  </r>
  <r>
    <x v="2"/>
    <x v="0"/>
    <n v="29581.93"/>
    <x v="1"/>
  </r>
  <r>
    <x v="4"/>
    <x v="0"/>
    <n v="2014.65"/>
    <x v="1"/>
  </r>
  <r>
    <x v="5"/>
    <x v="0"/>
    <n v="27735.59"/>
    <x v="1"/>
  </r>
  <r>
    <x v="6"/>
    <x v="0"/>
    <n v="143945.48000000001"/>
    <x v="1"/>
  </r>
  <r>
    <x v="7"/>
    <x v="0"/>
    <n v="31248.46"/>
    <x v="1"/>
  </r>
  <r>
    <x v="8"/>
    <x v="0"/>
    <n v="45886.2"/>
    <x v="1"/>
  </r>
  <r>
    <x v="9"/>
    <x v="0"/>
    <n v="183601.5"/>
    <x v="1"/>
  </r>
  <r>
    <x v="10"/>
    <x v="0"/>
    <n v="57998.71"/>
    <x v="1"/>
  </r>
  <r>
    <x v="11"/>
    <x v="0"/>
    <n v="49768.99"/>
    <x v="1"/>
  </r>
  <r>
    <x v="13"/>
    <x v="0"/>
    <n v="11606.64"/>
    <x v="1"/>
  </r>
  <r>
    <x v="15"/>
    <x v="0"/>
    <n v="66088.850000000006"/>
    <x v="1"/>
  </r>
  <r>
    <x v="16"/>
    <x v="0"/>
    <n v="8993.5"/>
    <x v="1"/>
  </r>
  <r>
    <x v="17"/>
    <x v="0"/>
    <n v="39863.19"/>
    <x v="1"/>
  </r>
  <r>
    <x v="20"/>
    <x v="0"/>
    <n v="4413.82"/>
    <x v="1"/>
  </r>
  <r>
    <x v="22"/>
    <x v="0"/>
    <n v="4673"/>
    <x v="1"/>
  </r>
  <r>
    <x v="23"/>
    <x v="0"/>
    <n v="25827.77"/>
    <x v="1"/>
  </r>
  <r>
    <x v="24"/>
    <x v="0"/>
    <n v="37662.11"/>
    <x v="1"/>
  </r>
  <r>
    <x v="25"/>
    <x v="0"/>
    <n v="58589.19"/>
    <x v="1"/>
  </r>
  <r>
    <x v="0"/>
    <x v="0"/>
    <n v="780"/>
    <x v="1"/>
  </r>
  <r>
    <x v="1"/>
    <x v="0"/>
    <n v="14730.11"/>
    <x v="1"/>
  </r>
  <r>
    <x v="2"/>
    <x v="0"/>
    <n v="14346.82"/>
    <x v="1"/>
  </r>
  <r>
    <x v="4"/>
    <x v="0"/>
    <n v="2059.56"/>
    <x v="1"/>
  </r>
  <r>
    <x v="5"/>
    <x v="0"/>
    <n v="20195.78"/>
    <x v="1"/>
  </r>
  <r>
    <x v="6"/>
    <x v="0"/>
    <n v="129931.47"/>
    <x v="1"/>
  </r>
  <r>
    <x v="7"/>
    <x v="0"/>
    <n v="18377.3"/>
    <x v="1"/>
  </r>
  <r>
    <x v="8"/>
    <x v="0"/>
    <n v="20968.45"/>
    <x v="1"/>
  </r>
  <r>
    <x v="9"/>
    <x v="0"/>
    <n v="62715.63"/>
    <x v="1"/>
  </r>
  <r>
    <x v="10"/>
    <x v="0"/>
    <n v="21763.51"/>
    <x v="1"/>
  </r>
  <r>
    <x v="11"/>
    <x v="0"/>
    <n v="21786.5"/>
    <x v="1"/>
  </r>
  <r>
    <x v="13"/>
    <x v="0"/>
    <n v="4301.12"/>
    <x v="1"/>
  </r>
  <r>
    <x v="15"/>
    <x v="0"/>
    <n v="38450.050000000003"/>
    <x v="1"/>
  </r>
  <r>
    <x v="16"/>
    <x v="0"/>
    <n v="3540.12"/>
    <x v="1"/>
  </r>
  <r>
    <x v="17"/>
    <x v="0"/>
    <n v="21769.39"/>
    <x v="1"/>
  </r>
  <r>
    <x v="20"/>
    <x v="0"/>
    <n v="2207"/>
    <x v="1"/>
  </r>
  <r>
    <x v="22"/>
    <x v="0"/>
    <n v="1899"/>
    <x v="1"/>
  </r>
  <r>
    <x v="23"/>
    <x v="0"/>
    <n v="17115.79"/>
    <x v="1"/>
  </r>
  <r>
    <x v="24"/>
    <x v="0"/>
    <n v="25152.98"/>
    <x v="1"/>
  </r>
  <r>
    <x v="25"/>
    <x v="0"/>
    <n v="47710.25"/>
    <x v="1"/>
  </r>
  <r>
    <x v="1"/>
    <x v="0"/>
    <n v="14884.88"/>
    <x v="1"/>
  </r>
  <r>
    <x v="2"/>
    <x v="0"/>
    <n v="13670.61"/>
    <x v="1"/>
  </r>
  <r>
    <x v="3"/>
    <x v="0"/>
    <n v="710"/>
    <x v="1"/>
  </r>
  <r>
    <x v="4"/>
    <x v="0"/>
    <n v="1578.65"/>
    <x v="1"/>
  </r>
  <r>
    <x v="5"/>
    <x v="0"/>
    <n v="18787.98"/>
    <x v="1"/>
  </r>
  <r>
    <x v="6"/>
    <x v="0"/>
    <n v="117542.45"/>
    <x v="1"/>
  </r>
  <r>
    <x v="7"/>
    <x v="0"/>
    <n v="12339.38"/>
    <x v="1"/>
  </r>
  <r>
    <x v="8"/>
    <x v="0"/>
    <n v="25499.08"/>
    <x v="1"/>
  </r>
  <r>
    <x v="9"/>
    <x v="0"/>
    <n v="58477.15"/>
    <x v="1"/>
  </r>
  <r>
    <x v="10"/>
    <x v="0"/>
    <n v="29577.200000000001"/>
    <x v="1"/>
  </r>
  <r>
    <x v="11"/>
    <x v="0"/>
    <n v="22116"/>
    <x v="1"/>
  </r>
  <r>
    <x v="13"/>
    <x v="0"/>
    <n v="4369.28"/>
    <x v="1"/>
  </r>
  <r>
    <x v="15"/>
    <x v="0"/>
    <n v="41318.67"/>
    <x v="1"/>
  </r>
  <r>
    <x v="16"/>
    <x v="0"/>
    <n v="3908.74"/>
    <x v="1"/>
  </r>
  <r>
    <x v="17"/>
    <x v="0"/>
    <n v="15443.45"/>
    <x v="1"/>
  </r>
  <r>
    <x v="20"/>
    <x v="0"/>
    <n v="1998"/>
    <x v="1"/>
  </r>
  <r>
    <x v="22"/>
    <x v="0"/>
    <n v="4766"/>
    <x v="1"/>
  </r>
  <r>
    <x v="23"/>
    <x v="0"/>
    <n v="17481.79"/>
    <x v="1"/>
  </r>
  <r>
    <x v="24"/>
    <x v="0"/>
    <n v="44243.1"/>
    <x v="1"/>
  </r>
  <r>
    <x v="25"/>
    <x v="0"/>
    <n v="30083.119999999999"/>
    <x v="1"/>
  </r>
  <r>
    <x v="0"/>
    <x v="0"/>
    <n v="624"/>
    <x v="1"/>
  </r>
  <r>
    <x v="1"/>
    <x v="0"/>
    <n v="10923.19"/>
    <x v="1"/>
  </r>
  <r>
    <x v="2"/>
    <x v="0"/>
    <n v="8593.84"/>
    <x v="1"/>
  </r>
  <r>
    <x v="4"/>
    <x v="0"/>
    <n v="426"/>
    <x v="1"/>
  </r>
  <r>
    <x v="5"/>
    <x v="0"/>
    <n v="18452.11"/>
    <x v="1"/>
  </r>
  <r>
    <x v="6"/>
    <x v="0"/>
    <n v="76679.86"/>
    <x v="1"/>
  </r>
  <r>
    <x v="7"/>
    <x v="0"/>
    <n v="12048.58"/>
    <x v="1"/>
  </r>
  <r>
    <x v="8"/>
    <x v="0"/>
    <n v="22962.65"/>
    <x v="1"/>
  </r>
  <r>
    <x v="9"/>
    <x v="0"/>
    <n v="25539"/>
    <x v="1"/>
  </r>
  <r>
    <x v="10"/>
    <x v="0"/>
    <n v="12036.3"/>
    <x v="1"/>
  </r>
  <r>
    <x v="11"/>
    <x v="0"/>
    <n v="12834.99"/>
    <x v="1"/>
  </r>
  <r>
    <x v="13"/>
    <x v="0"/>
    <n v="4019.5"/>
    <x v="1"/>
  </r>
  <r>
    <x v="15"/>
    <x v="0"/>
    <n v="48908.73"/>
    <x v="1"/>
  </r>
  <r>
    <x v="16"/>
    <x v="0"/>
    <n v="2826.82"/>
    <x v="1"/>
  </r>
  <r>
    <x v="17"/>
    <x v="0"/>
    <n v="12460.43"/>
    <x v="1"/>
  </r>
  <r>
    <x v="20"/>
    <x v="0"/>
    <n v="2332"/>
    <x v="1"/>
  </r>
  <r>
    <x v="22"/>
    <x v="0"/>
    <n v="266"/>
    <x v="1"/>
  </r>
  <r>
    <x v="23"/>
    <x v="0"/>
    <n v="10071.24"/>
    <x v="1"/>
  </r>
  <r>
    <x v="24"/>
    <x v="0"/>
    <n v="21528.13"/>
    <x v="1"/>
  </r>
  <r>
    <x v="25"/>
    <x v="0"/>
    <n v="21436.639999999999"/>
    <x v="1"/>
  </r>
  <r>
    <x v="0"/>
    <x v="0"/>
    <n v="780"/>
    <x v="1"/>
  </r>
  <r>
    <x v="1"/>
    <x v="0"/>
    <n v="15893.66"/>
    <x v="1"/>
  </r>
  <r>
    <x v="2"/>
    <x v="0"/>
    <n v="10659.04"/>
    <x v="1"/>
  </r>
  <r>
    <x v="4"/>
    <x v="0"/>
    <n v="1430"/>
    <x v="1"/>
  </r>
  <r>
    <x v="5"/>
    <x v="0"/>
    <n v="16553"/>
    <x v="1"/>
  </r>
  <r>
    <x v="6"/>
    <x v="0"/>
    <n v="120142.28"/>
    <x v="1"/>
  </r>
  <r>
    <x v="7"/>
    <x v="0"/>
    <n v="18577.59"/>
    <x v="1"/>
  </r>
  <r>
    <x v="8"/>
    <x v="0"/>
    <n v="29949.98"/>
    <x v="1"/>
  </r>
  <r>
    <x v="9"/>
    <x v="0"/>
    <n v="94735.52"/>
    <x v="1"/>
  </r>
  <r>
    <x v="10"/>
    <x v="0"/>
    <n v="28968.9"/>
    <x v="1"/>
  </r>
  <r>
    <x v="11"/>
    <x v="0"/>
    <n v="27848.5"/>
    <x v="1"/>
  </r>
  <r>
    <x v="13"/>
    <x v="0"/>
    <n v="3644.1"/>
    <x v="1"/>
  </r>
  <r>
    <x v="15"/>
    <x v="0"/>
    <n v="38010.550000000003"/>
    <x v="1"/>
  </r>
  <r>
    <x v="16"/>
    <x v="0"/>
    <n v="3790.48"/>
    <x v="1"/>
  </r>
  <r>
    <x v="17"/>
    <x v="0"/>
    <n v="17066.88"/>
    <x v="1"/>
  </r>
  <r>
    <x v="20"/>
    <x v="0"/>
    <n v="2736.5"/>
    <x v="1"/>
  </r>
  <r>
    <x v="22"/>
    <x v="0"/>
    <n v="2115"/>
    <x v="1"/>
  </r>
  <r>
    <x v="23"/>
    <x v="0"/>
    <n v="15881.9"/>
    <x v="1"/>
  </r>
  <r>
    <x v="24"/>
    <x v="0"/>
    <n v="25162.67"/>
    <x v="1"/>
  </r>
  <r>
    <x v="25"/>
    <x v="0"/>
    <n v="38562.129999999997"/>
    <x v="1"/>
  </r>
  <r>
    <x v="0"/>
    <x v="0"/>
    <n v="416"/>
    <x v="1"/>
  </r>
  <r>
    <x v="1"/>
    <x v="0"/>
    <n v="20661.96"/>
    <x v="1"/>
  </r>
  <r>
    <x v="2"/>
    <x v="0"/>
    <n v="23791.68"/>
    <x v="1"/>
  </r>
  <r>
    <x v="4"/>
    <x v="0"/>
    <n v="6998.15"/>
    <x v="1"/>
  </r>
  <r>
    <x v="5"/>
    <x v="0"/>
    <n v="23169.53"/>
    <x v="1"/>
  </r>
  <r>
    <x v="6"/>
    <x v="0"/>
    <n v="179556.75"/>
    <x v="1"/>
  </r>
  <r>
    <x v="7"/>
    <x v="0"/>
    <n v="32884.54"/>
    <x v="1"/>
  </r>
  <r>
    <x v="8"/>
    <x v="0"/>
    <n v="38039.99"/>
    <x v="1"/>
  </r>
  <r>
    <x v="9"/>
    <x v="0"/>
    <n v="72348.03"/>
    <x v="1"/>
  </r>
  <r>
    <x v="10"/>
    <x v="0"/>
    <n v="25276.7"/>
    <x v="1"/>
  </r>
  <r>
    <x v="11"/>
    <x v="0"/>
    <n v="32449.98"/>
    <x v="1"/>
  </r>
  <r>
    <x v="13"/>
    <x v="0"/>
    <n v="1187.3"/>
    <x v="1"/>
  </r>
  <r>
    <x v="15"/>
    <x v="0"/>
    <n v="49610.47"/>
    <x v="1"/>
  </r>
  <r>
    <x v="16"/>
    <x v="0"/>
    <n v="963.88"/>
    <x v="1"/>
  </r>
  <r>
    <x v="17"/>
    <x v="0"/>
    <n v="27744.04"/>
    <x v="1"/>
  </r>
  <r>
    <x v="20"/>
    <x v="0"/>
    <n v="1979.5"/>
    <x v="1"/>
  </r>
  <r>
    <x v="22"/>
    <x v="0"/>
    <n v="1599"/>
    <x v="1"/>
  </r>
  <r>
    <x v="23"/>
    <x v="0"/>
    <n v="16102.11"/>
    <x v="1"/>
  </r>
  <r>
    <x v="24"/>
    <x v="0"/>
    <n v="41330.82"/>
    <x v="1"/>
  </r>
  <r>
    <x v="25"/>
    <x v="0"/>
    <n v="41695.68"/>
    <x v="1"/>
  </r>
  <r>
    <x v="0"/>
    <x v="0"/>
    <n v="728"/>
    <x v="1"/>
  </r>
  <r>
    <x v="1"/>
    <x v="0"/>
    <n v="18480.830000000002"/>
    <x v="1"/>
  </r>
  <r>
    <x v="2"/>
    <x v="0"/>
    <n v="26017.360000000001"/>
    <x v="1"/>
  </r>
  <r>
    <x v="4"/>
    <x v="0"/>
    <n v="568"/>
    <x v="1"/>
  </r>
  <r>
    <x v="5"/>
    <x v="0"/>
    <n v="33522.160000000003"/>
    <x v="1"/>
  </r>
  <r>
    <x v="6"/>
    <x v="0"/>
    <n v="164910.19"/>
    <x v="1"/>
  </r>
  <r>
    <x v="7"/>
    <x v="0"/>
    <n v="31164.74"/>
    <x v="1"/>
  </r>
  <r>
    <x v="8"/>
    <x v="0"/>
    <n v="45307.62"/>
    <x v="1"/>
  </r>
  <r>
    <x v="9"/>
    <x v="0"/>
    <n v="63222.01"/>
    <x v="1"/>
  </r>
  <r>
    <x v="10"/>
    <x v="0"/>
    <n v="18442.91"/>
    <x v="1"/>
  </r>
  <r>
    <x v="11"/>
    <x v="0"/>
    <n v="39214.5"/>
    <x v="1"/>
  </r>
  <r>
    <x v="13"/>
    <x v="0"/>
    <n v="2137.3200000000002"/>
    <x v="1"/>
  </r>
  <r>
    <x v="15"/>
    <x v="0"/>
    <n v="40432.339999999997"/>
    <x v="1"/>
  </r>
  <r>
    <x v="16"/>
    <x v="0"/>
    <n v="2093.86"/>
    <x v="1"/>
  </r>
  <r>
    <x v="17"/>
    <x v="0"/>
    <n v="14719.33"/>
    <x v="1"/>
  </r>
  <r>
    <x v="20"/>
    <x v="0"/>
    <n v="8166.32"/>
    <x v="1"/>
  </r>
  <r>
    <x v="22"/>
    <x v="0"/>
    <n v="5309"/>
    <x v="1"/>
  </r>
  <r>
    <x v="23"/>
    <x v="0"/>
    <n v="21912.62"/>
    <x v="1"/>
  </r>
  <r>
    <x v="24"/>
    <x v="0"/>
    <n v="37637.79"/>
    <x v="1"/>
  </r>
  <r>
    <x v="25"/>
    <x v="0"/>
    <n v="56972.03"/>
    <x v="1"/>
  </r>
  <r>
    <x v="0"/>
    <x v="0"/>
    <n v="416"/>
    <x v="1"/>
  </r>
  <r>
    <x v="1"/>
    <x v="0"/>
    <n v="16261.05"/>
    <x v="1"/>
  </r>
  <r>
    <x v="2"/>
    <x v="0"/>
    <n v="15203.81"/>
    <x v="1"/>
  </r>
  <r>
    <x v="4"/>
    <x v="0"/>
    <n v="1705.12"/>
    <x v="1"/>
  </r>
  <r>
    <x v="5"/>
    <x v="0"/>
    <n v="25549.3"/>
    <x v="1"/>
  </r>
  <r>
    <x v="6"/>
    <x v="0"/>
    <n v="138308.01"/>
    <x v="1"/>
  </r>
  <r>
    <x v="7"/>
    <x v="0"/>
    <n v="17303.22"/>
    <x v="1"/>
  </r>
  <r>
    <x v="8"/>
    <x v="0"/>
    <n v="30357.29"/>
    <x v="1"/>
  </r>
  <r>
    <x v="9"/>
    <x v="0"/>
    <n v="46440"/>
    <x v="1"/>
  </r>
  <r>
    <x v="10"/>
    <x v="0"/>
    <n v="43674.2"/>
    <x v="1"/>
  </r>
  <r>
    <x v="11"/>
    <x v="0"/>
    <n v="14023.5"/>
    <x v="1"/>
  </r>
  <r>
    <x v="13"/>
    <x v="0"/>
    <n v="989.7"/>
    <x v="1"/>
  </r>
  <r>
    <x v="15"/>
    <x v="0"/>
    <n v="36573.040000000001"/>
    <x v="1"/>
  </r>
  <r>
    <x v="16"/>
    <x v="0"/>
    <n v="434.4"/>
    <x v="1"/>
  </r>
  <r>
    <x v="17"/>
    <x v="0"/>
    <n v="16530.32"/>
    <x v="1"/>
  </r>
  <r>
    <x v="20"/>
    <x v="0"/>
    <n v="3769.57"/>
    <x v="1"/>
  </r>
  <r>
    <x v="22"/>
    <x v="0"/>
    <n v="432"/>
    <x v="1"/>
  </r>
  <r>
    <x v="23"/>
    <x v="0"/>
    <n v="13421.04"/>
    <x v="1"/>
  </r>
  <r>
    <x v="24"/>
    <x v="0"/>
    <n v="18797.900000000001"/>
    <x v="1"/>
  </r>
  <r>
    <x v="25"/>
    <x v="0"/>
    <n v="40366.19"/>
    <x v="1"/>
  </r>
  <r>
    <x v="0"/>
    <x v="0"/>
    <n v="260"/>
    <x v="1"/>
  </r>
  <r>
    <x v="1"/>
    <x v="0"/>
    <n v="16679.43"/>
    <x v="1"/>
  </r>
  <r>
    <x v="2"/>
    <x v="0"/>
    <n v="15421.75"/>
    <x v="1"/>
  </r>
  <r>
    <x v="4"/>
    <x v="0"/>
    <n v="1879.3"/>
    <x v="1"/>
  </r>
  <r>
    <x v="5"/>
    <x v="0"/>
    <n v="13143.87"/>
    <x v="1"/>
  </r>
  <r>
    <x v="6"/>
    <x v="0"/>
    <n v="95329.91"/>
    <x v="1"/>
  </r>
  <r>
    <x v="7"/>
    <x v="0"/>
    <n v="16108.9"/>
    <x v="1"/>
  </r>
  <r>
    <x v="8"/>
    <x v="0"/>
    <n v="33105.51"/>
    <x v="1"/>
  </r>
  <r>
    <x v="9"/>
    <x v="0"/>
    <n v="21303"/>
    <x v="1"/>
  </r>
  <r>
    <x v="10"/>
    <x v="0"/>
    <n v="20083.5"/>
    <x v="1"/>
  </r>
  <r>
    <x v="11"/>
    <x v="0"/>
    <n v="13643"/>
    <x v="1"/>
  </r>
  <r>
    <x v="13"/>
    <x v="0"/>
    <n v="1378.62"/>
    <x v="1"/>
  </r>
  <r>
    <x v="15"/>
    <x v="0"/>
    <n v="31063.03"/>
    <x v="1"/>
  </r>
  <r>
    <x v="16"/>
    <x v="0"/>
    <n v="1890.6"/>
    <x v="1"/>
  </r>
  <r>
    <x v="17"/>
    <x v="0"/>
    <n v="27369.73"/>
    <x v="1"/>
  </r>
  <r>
    <x v="20"/>
    <x v="0"/>
    <n v="4628.57"/>
    <x v="1"/>
  </r>
  <r>
    <x v="23"/>
    <x v="0"/>
    <n v="11623.4"/>
    <x v="1"/>
  </r>
  <r>
    <x v="24"/>
    <x v="0"/>
    <n v="31796.1"/>
    <x v="1"/>
  </r>
  <r>
    <x v="25"/>
    <x v="0"/>
    <n v="51422.25"/>
    <x v="1"/>
  </r>
  <r>
    <x v="0"/>
    <x v="0"/>
    <n v="520"/>
    <x v="1"/>
  </r>
  <r>
    <x v="1"/>
    <x v="0"/>
    <n v="19925.849999999999"/>
    <x v="1"/>
  </r>
  <r>
    <x v="2"/>
    <x v="0"/>
    <n v="22948.1"/>
    <x v="1"/>
  </r>
  <r>
    <x v="4"/>
    <x v="0"/>
    <n v="2221.15"/>
    <x v="1"/>
  </r>
  <r>
    <x v="5"/>
    <x v="0"/>
    <n v="22473.94"/>
    <x v="1"/>
  </r>
  <r>
    <x v="6"/>
    <x v="0"/>
    <n v="120436.54"/>
    <x v="1"/>
  </r>
  <r>
    <x v="7"/>
    <x v="0"/>
    <n v="24066.06"/>
    <x v="1"/>
  </r>
  <r>
    <x v="8"/>
    <x v="0"/>
    <n v="37291.47"/>
    <x v="1"/>
  </r>
  <r>
    <x v="9"/>
    <x v="0"/>
    <n v="42815"/>
    <x v="1"/>
  </r>
  <r>
    <x v="10"/>
    <x v="0"/>
    <n v="17377.61"/>
    <x v="1"/>
  </r>
  <r>
    <x v="11"/>
    <x v="0"/>
    <n v="20593.5"/>
    <x v="1"/>
  </r>
  <r>
    <x v="13"/>
    <x v="0"/>
    <n v="7186.36"/>
    <x v="1"/>
  </r>
  <r>
    <x v="15"/>
    <x v="0"/>
    <n v="30031.19"/>
    <x v="1"/>
  </r>
  <r>
    <x v="16"/>
    <x v="0"/>
    <n v="2711.28"/>
    <x v="1"/>
  </r>
  <r>
    <x v="17"/>
    <x v="0"/>
    <n v="25869.06"/>
    <x v="1"/>
  </r>
  <r>
    <x v="20"/>
    <x v="0"/>
    <n v="2078.5"/>
    <x v="1"/>
  </r>
  <r>
    <x v="22"/>
    <x v="0"/>
    <n v="2048"/>
    <x v="1"/>
  </r>
  <r>
    <x v="23"/>
    <x v="0"/>
    <n v="22005.11"/>
    <x v="1"/>
  </r>
  <r>
    <x v="24"/>
    <x v="0"/>
    <n v="34413.089999999997"/>
    <x v="1"/>
  </r>
  <r>
    <x v="25"/>
    <x v="0"/>
    <n v="59991.19"/>
    <x v="1"/>
  </r>
  <r>
    <x v="0"/>
    <x v="0"/>
    <n v="364"/>
    <x v="1"/>
  </r>
  <r>
    <x v="1"/>
    <x v="0"/>
    <n v="21712.11"/>
    <x v="1"/>
  </r>
  <r>
    <x v="2"/>
    <x v="0"/>
    <n v="20885.07"/>
    <x v="1"/>
  </r>
  <r>
    <x v="4"/>
    <x v="0"/>
    <n v="1010.65"/>
    <x v="1"/>
  </r>
  <r>
    <x v="5"/>
    <x v="0"/>
    <n v="15385.3"/>
    <x v="1"/>
  </r>
  <r>
    <x v="6"/>
    <x v="0"/>
    <n v="133728.49"/>
    <x v="1"/>
  </r>
  <r>
    <x v="7"/>
    <x v="0"/>
    <n v="19155.650000000001"/>
    <x v="1"/>
  </r>
  <r>
    <x v="8"/>
    <x v="0"/>
    <n v="50390.07"/>
    <x v="1"/>
  </r>
  <r>
    <x v="9"/>
    <x v="0"/>
    <n v="37327.03"/>
    <x v="1"/>
  </r>
  <r>
    <x v="10"/>
    <x v="0"/>
    <n v="36279.410000000003"/>
    <x v="1"/>
  </r>
  <r>
    <x v="11"/>
    <x v="0"/>
    <n v="20854"/>
    <x v="1"/>
  </r>
  <r>
    <x v="13"/>
    <x v="0"/>
    <n v="1993.78"/>
    <x v="1"/>
  </r>
  <r>
    <x v="15"/>
    <x v="0"/>
    <n v="35856.129999999997"/>
    <x v="1"/>
  </r>
  <r>
    <x v="16"/>
    <x v="0"/>
    <n v="451.4"/>
    <x v="1"/>
  </r>
  <r>
    <x v="17"/>
    <x v="0"/>
    <n v="14920.91"/>
    <x v="1"/>
  </r>
  <r>
    <x v="20"/>
    <x v="0"/>
    <n v="679.5"/>
    <x v="1"/>
  </r>
  <r>
    <x v="22"/>
    <x v="0"/>
    <n v="2666"/>
    <x v="1"/>
  </r>
  <r>
    <x v="23"/>
    <x v="0"/>
    <n v="13651.08"/>
    <x v="1"/>
  </r>
  <r>
    <x v="24"/>
    <x v="0"/>
    <n v="27586.22"/>
    <x v="1"/>
  </r>
  <r>
    <x v="25"/>
    <x v="0"/>
    <n v="38145.29"/>
    <x v="1"/>
  </r>
  <r>
    <x v="0"/>
    <x v="0"/>
    <n v="572"/>
    <x v="1"/>
  </r>
  <r>
    <x v="1"/>
    <x v="0"/>
    <n v="14802.14"/>
    <x v="1"/>
  </r>
  <r>
    <x v="2"/>
    <x v="0"/>
    <n v="16488.78"/>
    <x v="1"/>
  </r>
  <r>
    <x v="4"/>
    <x v="0"/>
    <n v="2908.52"/>
    <x v="1"/>
  </r>
  <r>
    <x v="5"/>
    <x v="0"/>
    <n v="25784.77"/>
    <x v="1"/>
  </r>
  <r>
    <x v="6"/>
    <x v="0"/>
    <n v="125863.76"/>
    <x v="1"/>
  </r>
  <r>
    <x v="7"/>
    <x v="0"/>
    <n v="22349.86"/>
    <x v="1"/>
  </r>
  <r>
    <x v="8"/>
    <x v="0"/>
    <n v="47273.01"/>
    <x v="1"/>
  </r>
  <r>
    <x v="9"/>
    <x v="0"/>
    <n v="74628.02"/>
    <x v="1"/>
  </r>
  <r>
    <x v="10"/>
    <x v="0"/>
    <n v="36235.11"/>
    <x v="1"/>
  </r>
  <r>
    <x v="11"/>
    <x v="0"/>
    <n v="37273.5"/>
    <x v="1"/>
  </r>
  <r>
    <x v="13"/>
    <x v="0"/>
    <n v="7210.3"/>
    <x v="1"/>
  </r>
  <r>
    <x v="15"/>
    <x v="0"/>
    <n v="47437.98"/>
    <x v="1"/>
  </r>
  <r>
    <x v="16"/>
    <x v="0"/>
    <n v="1400.56"/>
    <x v="1"/>
  </r>
  <r>
    <x v="17"/>
    <x v="0"/>
    <n v="31566.23"/>
    <x v="1"/>
  </r>
  <r>
    <x v="20"/>
    <x v="0"/>
    <n v="5869.62"/>
    <x v="1"/>
  </r>
  <r>
    <x v="22"/>
    <x v="0"/>
    <n v="2215"/>
    <x v="1"/>
  </r>
  <r>
    <x v="23"/>
    <x v="0"/>
    <n v="19965.64"/>
    <x v="1"/>
  </r>
  <r>
    <x v="24"/>
    <x v="0"/>
    <n v="38969.919999999998"/>
    <x v="1"/>
  </r>
  <r>
    <x v="25"/>
    <x v="0"/>
    <n v="36666.839999999997"/>
    <x v="1"/>
  </r>
  <r>
    <x v="0"/>
    <x v="0"/>
    <n v="780"/>
    <x v="1"/>
  </r>
  <r>
    <x v="1"/>
    <x v="0"/>
    <n v="27012.31"/>
    <x v="1"/>
  </r>
  <r>
    <x v="2"/>
    <x v="0"/>
    <n v="22601.599999999999"/>
    <x v="1"/>
  </r>
  <r>
    <x v="4"/>
    <x v="0"/>
    <n v="2775.56"/>
    <x v="1"/>
  </r>
  <r>
    <x v="5"/>
    <x v="0"/>
    <n v="28759.919999999998"/>
    <x v="1"/>
  </r>
  <r>
    <x v="6"/>
    <x v="0"/>
    <n v="167230.15"/>
    <x v="1"/>
  </r>
  <r>
    <x v="7"/>
    <x v="0"/>
    <n v="28306.1"/>
    <x v="1"/>
  </r>
  <r>
    <x v="8"/>
    <x v="0"/>
    <n v="49333.59"/>
    <x v="1"/>
  </r>
  <r>
    <x v="9"/>
    <x v="0"/>
    <n v="132417.94"/>
    <x v="1"/>
  </r>
  <r>
    <x v="10"/>
    <x v="0"/>
    <n v="44732.61"/>
    <x v="1"/>
  </r>
  <r>
    <x v="11"/>
    <x v="0"/>
    <n v="45661"/>
    <x v="1"/>
  </r>
  <r>
    <x v="13"/>
    <x v="0"/>
    <n v="4991.12"/>
    <x v="1"/>
  </r>
  <r>
    <x v="15"/>
    <x v="0"/>
    <n v="59960.77"/>
    <x v="1"/>
  </r>
  <r>
    <x v="16"/>
    <x v="0"/>
    <n v="3341.2"/>
    <x v="1"/>
  </r>
  <r>
    <x v="17"/>
    <x v="0"/>
    <n v="35267.5"/>
    <x v="1"/>
  </r>
  <r>
    <x v="20"/>
    <x v="0"/>
    <n v="6266.64"/>
    <x v="1"/>
  </r>
  <r>
    <x v="22"/>
    <x v="0"/>
    <n v="566"/>
    <x v="1"/>
  </r>
  <r>
    <x v="23"/>
    <x v="0"/>
    <n v="22018.2"/>
    <x v="1"/>
  </r>
  <r>
    <x v="24"/>
    <x v="0"/>
    <n v="45685.05"/>
    <x v="1"/>
  </r>
  <r>
    <x v="25"/>
    <x v="0"/>
    <n v="52760.24"/>
    <x v="1"/>
  </r>
  <r>
    <x v="0"/>
    <x v="0"/>
    <n v="468"/>
    <x v="1"/>
  </r>
  <r>
    <x v="1"/>
    <x v="0"/>
    <n v="18121.32"/>
    <x v="1"/>
  </r>
  <r>
    <x v="2"/>
    <x v="0"/>
    <n v="13724.16"/>
    <x v="1"/>
  </r>
  <r>
    <x v="3"/>
    <x v="0"/>
    <n v="1112.1500000000001"/>
    <x v="1"/>
  </r>
  <r>
    <x v="5"/>
    <x v="0"/>
    <n v="14926.98"/>
    <x v="1"/>
  </r>
  <r>
    <x v="6"/>
    <x v="0"/>
    <n v="87723.22"/>
    <x v="1"/>
  </r>
  <r>
    <x v="7"/>
    <x v="0"/>
    <n v="12862.13"/>
    <x v="1"/>
  </r>
  <r>
    <x v="8"/>
    <x v="0"/>
    <n v="22727.98"/>
    <x v="1"/>
  </r>
  <r>
    <x v="9"/>
    <x v="0"/>
    <n v="90085.97"/>
    <x v="1"/>
  </r>
  <r>
    <x v="10"/>
    <x v="0"/>
    <n v="13145.51"/>
    <x v="1"/>
  </r>
  <r>
    <x v="11"/>
    <x v="0"/>
    <n v="20327"/>
    <x v="1"/>
  </r>
  <r>
    <x v="13"/>
    <x v="0"/>
    <n v="1021.34"/>
    <x v="1"/>
  </r>
  <r>
    <x v="15"/>
    <x v="0"/>
    <n v="30328.720000000001"/>
    <x v="1"/>
  </r>
  <r>
    <x v="16"/>
    <x v="0"/>
    <n v="1165.1199999999999"/>
    <x v="1"/>
  </r>
  <r>
    <x v="17"/>
    <x v="0"/>
    <n v="17088.04"/>
    <x v="1"/>
  </r>
  <r>
    <x v="20"/>
    <x v="0"/>
    <n v="1679.5"/>
    <x v="1"/>
  </r>
  <r>
    <x v="23"/>
    <x v="0"/>
    <n v="11329.74"/>
    <x v="1"/>
  </r>
  <r>
    <x v="24"/>
    <x v="0"/>
    <n v="28669.86"/>
    <x v="1"/>
  </r>
  <r>
    <x v="25"/>
    <x v="0"/>
    <n v="39014.42"/>
    <x v="1"/>
  </r>
  <r>
    <x v="0"/>
    <x v="0"/>
    <n v="11892"/>
    <x v="2"/>
  </r>
  <r>
    <x v="1"/>
    <x v="0"/>
    <n v="247618.59"/>
    <x v="2"/>
  </r>
  <r>
    <x v="2"/>
    <x v="0"/>
    <n v="102169.72"/>
    <x v="2"/>
  </r>
  <r>
    <x v="3"/>
    <x v="0"/>
    <n v="3142"/>
    <x v="2"/>
  </r>
  <r>
    <x v="4"/>
    <x v="0"/>
    <n v="8925.64"/>
    <x v="2"/>
  </r>
  <r>
    <x v="5"/>
    <x v="0"/>
    <n v="178547.47"/>
    <x v="2"/>
  </r>
  <r>
    <x v="6"/>
    <x v="0"/>
    <n v="542280.32999999996"/>
    <x v="2"/>
  </r>
  <r>
    <x v="7"/>
    <x v="0"/>
    <n v="173640.95999999999"/>
    <x v="2"/>
  </r>
  <r>
    <x v="8"/>
    <x v="0"/>
    <n v="229364.07"/>
    <x v="2"/>
  </r>
  <r>
    <x v="9"/>
    <x v="0"/>
    <n v="418815.5"/>
    <x v="2"/>
  </r>
  <r>
    <x v="10"/>
    <x v="0"/>
    <n v="150539.4"/>
    <x v="2"/>
  </r>
  <r>
    <x v="11"/>
    <x v="0"/>
    <n v="66334"/>
    <x v="2"/>
  </r>
  <r>
    <x v="12"/>
    <x v="0"/>
    <n v="23515.4"/>
    <x v="2"/>
  </r>
  <r>
    <x v="26"/>
    <x v="0"/>
    <n v="3945.72"/>
    <x v="2"/>
  </r>
  <r>
    <x v="13"/>
    <x v="0"/>
    <n v="108562.12"/>
    <x v="2"/>
  </r>
  <r>
    <x v="14"/>
    <x v="0"/>
    <n v="36251.06"/>
    <x v="2"/>
  </r>
  <r>
    <x v="15"/>
    <x v="0"/>
    <n v="380078.83"/>
    <x v="2"/>
  </r>
  <r>
    <x v="16"/>
    <x v="0"/>
    <n v="62852.76"/>
    <x v="2"/>
  </r>
  <r>
    <x v="18"/>
    <x v="0"/>
    <n v="17835.349999999999"/>
    <x v="2"/>
  </r>
  <r>
    <x v="19"/>
    <x v="0"/>
    <n v="27065.040000000001"/>
    <x v="2"/>
  </r>
  <r>
    <x v="20"/>
    <x v="0"/>
    <n v="250788.01"/>
    <x v="2"/>
  </r>
  <r>
    <x v="21"/>
    <x v="0"/>
    <n v="892"/>
    <x v="2"/>
  </r>
  <r>
    <x v="22"/>
    <x v="0"/>
    <n v="2942.28"/>
    <x v="2"/>
  </r>
  <r>
    <x v="23"/>
    <x v="0"/>
    <n v="131536.6"/>
    <x v="2"/>
  </r>
  <r>
    <x v="24"/>
    <x v="0"/>
    <n v="319370.98"/>
    <x v="2"/>
  </r>
  <r>
    <x v="25"/>
    <x v="0"/>
    <n v="201596.47"/>
    <x v="2"/>
  </r>
  <r>
    <x v="0"/>
    <x v="0"/>
    <n v="25924"/>
    <x v="2"/>
  </r>
  <r>
    <x v="1"/>
    <x v="0"/>
    <n v="198417.13"/>
    <x v="2"/>
  </r>
  <r>
    <x v="2"/>
    <x v="0"/>
    <n v="69037.429999999993"/>
    <x v="2"/>
  </r>
  <r>
    <x v="3"/>
    <x v="0"/>
    <n v="3322"/>
    <x v="2"/>
  </r>
  <r>
    <x v="4"/>
    <x v="0"/>
    <n v="11791.87"/>
    <x v="2"/>
  </r>
  <r>
    <x v="5"/>
    <x v="0"/>
    <n v="151464.42000000001"/>
    <x v="2"/>
  </r>
  <r>
    <x v="6"/>
    <x v="0"/>
    <n v="626863.75"/>
    <x v="2"/>
  </r>
  <r>
    <x v="7"/>
    <x v="0"/>
    <n v="134719.96"/>
    <x v="2"/>
  </r>
  <r>
    <x v="8"/>
    <x v="0"/>
    <n v="187358.49"/>
    <x v="2"/>
  </r>
  <r>
    <x v="9"/>
    <x v="0"/>
    <n v="257556.5"/>
    <x v="2"/>
  </r>
  <r>
    <x v="10"/>
    <x v="0"/>
    <n v="144916.20000000001"/>
    <x v="2"/>
  </r>
  <r>
    <x v="11"/>
    <x v="0"/>
    <n v="78236"/>
    <x v="2"/>
  </r>
  <r>
    <x v="12"/>
    <x v="0"/>
    <n v="28127.65"/>
    <x v="2"/>
  </r>
  <r>
    <x v="26"/>
    <x v="0"/>
    <n v="8061.32"/>
    <x v="2"/>
  </r>
  <r>
    <x v="13"/>
    <x v="0"/>
    <n v="158605.5"/>
    <x v="2"/>
  </r>
  <r>
    <x v="14"/>
    <x v="0"/>
    <n v="110477.63"/>
    <x v="2"/>
  </r>
  <r>
    <x v="15"/>
    <x v="0"/>
    <n v="483576.33"/>
    <x v="2"/>
  </r>
  <r>
    <x v="16"/>
    <x v="0"/>
    <n v="22091"/>
    <x v="2"/>
  </r>
  <r>
    <x v="17"/>
    <x v="0"/>
    <n v="80"/>
    <x v="2"/>
  </r>
  <r>
    <x v="18"/>
    <x v="0"/>
    <n v="15087.23"/>
    <x v="2"/>
  </r>
  <r>
    <x v="19"/>
    <x v="0"/>
    <n v="31279.51"/>
    <x v="2"/>
  </r>
  <r>
    <x v="20"/>
    <x v="0"/>
    <n v="243890.44"/>
    <x v="2"/>
  </r>
  <r>
    <x v="21"/>
    <x v="0"/>
    <n v="152"/>
    <x v="2"/>
  </r>
  <r>
    <x v="22"/>
    <x v="0"/>
    <n v="2935.56"/>
    <x v="2"/>
  </r>
  <r>
    <x v="23"/>
    <x v="0"/>
    <n v="132689.14000000001"/>
    <x v="2"/>
  </r>
  <r>
    <x v="24"/>
    <x v="0"/>
    <n v="331624.52"/>
    <x v="2"/>
  </r>
  <r>
    <x v="25"/>
    <x v="0"/>
    <n v="196987.15"/>
    <x v="2"/>
  </r>
  <r>
    <x v="0"/>
    <x v="0"/>
    <n v="21459"/>
    <x v="2"/>
  </r>
  <r>
    <x v="1"/>
    <x v="0"/>
    <n v="206057.19"/>
    <x v="2"/>
  </r>
  <r>
    <x v="2"/>
    <x v="0"/>
    <n v="54515.93"/>
    <x v="2"/>
  </r>
  <r>
    <x v="3"/>
    <x v="0"/>
    <n v="3050"/>
    <x v="2"/>
  </r>
  <r>
    <x v="4"/>
    <x v="0"/>
    <n v="11747.92"/>
    <x v="2"/>
  </r>
  <r>
    <x v="5"/>
    <x v="0"/>
    <n v="246892.64"/>
    <x v="2"/>
  </r>
  <r>
    <x v="6"/>
    <x v="0"/>
    <n v="578337.67000000004"/>
    <x v="2"/>
  </r>
  <r>
    <x v="7"/>
    <x v="0"/>
    <n v="142102.94"/>
    <x v="2"/>
  </r>
  <r>
    <x v="8"/>
    <x v="0"/>
    <n v="244903.41"/>
    <x v="2"/>
  </r>
  <r>
    <x v="9"/>
    <x v="0"/>
    <n v="328219"/>
    <x v="2"/>
  </r>
  <r>
    <x v="10"/>
    <x v="0"/>
    <n v="146231.79999999999"/>
    <x v="2"/>
  </r>
  <r>
    <x v="11"/>
    <x v="0"/>
    <n v="85455"/>
    <x v="2"/>
  </r>
  <r>
    <x v="12"/>
    <x v="0"/>
    <n v="16737.900000000001"/>
    <x v="2"/>
  </r>
  <r>
    <x v="26"/>
    <x v="0"/>
    <n v="6810.66"/>
    <x v="2"/>
  </r>
  <r>
    <x v="13"/>
    <x v="0"/>
    <n v="146351.78"/>
    <x v="2"/>
  </r>
  <r>
    <x v="14"/>
    <x v="0"/>
    <n v="177225.05"/>
    <x v="2"/>
  </r>
  <r>
    <x v="15"/>
    <x v="0"/>
    <n v="555246.67000000004"/>
    <x v="2"/>
  </r>
  <r>
    <x v="16"/>
    <x v="0"/>
    <n v="136787.9"/>
    <x v="2"/>
  </r>
  <r>
    <x v="17"/>
    <x v="0"/>
    <n v="80"/>
    <x v="2"/>
  </r>
  <r>
    <x v="18"/>
    <x v="0"/>
    <n v="23873.64"/>
    <x v="2"/>
  </r>
  <r>
    <x v="19"/>
    <x v="0"/>
    <n v="17740.79"/>
    <x v="2"/>
  </r>
  <r>
    <x v="20"/>
    <x v="0"/>
    <n v="234256.57"/>
    <x v="2"/>
  </r>
  <r>
    <x v="21"/>
    <x v="0"/>
    <n v="456"/>
    <x v="2"/>
  </r>
  <r>
    <x v="22"/>
    <x v="0"/>
    <n v="3661.84"/>
    <x v="2"/>
  </r>
  <r>
    <x v="23"/>
    <x v="0"/>
    <n v="166918.82999999999"/>
    <x v="2"/>
  </r>
  <r>
    <x v="24"/>
    <x v="0"/>
    <n v="350468.96"/>
    <x v="2"/>
  </r>
  <r>
    <x v="25"/>
    <x v="0"/>
    <n v="255133.91"/>
    <x v="2"/>
  </r>
  <r>
    <x v="0"/>
    <x v="0"/>
    <n v="18460"/>
    <x v="2"/>
  </r>
  <r>
    <x v="1"/>
    <x v="0"/>
    <n v="253021.76"/>
    <x v="2"/>
  </r>
  <r>
    <x v="2"/>
    <x v="0"/>
    <n v="77768.47"/>
    <x v="2"/>
  </r>
  <r>
    <x v="3"/>
    <x v="0"/>
    <n v="3957"/>
    <x v="2"/>
  </r>
  <r>
    <x v="4"/>
    <x v="0"/>
    <n v="19068.669999999998"/>
    <x v="2"/>
  </r>
  <r>
    <x v="5"/>
    <x v="0"/>
    <n v="150242.07"/>
    <x v="2"/>
  </r>
  <r>
    <x v="6"/>
    <x v="0"/>
    <n v="428261.27"/>
    <x v="2"/>
  </r>
  <r>
    <x v="7"/>
    <x v="0"/>
    <n v="141345.03"/>
    <x v="2"/>
  </r>
  <r>
    <x v="8"/>
    <x v="0"/>
    <n v="231460.17"/>
    <x v="2"/>
  </r>
  <r>
    <x v="9"/>
    <x v="0"/>
    <n v="332180.5"/>
    <x v="2"/>
  </r>
  <r>
    <x v="10"/>
    <x v="0"/>
    <n v="152980.20000000001"/>
    <x v="2"/>
  </r>
  <r>
    <x v="11"/>
    <x v="0"/>
    <n v="94061"/>
    <x v="2"/>
  </r>
  <r>
    <x v="12"/>
    <x v="0"/>
    <n v="21224.5"/>
    <x v="2"/>
  </r>
  <r>
    <x v="26"/>
    <x v="0"/>
    <n v="2365.2199999999998"/>
    <x v="2"/>
  </r>
  <r>
    <x v="13"/>
    <x v="0"/>
    <n v="164223.10999999999"/>
    <x v="2"/>
  </r>
  <r>
    <x v="14"/>
    <x v="0"/>
    <n v="158682.94"/>
    <x v="2"/>
  </r>
  <r>
    <x v="15"/>
    <x v="0"/>
    <n v="567322.67000000004"/>
    <x v="2"/>
  </r>
  <r>
    <x v="16"/>
    <x v="0"/>
    <n v="171220.88"/>
    <x v="2"/>
  </r>
  <r>
    <x v="17"/>
    <x v="0"/>
    <n v="120"/>
    <x v="2"/>
  </r>
  <r>
    <x v="18"/>
    <x v="0"/>
    <n v="31724.12"/>
    <x v="2"/>
  </r>
  <r>
    <x v="19"/>
    <x v="0"/>
    <n v="17101.02"/>
    <x v="2"/>
  </r>
  <r>
    <x v="20"/>
    <x v="0"/>
    <n v="233709.02"/>
    <x v="2"/>
  </r>
  <r>
    <x v="22"/>
    <x v="0"/>
    <n v="2994.72"/>
    <x v="2"/>
  </r>
  <r>
    <x v="23"/>
    <x v="0"/>
    <n v="116003.27"/>
    <x v="2"/>
  </r>
  <r>
    <x v="24"/>
    <x v="0"/>
    <n v="353730.8"/>
    <x v="2"/>
  </r>
  <r>
    <x v="25"/>
    <x v="0"/>
    <n v="194234.28"/>
    <x v="2"/>
  </r>
  <r>
    <x v="0"/>
    <x v="0"/>
    <n v="18234"/>
    <x v="2"/>
  </r>
  <r>
    <x v="1"/>
    <x v="0"/>
    <n v="281896.87"/>
    <x v="2"/>
  </r>
  <r>
    <x v="2"/>
    <x v="0"/>
    <n v="79276.22"/>
    <x v="2"/>
  </r>
  <r>
    <x v="3"/>
    <x v="0"/>
    <n v="1420"/>
    <x v="2"/>
  </r>
  <r>
    <x v="4"/>
    <x v="0"/>
    <n v="8250.51"/>
    <x v="2"/>
  </r>
  <r>
    <x v="5"/>
    <x v="0"/>
    <n v="149328.26"/>
    <x v="2"/>
  </r>
  <r>
    <x v="6"/>
    <x v="0"/>
    <n v="534792.36"/>
    <x v="2"/>
  </r>
  <r>
    <x v="7"/>
    <x v="0"/>
    <n v="155714.23000000001"/>
    <x v="2"/>
  </r>
  <r>
    <x v="8"/>
    <x v="0"/>
    <n v="243283.89"/>
    <x v="2"/>
  </r>
  <r>
    <x v="9"/>
    <x v="0"/>
    <n v="621335.36"/>
    <x v="2"/>
  </r>
  <r>
    <x v="10"/>
    <x v="0"/>
    <n v="196121"/>
    <x v="2"/>
  </r>
  <r>
    <x v="11"/>
    <x v="0"/>
    <n v="150426"/>
    <x v="2"/>
  </r>
  <r>
    <x v="12"/>
    <x v="0"/>
    <n v="15704.85"/>
    <x v="2"/>
  </r>
  <r>
    <x v="26"/>
    <x v="0"/>
    <n v="21695.31"/>
    <x v="2"/>
  </r>
  <r>
    <x v="13"/>
    <x v="0"/>
    <n v="196639.58"/>
    <x v="2"/>
  </r>
  <r>
    <x v="14"/>
    <x v="0"/>
    <n v="151101.35"/>
    <x v="2"/>
  </r>
  <r>
    <x v="15"/>
    <x v="0"/>
    <n v="596058"/>
    <x v="2"/>
  </r>
  <r>
    <x v="16"/>
    <x v="0"/>
    <n v="184648.24"/>
    <x v="2"/>
  </r>
  <r>
    <x v="17"/>
    <x v="0"/>
    <n v="680"/>
    <x v="2"/>
  </r>
  <r>
    <x v="18"/>
    <x v="0"/>
    <n v="33151.26"/>
    <x v="2"/>
  </r>
  <r>
    <x v="19"/>
    <x v="0"/>
    <n v="20564.189999999999"/>
    <x v="2"/>
  </r>
  <r>
    <x v="20"/>
    <x v="0"/>
    <n v="290604.61"/>
    <x v="2"/>
  </r>
  <r>
    <x v="22"/>
    <x v="0"/>
    <n v="2158.8000000000002"/>
    <x v="2"/>
  </r>
  <r>
    <x v="23"/>
    <x v="0"/>
    <n v="143122.65"/>
    <x v="2"/>
  </r>
  <r>
    <x v="24"/>
    <x v="0"/>
    <n v="347115.49"/>
    <x v="2"/>
  </r>
  <r>
    <x v="25"/>
    <x v="0"/>
    <n v="294215.46000000002"/>
    <x v="2"/>
  </r>
  <r>
    <x v="0"/>
    <x v="0"/>
    <n v="21617"/>
    <x v="2"/>
  </r>
  <r>
    <x v="1"/>
    <x v="0"/>
    <n v="408951.66"/>
    <x v="2"/>
  </r>
  <r>
    <x v="2"/>
    <x v="0"/>
    <n v="121135.32"/>
    <x v="2"/>
  </r>
  <r>
    <x v="3"/>
    <x v="0"/>
    <n v="3433"/>
    <x v="2"/>
  </r>
  <r>
    <x v="4"/>
    <x v="0"/>
    <n v="8699.0300000000007"/>
    <x v="2"/>
  </r>
  <r>
    <x v="5"/>
    <x v="0"/>
    <n v="242252.13"/>
    <x v="2"/>
  </r>
  <r>
    <x v="6"/>
    <x v="0"/>
    <n v="642982.51"/>
    <x v="2"/>
  </r>
  <r>
    <x v="7"/>
    <x v="0"/>
    <n v="234457.96"/>
    <x v="2"/>
  </r>
  <r>
    <x v="8"/>
    <x v="0"/>
    <n v="396566.05"/>
    <x v="2"/>
  </r>
  <r>
    <x v="9"/>
    <x v="0"/>
    <n v="602387.64"/>
    <x v="2"/>
  </r>
  <r>
    <x v="10"/>
    <x v="0"/>
    <n v="281714.40000000002"/>
    <x v="2"/>
  </r>
  <r>
    <x v="11"/>
    <x v="0"/>
    <n v="146463"/>
    <x v="2"/>
  </r>
  <r>
    <x v="12"/>
    <x v="0"/>
    <n v="28789.75"/>
    <x v="2"/>
  </r>
  <r>
    <x v="26"/>
    <x v="0"/>
    <n v="44259.38"/>
    <x v="2"/>
  </r>
  <r>
    <x v="13"/>
    <x v="0"/>
    <n v="200541.46"/>
    <x v="2"/>
  </r>
  <r>
    <x v="14"/>
    <x v="0"/>
    <n v="131011.61"/>
    <x v="2"/>
  </r>
  <r>
    <x v="15"/>
    <x v="0"/>
    <n v="1059869"/>
    <x v="2"/>
  </r>
  <r>
    <x v="16"/>
    <x v="0"/>
    <n v="266731.08"/>
    <x v="2"/>
  </r>
  <r>
    <x v="17"/>
    <x v="0"/>
    <n v="1520"/>
    <x v="2"/>
  </r>
  <r>
    <x v="18"/>
    <x v="0"/>
    <n v="54327.7"/>
    <x v="2"/>
  </r>
  <r>
    <x v="19"/>
    <x v="0"/>
    <n v="56700.55"/>
    <x v="2"/>
  </r>
  <r>
    <x v="20"/>
    <x v="0"/>
    <n v="379295.85"/>
    <x v="2"/>
  </r>
  <r>
    <x v="22"/>
    <x v="0"/>
    <n v="3444.2"/>
    <x v="2"/>
  </r>
  <r>
    <x v="23"/>
    <x v="0"/>
    <n v="226984.34"/>
    <x v="2"/>
  </r>
  <r>
    <x v="24"/>
    <x v="0"/>
    <n v="596846.01"/>
    <x v="2"/>
  </r>
  <r>
    <x v="25"/>
    <x v="0"/>
    <n v="407829.92"/>
    <x v="2"/>
  </r>
  <r>
    <x v="0"/>
    <x v="0"/>
    <n v="14145"/>
    <x v="2"/>
  </r>
  <r>
    <x v="1"/>
    <x v="0"/>
    <n v="315423.78000000003"/>
    <x v="2"/>
  </r>
  <r>
    <x v="2"/>
    <x v="0"/>
    <n v="116703.92"/>
    <x v="2"/>
  </r>
  <r>
    <x v="3"/>
    <x v="0"/>
    <n v="2074"/>
    <x v="2"/>
  </r>
  <r>
    <x v="4"/>
    <x v="0"/>
    <n v="13369.54"/>
    <x v="2"/>
  </r>
  <r>
    <x v="5"/>
    <x v="0"/>
    <n v="208289.24"/>
    <x v="2"/>
  </r>
  <r>
    <x v="6"/>
    <x v="0"/>
    <n v="726807.45"/>
    <x v="2"/>
  </r>
  <r>
    <x v="7"/>
    <x v="0"/>
    <n v="187942.95"/>
    <x v="2"/>
  </r>
  <r>
    <x v="8"/>
    <x v="0"/>
    <n v="333945.87"/>
    <x v="2"/>
  </r>
  <r>
    <x v="9"/>
    <x v="0"/>
    <n v="404340.5"/>
    <x v="2"/>
  </r>
  <r>
    <x v="10"/>
    <x v="0"/>
    <n v="253882.4"/>
    <x v="2"/>
  </r>
  <r>
    <x v="11"/>
    <x v="0"/>
    <n v="90248"/>
    <x v="2"/>
  </r>
  <r>
    <x v="12"/>
    <x v="0"/>
    <n v="25483.1"/>
    <x v="2"/>
  </r>
  <r>
    <x v="26"/>
    <x v="0"/>
    <n v="36207.279999999999"/>
    <x v="2"/>
  </r>
  <r>
    <x v="13"/>
    <x v="0"/>
    <n v="153237.54"/>
    <x v="2"/>
  </r>
  <r>
    <x v="14"/>
    <x v="0"/>
    <n v="93246.35"/>
    <x v="2"/>
  </r>
  <r>
    <x v="15"/>
    <x v="0"/>
    <n v="1000761.33"/>
    <x v="2"/>
  </r>
  <r>
    <x v="16"/>
    <x v="0"/>
    <n v="175485.7"/>
    <x v="2"/>
  </r>
  <r>
    <x v="17"/>
    <x v="0"/>
    <n v="760"/>
    <x v="2"/>
  </r>
  <r>
    <x v="18"/>
    <x v="0"/>
    <n v="31501.919999999998"/>
    <x v="2"/>
  </r>
  <r>
    <x v="19"/>
    <x v="0"/>
    <n v="42066.79"/>
    <x v="2"/>
  </r>
  <r>
    <x v="20"/>
    <x v="0"/>
    <n v="264362.77"/>
    <x v="2"/>
  </r>
  <r>
    <x v="21"/>
    <x v="0"/>
    <n v="380"/>
    <x v="2"/>
  </r>
  <r>
    <x v="22"/>
    <x v="0"/>
    <n v="1573.88"/>
    <x v="2"/>
  </r>
  <r>
    <x v="23"/>
    <x v="0"/>
    <n v="254190.85"/>
    <x v="2"/>
  </r>
  <r>
    <x v="24"/>
    <x v="0"/>
    <n v="517836.01"/>
    <x v="2"/>
  </r>
  <r>
    <x v="25"/>
    <x v="0"/>
    <n v="462276.13"/>
    <x v="2"/>
  </r>
  <r>
    <x v="0"/>
    <x v="0"/>
    <n v="7842"/>
    <x v="2"/>
  </r>
  <r>
    <x v="1"/>
    <x v="0"/>
    <n v="295709.12"/>
    <x v="2"/>
  </r>
  <r>
    <x v="2"/>
    <x v="0"/>
    <n v="103644.75"/>
    <x v="2"/>
  </r>
  <r>
    <x v="3"/>
    <x v="0"/>
    <n v="1420"/>
    <x v="2"/>
  </r>
  <r>
    <x v="4"/>
    <x v="0"/>
    <n v="6569.77"/>
    <x v="2"/>
  </r>
  <r>
    <x v="5"/>
    <x v="0"/>
    <n v="154747.39000000001"/>
    <x v="2"/>
  </r>
  <r>
    <x v="6"/>
    <x v="0"/>
    <n v="304174.94"/>
    <x v="2"/>
  </r>
  <r>
    <x v="7"/>
    <x v="0"/>
    <n v="110522.1"/>
    <x v="2"/>
  </r>
  <r>
    <x v="8"/>
    <x v="0"/>
    <n v="189824.15"/>
    <x v="2"/>
  </r>
  <r>
    <x v="9"/>
    <x v="0"/>
    <n v="386576.5"/>
    <x v="2"/>
  </r>
  <r>
    <x v="10"/>
    <x v="0"/>
    <n v="165053.70000000001"/>
    <x v="2"/>
  </r>
  <r>
    <x v="11"/>
    <x v="0"/>
    <n v="76558"/>
    <x v="2"/>
  </r>
  <r>
    <x v="12"/>
    <x v="0"/>
    <n v="20136.25"/>
    <x v="2"/>
  </r>
  <r>
    <x v="26"/>
    <x v="0"/>
    <n v="16473.86"/>
    <x v="2"/>
  </r>
  <r>
    <x v="13"/>
    <x v="0"/>
    <n v="116028.28"/>
    <x v="2"/>
  </r>
  <r>
    <x v="14"/>
    <x v="0"/>
    <n v="92995.41"/>
    <x v="2"/>
  </r>
  <r>
    <x v="15"/>
    <x v="0"/>
    <n v="588220.82999999996"/>
    <x v="2"/>
  </r>
  <r>
    <x v="16"/>
    <x v="0"/>
    <n v="46366.400000000001"/>
    <x v="2"/>
  </r>
  <r>
    <x v="17"/>
    <x v="0"/>
    <n v="240"/>
    <x v="2"/>
  </r>
  <r>
    <x v="18"/>
    <x v="0"/>
    <n v="22738.639999999999"/>
    <x v="2"/>
  </r>
  <r>
    <x v="19"/>
    <x v="0"/>
    <n v="18720.939999999999"/>
    <x v="2"/>
  </r>
  <r>
    <x v="20"/>
    <x v="0"/>
    <n v="236108.95"/>
    <x v="2"/>
  </r>
  <r>
    <x v="21"/>
    <x v="0"/>
    <n v="532"/>
    <x v="2"/>
  </r>
  <r>
    <x v="22"/>
    <x v="0"/>
    <n v="1009.36"/>
    <x v="2"/>
  </r>
  <r>
    <x v="23"/>
    <x v="0"/>
    <n v="112666.19"/>
    <x v="2"/>
  </r>
  <r>
    <x v="24"/>
    <x v="0"/>
    <n v="293376.94"/>
    <x v="2"/>
  </r>
  <r>
    <x v="25"/>
    <x v="0"/>
    <n v="170689.95"/>
    <x v="2"/>
  </r>
  <r>
    <x v="0"/>
    <x v="0"/>
    <n v="17894"/>
    <x v="2"/>
  </r>
  <r>
    <x v="1"/>
    <x v="0"/>
    <n v="395096.08"/>
    <x v="2"/>
  </r>
  <r>
    <x v="2"/>
    <x v="0"/>
    <n v="99361.88"/>
    <x v="2"/>
  </r>
  <r>
    <x v="3"/>
    <x v="0"/>
    <n v="1722"/>
    <x v="2"/>
  </r>
  <r>
    <x v="4"/>
    <x v="0"/>
    <n v="13601.48"/>
    <x v="2"/>
  </r>
  <r>
    <x v="5"/>
    <x v="0"/>
    <n v="121735.96"/>
    <x v="2"/>
  </r>
  <r>
    <x v="6"/>
    <x v="0"/>
    <n v="367032.22"/>
    <x v="2"/>
  </r>
  <r>
    <x v="7"/>
    <x v="0"/>
    <n v="91614.85"/>
    <x v="2"/>
  </r>
  <r>
    <x v="8"/>
    <x v="0"/>
    <n v="194274.53"/>
    <x v="2"/>
  </r>
  <r>
    <x v="9"/>
    <x v="0"/>
    <n v="435012.49"/>
    <x v="2"/>
  </r>
  <r>
    <x v="10"/>
    <x v="0"/>
    <n v="134488.6"/>
    <x v="2"/>
  </r>
  <r>
    <x v="11"/>
    <x v="0"/>
    <n v="113827"/>
    <x v="2"/>
  </r>
  <r>
    <x v="12"/>
    <x v="0"/>
    <n v="17989.5"/>
    <x v="2"/>
  </r>
  <r>
    <x v="26"/>
    <x v="0"/>
    <n v="24740.94"/>
    <x v="2"/>
  </r>
  <r>
    <x v="13"/>
    <x v="0"/>
    <n v="137788.56"/>
    <x v="2"/>
  </r>
  <r>
    <x v="14"/>
    <x v="0"/>
    <n v="136455.28"/>
    <x v="2"/>
  </r>
  <r>
    <x v="15"/>
    <x v="0"/>
    <n v="572402"/>
    <x v="2"/>
  </r>
  <r>
    <x v="16"/>
    <x v="0"/>
    <n v="165992.79999999999"/>
    <x v="2"/>
  </r>
  <r>
    <x v="17"/>
    <x v="0"/>
    <n v="480"/>
    <x v="2"/>
  </r>
  <r>
    <x v="18"/>
    <x v="0"/>
    <n v="10823.89"/>
    <x v="2"/>
  </r>
  <r>
    <x v="19"/>
    <x v="0"/>
    <n v="24909.41"/>
    <x v="2"/>
  </r>
  <r>
    <x v="20"/>
    <x v="0"/>
    <n v="354011.21"/>
    <x v="2"/>
  </r>
  <r>
    <x v="22"/>
    <x v="0"/>
    <n v="2286.48"/>
    <x v="2"/>
  </r>
  <r>
    <x v="23"/>
    <x v="0"/>
    <n v="125909"/>
    <x v="2"/>
  </r>
  <r>
    <x v="24"/>
    <x v="0"/>
    <n v="287543.45"/>
    <x v="2"/>
  </r>
  <r>
    <x v="25"/>
    <x v="0"/>
    <n v="257457.19"/>
    <x v="2"/>
  </r>
  <r>
    <x v="0"/>
    <x v="0"/>
    <n v="11567"/>
    <x v="2"/>
  </r>
  <r>
    <x v="1"/>
    <x v="0"/>
    <n v="218486.34"/>
    <x v="2"/>
  </r>
  <r>
    <x v="2"/>
    <x v="0"/>
    <n v="69844.350000000006"/>
    <x v="2"/>
  </r>
  <r>
    <x v="3"/>
    <x v="0"/>
    <n v="3315"/>
    <x v="2"/>
  </r>
  <r>
    <x v="4"/>
    <x v="0"/>
    <n v="3653.87"/>
    <x v="2"/>
  </r>
  <r>
    <x v="5"/>
    <x v="0"/>
    <n v="123586.6"/>
    <x v="2"/>
  </r>
  <r>
    <x v="6"/>
    <x v="0"/>
    <n v="373623.64"/>
    <x v="2"/>
  </r>
  <r>
    <x v="7"/>
    <x v="0"/>
    <n v="143828.35999999999"/>
    <x v="2"/>
  </r>
  <r>
    <x v="8"/>
    <x v="0"/>
    <n v="162737.74"/>
    <x v="2"/>
  </r>
  <r>
    <x v="9"/>
    <x v="0"/>
    <n v="242355.45"/>
    <x v="2"/>
  </r>
  <r>
    <x v="10"/>
    <x v="0"/>
    <n v="120574.6"/>
    <x v="2"/>
  </r>
  <r>
    <x v="11"/>
    <x v="0"/>
    <n v="102343"/>
    <x v="2"/>
  </r>
  <r>
    <x v="12"/>
    <x v="0"/>
    <n v="21205.45"/>
    <x v="2"/>
  </r>
  <r>
    <x v="26"/>
    <x v="0"/>
    <n v="16388.400000000001"/>
    <x v="2"/>
  </r>
  <r>
    <x v="13"/>
    <x v="0"/>
    <n v="150183.9"/>
    <x v="2"/>
  </r>
  <r>
    <x v="14"/>
    <x v="0"/>
    <n v="111478.07"/>
    <x v="2"/>
  </r>
  <r>
    <x v="15"/>
    <x v="0"/>
    <n v="515462"/>
    <x v="2"/>
  </r>
  <r>
    <x v="16"/>
    <x v="0"/>
    <n v="128624.26"/>
    <x v="2"/>
  </r>
  <r>
    <x v="18"/>
    <x v="0"/>
    <n v="13879.98"/>
    <x v="2"/>
  </r>
  <r>
    <x v="19"/>
    <x v="0"/>
    <n v="15421.47"/>
    <x v="2"/>
  </r>
  <r>
    <x v="20"/>
    <x v="0"/>
    <n v="199615.13"/>
    <x v="2"/>
  </r>
  <r>
    <x v="21"/>
    <x v="0"/>
    <n v="760"/>
    <x v="2"/>
  </r>
  <r>
    <x v="22"/>
    <x v="0"/>
    <n v="2013.44"/>
    <x v="2"/>
  </r>
  <r>
    <x v="23"/>
    <x v="0"/>
    <n v="120580.03"/>
    <x v="2"/>
  </r>
  <r>
    <x v="24"/>
    <x v="0"/>
    <n v="322729.8"/>
    <x v="2"/>
  </r>
  <r>
    <x v="25"/>
    <x v="0"/>
    <n v="248037.03"/>
    <x v="2"/>
  </r>
  <r>
    <x v="0"/>
    <x v="0"/>
    <n v="13927"/>
    <x v="2"/>
  </r>
  <r>
    <x v="1"/>
    <x v="0"/>
    <n v="216638.68"/>
    <x v="2"/>
  </r>
  <r>
    <x v="2"/>
    <x v="0"/>
    <n v="70091.05"/>
    <x v="2"/>
  </r>
  <r>
    <x v="3"/>
    <x v="0"/>
    <n v="1722"/>
    <x v="2"/>
  </r>
  <r>
    <x v="4"/>
    <x v="0"/>
    <n v="3138.87"/>
    <x v="2"/>
  </r>
  <r>
    <x v="5"/>
    <x v="0"/>
    <n v="128549.71"/>
    <x v="2"/>
  </r>
  <r>
    <x v="6"/>
    <x v="0"/>
    <n v="437967.44"/>
    <x v="2"/>
  </r>
  <r>
    <x v="7"/>
    <x v="0"/>
    <n v="124716.68"/>
    <x v="2"/>
  </r>
  <r>
    <x v="8"/>
    <x v="0"/>
    <n v="183870.91"/>
    <x v="2"/>
  </r>
  <r>
    <x v="9"/>
    <x v="0"/>
    <n v="361977.32"/>
    <x v="2"/>
  </r>
  <r>
    <x v="10"/>
    <x v="0"/>
    <n v="132529"/>
    <x v="2"/>
  </r>
  <r>
    <x v="11"/>
    <x v="0"/>
    <n v="114008"/>
    <x v="2"/>
  </r>
  <r>
    <x v="12"/>
    <x v="0"/>
    <n v="17623.349999999999"/>
    <x v="2"/>
  </r>
  <r>
    <x v="26"/>
    <x v="0"/>
    <n v="11670.88"/>
    <x v="2"/>
  </r>
  <r>
    <x v="13"/>
    <x v="0"/>
    <n v="199939.67"/>
    <x v="2"/>
  </r>
  <r>
    <x v="14"/>
    <x v="0"/>
    <n v="127030.16"/>
    <x v="2"/>
  </r>
  <r>
    <x v="15"/>
    <x v="0"/>
    <n v="604649.57999999996"/>
    <x v="2"/>
  </r>
  <r>
    <x v="16"/>
    <x v="0"/>
    <n v="147344.78"/>
    <x v="2"/>
  </r>
  <r>
    <x v="18"/>
    <x v="0"/>
    <n v="18844.43"/>
    <x v="2"/>
  </r>
  <r>
    <x v="19"/>
    <x v="0"/>
    <n v="25499.63"/>
    <x v="2"/>
  </r>
  <r>
    <x v="20"/>
    <x v="0"/>
    <n v="206847.61"/>
    <x v="2"/>
  </r>
  <r>
    <x v="21"/>
    <x v="0"/>
    <n v="152"/>
    <x v="2"/>
  </r>
  <r>
    <x v="22"/>
    <x v="0"/>
    <n v="3625.88"/>
    <x v="2"/>
  </r>
  <r>
    <x v="23"/>
    <x v="0"/>
    <n v="139079.62"/>
    <x v="2"/>
  </r>
  <r>
    <x v="24"/>
    <x v="0"/>
    <n v="332840.43"/>
    <x v="2"/>
  </r>
  <r>
    <x v="25"/>
    <x v="0"/>
    <n v="276529.51"/>
    <x v="2"/>
  </r>
  <r>
    <x v="0"/>
    <x v="0"/>
    <n v="11137"/>
    <x v="2"/>
  </r>
  <r>
    <x v="1"/>
    <x v="0"/>
    <n v="293940.44"/>
    <x v="2"/>
  </r>
  <r>
    <x v="2"/>
    <x v="0"/>
    <n v="90714.35"/>
    <x v="2"/>
  </r>
  <r>
    <x v="3"/>
    <x v="0"/>
    <n v="574"/>
    <x v="2"/>
  </r>
  <r>
    <x v="4"/>
    <x v="0"/>
    <n v="3345.61"/>
    <x v="2"/>
  </r>
  <r>
    <x v="5"/>
    <x v="0"/>
    <n v="180884.37"/>
    <x v="2"/>
  </r>
  <r>
    <x v="6"/>
    <x v="0"/>
    <n v="609869.49"/>
    <x v="2"/>
  </r>
  <r>
    <x v="7"/>
    <x v="0"/>
    <n v="140906.16"/>
    <x v="2"/>
  </r>
  <r>
    <x v="8"/>
    <x v="0"/>
    <n v="259567.82"/>
    <x v="2"/>
  </r>
  <r>
    <x v="9"/>
    <x v="0"/>
    <n v="515369.44"/>
    <x v="2"/>
  </r>
  <r>
    <x v="10"/>
    <x v="0"/>
    <n v="148709.67000000001"/>
    <x v="2"/>
  </r>
  <r>
    <x v="11"/>
    <x v="0"/>
    <n v="170026"/>
    <x v="2"/>
  </r>
  <r>
    <x v="12"/>
    <x v="0"/>
    <n v="11812.05"/>
    <x v="2"/>
  </r>
  <r>
    <x v="26"/>
    <x v="0"/>
    <n v="21332.48"/>
    <x v="2"/>
  </r>
  <r>
    <x v="13"/>
    <x v="0"/>
    <n v="204127.54"/>
    <x v="2"/>
  </r>
  <r>
    <x v="14"/>
    <x v="0"/>
    <n v="132290.63"/>
    <x v="2"/>
  </r>
  <r>
    <x v="15"/>
    <x v="0"/>
    <n v="767931.22"/>
    <x v="2"/>
  </r>
  <r>
    <x v="16"/>
    <x v="0"/>
    <n v="175042.88"/>
    <x v="2"/>
  </r>
  <r>
    <x v="18"/>
    <x v="0"/>
    <n v="40572.639999999999"/>
    <x v="2"/>
  </r>
  <r>
    <x v="19"/>
    <x v="0"/>
    <n v="30923.360000000001"/>
    <x v="2"/>
  </r>
  <r>
    <x v="20"/>
    <x v="0"/>
    <n v="264900"/>
    <x v="2"/>
  </r>
  <r>
    <x v="21"/>
    <x v="0"/>
    <n v="304"/>
    <x v="2"/>
  </r>
  <r>
    <x v="22"/>
    <x v="0"/>
    <n v="2417.36"/>
    <x v="2"/>
  </r>
  <r>
    <x v="23"/>
    <x v="0"/>
    <n v="212600.47"/>
    <x v="2"/>
  </r>
  <r>
    <x v="24"/>
    <x v="0"/>
    <n v="437579.45"/>
    <x v="2"/>
  </r>
  <r>
    <x v="25"/>
    <x v="0"/>
    <n v="323699.8"/>
    <x v="2"/>
  </r>
  <r>
    <x v="0"/>
    <x v="0"/>
    <n v="17763"/>
    <x v="2"/>
  </r>
  <r>
    <x v="1"/>
    <x v="0"/>
    <n v="436323.15"/>
    <x v="2"/>
  </r>
  <r>
    <x v="2"/>
    <x v="0"/>
    <n v="115746.68"/>
    <x v="2"/>
  </r>
  <r>
    <x v="3"/>
    <x v="0"/>
    <n v="1148"/>
    <x v="2"/>
  </r>
  <r>
    <x v="4"/>
    <x v="0"/>
    <n v="7715.74"/>
    <x v="2"/>
  </r>
  <r>
    <x v="5"/>
    <x v="0"/>
    <n v="294964.28000000003"/>
    <x v="2"/>
  </r>
  <r>
    <x v="6"/>
    <x v="0"/>
    <n v="1062826.78"/>
    <x v="2"/>
  </r>
  <r>
    <x v="7"/>
    <x v="0"/>
    <n v="247331.75"/>
    <x v="2"/>
  </r>
  <r>
    <x v="8"/>
    <x v="0"/>
    <n v="328847.46999999997"/>
    <x v="2"/>
  </r>
  <r>
    <x v="9"/>
    <x v="0"/>
    <n v="558773.92000000004"/>
    <x v="2"/>
  </r>
  <r>
    <x v="10"/>
    <x v="0"/>
    <n v="235396.96"/>
    <x v="2"/>
  </r>
  <r>
    <x v="11"/>
    <x v="0"/>
    <n v="287561"/>
    <x v="2"/>
  </r>
  <r>
    <x v="12"/>
    <x v="0"/>
    <n v="31548.15"/>
    <x v="2"/>
  </r>
  <r>
    <x v="26"/>
    <x v="0"/>
    <n v="48039.61"/>
    <x v="2"/>
  </r>
  <r>
    <x v="13"/>
    <x v="0"/>
    <n v="311908.98"/>
    <x v="2"/>
  </r>
  <r>
    <x v="14"/>
    <x v="0"/>
    <n v="248834.68"/>
    <x v="2"/>
  </r>
  <r>
    <x v="15"/>
    <x v="0"/>
    <n v="1327410.24"/>
    <x v="2"/>
  </r>
  <r>
    <x v="16"/>
    <x v="0"/>
    <n v="324515.48"/>
    <x v="2"/>
  </r>
  <r>
    <x v="18"/>
    <x v="0"/>
    <n v="62729.48"/>
    <x v="2"/>
  </r>
  <r>
    <x v="19"/>
    <x v="0"/>
    <n v="53030.97"/>
    <x v="2"/>
  </r>
  <r>
    <x v="20"/>
    <x v="0"/>
    <n v="311334.46999999997"/>
    <x v="2"/>
  </r>
  <r>
    <x v="21"/>
    <x v="0"/>
    <n v="684"/>
    <x v="2"/>
  </r>
  <r>
    <x v="22"/>
    <x v="0"/>
    <n v="8859.33"/>
    <x v="2"/>
  </r>
  <r>
    <x v="23"/>
    <x v="0"/>
    <n v="324090.87"/>
    <x v="2"/>
  </r>
  <r>
    <x v="24"/>
    <x v="0"/>
    <n v="701342.17"/>
    <x v="2"/>
  </r>
  <r>
    <x v="25"/>
    <x v="0"/>
    <n v="624773.87"/>
    <x v="2"/>
  </r>
  <r>
    <x v="0"/>
    <x v="0"/>
    <n v="11817"/>
    <x v="2"/>
  </r>
  <r>
    <x v="1"/>
    <x v="0"/>
    <n v="329690.63"/>
    <x v="2"/>
  </r>
  <r>
    <x v="2"/>
    <x v="0"/>
    <n v="123045.16"/>
    <x v="2"/>
  </r>
  <r>
    <x v="3"/>
    <x v="0"/>
    <n v="1722"/>
    <x v="2"/>
  </r>
  <r>
    <x v="4"/>
    <x v="0"/>
    <n v="5856.74"/>
    <x v="2"/>
  </r>
  <r>
    <x v="5"/>
    <x v="0"/>
    <n v="272385.71999999997"/>
    <x v="2"/>
  </r>
  <r>
    <x v="6"/>
    <x v="0"/>
    <n v="857116.99"/>
    <x v="2"/>
  </r>
  <r>
    <x v="7"/>
    <x v="0"/>
    <n v="163017.35"/>
    <x v="2"/>
  </r>
  <r>
    <x v="8"/>
    <x v="0"/>
    <n v="310995.18"/>
    <x v="2"/>
  </r>
  <r>
    <x v="9"/>
    <x v="0"/>
    <n v="352615.96"/>
    <x v="2"/>
  </r>
  <r>
    <x v="10"/>
    <x v="0"/>
    <n v="174497.5"/>
    <x v="2"/>
  </r>
  <r>
    <x v="11"/>
    <x v="0"/>
    <n v="225206"/>
    <x v="2"/>
  </r>
  <r>
    <x v="12"/>
    <x v="0"/>
    <n v="18062.349999999999"/>
    <x v="2"/>
  </r>
  <r>
    <x v="26"/>
    <x v="0"/>
    <n v="47043.89"/>
    <x v="2"/>
  </r>
  <r>
    <x v="13"/>
    <x v="0"/>
    <n v="203092.1"/>
    <x v="2"/>
  </r>
  <r>
    <x v="14"/>
    <x v="0"/>
    <n v="222376.74"/>
    <x v="2"/>
  </r>
  <r>
    <x v="15"/>
    <x v="0"/>
    <n v="996003.64"/>
    <x v="2"/>
  </r>
  <r>
    <x v="16"/>
    <x v="0"/>
    <n v="257754.72"/>
    <x v="2"/>
  </r>
  <r>
    <x v="18"/>
    <x v="0"/>
    <n v="48571.040000000001"/>
    <x v="2"/>
  </r>
  <r>
    <x v="19"/>
    <x v="0"/>
    <n v="21923.78"/>
    <x v="2"/>
  </r>
  <r>
    <x v="20"/>
    <x v="0"/>
    <n v="251584.18"/>
    <x v="2"/>
  </r>
  <r>
    <x v="22"/>
    <x v="0"/>
    <n v="2546.84"/>
    <x v="2"/>
  </r>
  <r>
    <x v="23"/>
    <x v="0"/>
    <n v="295130.57"/>
    <x v="2"/>
  </r>
  <r>
    <x v="24"/>
    <x v="0"/>
    <n v="649890.51"/>
    <x v="2"/>
  </r>
  <r>
    <x v="25"/>
    <x v="0"/>
    <n v="530764.89"/>
    <x v="2"/>
  </r>
  <r>
    <x v="0"/>
    <x v="0"/>
    <n v="10589"/>
    <x v="2"/>
  </r>
  <r>
    <x v="1"/>
    <x v="0"/>
    <n v="243506.39"/>
    <x v="2"/>
  </r>
  <r>
    <x v="2"/>
    <x v="0"/>
    <n v="83668.160000000003"/>
    <x v="2"/>
  </r>
  <r>
    <x v="3"/>
    <x v="0"/>
    <n v="574"/>
    <x v="2"/>
  </r>
  <r>
    <x v="4"/>
    <x v="0"/>
    <n v="771.87"/>
    <x v="2"/>
  </r>
  <r>
    <x v="5"/>
    <x v="0"/>
    <n v="213120.71"/>
    <x v="2"/>
  </r>
  <r>
    <x v="6"/>
    <x v="0"/>
    <n v="551200.81000000006"/>
    <x v="2"/>
  </r>
  <r>
    <x v="7"/>
    <x v="0"/>
    <n v="126250.05"/>
    <x v="2"/>
  </r>
  <r>
    <x v="8"/>
    <x v="0"/>
    <n v="187501.4"/>
    <x v="2"/>
  </r>
  <r>
    <x v="9"/>
    <x v="0"/>
    <n v="220186.96"/>
    <x v="2"/>
  </r>
  <r>
    <x v="10"/>
    <x v="0"/>
    <n v="123318.36"/>
    <x v="2"/>
  </r>
  <r>
    <x v="11"/>
    <x v="0"/>
    <n v="108929"/>
    <x v="2"/>
  </r>
  <r>
    <x v="12"/>
    <x v="0"/>
    <n v="21065.35"/>
    <x v="2"/>
  </r>
  <r>
    <x v="26"/>
    <x v="0"/>
    <n v="23777.68"/>
    <x v="2"/>
  </r>
  <r>
    <x v="13"/>
    <x v="0"/>
    <n v="133741.66"/>
    <x v="2"/>
  </r>
  <r>
    <x v="14"/>
    <x v="0"/>
    <n v="100004.22"/>
    <x v="2"/>
  </r>
  <r>
    <x v="15"/>
    <x v="0"/>
    <n v="584089.53"/>
    <x v="2"/>
  </r>
  <r>
    <x v="16"/>
    <x v="0"/>
    <n v="169126.5"/>
    <x v="2"/>
  </r>
  <r>
    <x v="18"/>
    <x v="0"/>
    <n v="22765.24"/>
    <x v="2"/>
  </r>
  <r>
    <x v="19"/>
    <x v="0"/>
    <n v="33653.269999999997"/>
    <x v="2"/>
  </r>
  <r>
    <x v="20"/>
    <x v="0"/>
    <n v="214026.59"/>
    <x v="2"/>
  </r>
  <r>
    <x v="21"/>
    <x v="0"/>
    <n v="1064"/>
    <x v="2"/>
  </r>
  <r>
    <x v="22"/>
    <x v="0"/>
    <n v="2985.76"/>
    <x v="2"/>
  </r>
  <r>
    <x v="23"/>
    <x v="0"/>
    <n v="176764.33"/>
    <x v="2"/>
  </r>
  <r>
    <x v="24"/>
    <x v="0"/>
    <n v="321844.78000000003"/>
    <x v="2"/>
  </r>
  <r>
    <x v="25"/>
    <x v="0"/>
    <n v="310456.84000000003"/>
    <x v="2"/>
  </r>
  <r>
    <x v="0"/>
    <x v="0"/>
    <n v="9122"/>
    <x v="2"/>
  </r>
  <r>
    <x v="1"/>
    <x v="0"/>
    <n v="211905.6"/>
    <x v="2"/>
  </r>
  <r>
    <x v="2"/>
    <x v="0"/>
    <n v="78123.960000000006"/>
    <x v="2"/>
  </r>
  <r>
    <x v="3"/>
    <x v="0"/>
    <n v="3290"/>
    <x v="2"/>
  </r>
  <r>
    <x v="4"/>
    <x v="0"/>
    <n v="4955.4799999999996"/>
    <x v="2"/>
  </r>
  <r>
    <x v="5"/>
    <x v="0"/>
    <n v="146737.57"/>
    <x v="2"/>
  </r>
  <r>
    <x v="6"/>
    <x v="0"/>
    <n v="628435.97"/>
    <x v="2"/>
  </r>
  <r>
    <x v="7"/>
    <x v="0"/>
    <n v="139692.85999999999"/>
    <x v="2"/>
  </r>
  <r>
    <x v="8"/>
    <x v="0"/>
    <n v="220947.20000000001"/>
    <x v="2"/>
  </r>
  <r>
    <x v="9"/>
    <x v="0"/>
    <n v="431696.85"/>
    <x v="2"/>
  </r>
  <r>
    <x v="10"/>
    <x v="0"/>
    <n v="134272.4"/>
    <x v="2"/>
  </r>
  <r>
    <x v="11"/>
    <x v="0"/>
    <n v="102248"/>
    <x v="2"/>
  </r>
  <r>
    <x v="12"/>
    <x v="0"/>
    <n v="15914.65"/>
    <x v="2"/>
  </r>
  <r>
    <x v="26"/>
    <x v="0"/>
    <n v="21238.39"/>
    <x v="2"/>
  </r>
  <r>
    <x v="13"/>
    <x v="0"/>
    <n v="143892.20000000001"/>
    <x v="2"/>
  </r>
  <r>
    <x v="14"/>
    <x v="0"/>
    <n v="81706.399999999994"/>
    <x v="2"/>
  </r>
  <r>
    <x v="15"/>
    <x v="0"/>
    <n v="604561.85"/>
    <x v="2"/>
  </r>
  <r>
    <x v="16"/>
    <x v="0"/>
    <n v="152954.14000000001"/>
    <x v="2"/>
  </r>
  <r>
    <x v="17"/>
    <x v="0"/>
    <n v="120"/>
    <x v="2"/>
  </r>
  <r>
    <x v="18"/>
    <x v="0"/>
    <n v="18955.96"/>
    <x v="2"/>
  </r>
  <r>
    <x v="19"/>
    <x v="0"/>
    <n v="29720.04"/>
    <x v="2"/>
  </r>
  <r>
    <x v="20"/>
    <x v="0"/>
    <n v="228530.9"/>
    <x v="2"/>
  </r>
  <r>
    <x v="21"/>
    <x v="0"/>
    <n v="760"/>
    <x v="2"/>
  </r>
  <r>
    <x v="22"/>
    <x v="0"/>
    <n v="2235.6"/>
    <x v="2"/>
  </r>
  <r>
    <x v="23"/>
    <x v="0"/>
    <n v="166041.75"/>
    <x v="2"/>
  </r>
  <r>
    <x v="24"/>
    <x v="0"/>
    <n v="280755.58"/>
    <x v="2"/>
  </r>
  <r>
    <x v="25"/>
    <x v="0"/>
    <n v="298076.09999999998"/>
    <x v="2"/>
  </r>
  <r>
    <x v="0"/>
    <x v="0"/>
    <n v="9102"/>
    <x v="2"/>
  </r>
  <r>
    <x v="1"/>
    <x v="0"/>
    <n v="229182.96"/>
    <x v="2"/>
  </r>
  <r>
    <x v="2"/>
    <x v="0"/>
    <n v="134099.4"/>
    <x v="2"/>
  </r>
  <r>
    <x v="3"/>
    <x v="0"/>
    <n v="2982"/>
    <x v="2"/>
  </r>
  <r>
    <x v="4"/>
    <x v="0"/>
    <n v="5102.87"/>
    <x v="2"/>
  </r>
  <r>
    <x v="5"/>
    <x v="0"/>
    <n v="143539.46"/>
    <x v="2"/>
  </r>
  <r>
    <x v="6"/>
    <x v="0"/>
    <n v="493034"/>
    <x v="2"/>
  </r>
  <r>
    <x v="7"/>
    <x v="0"/>
    <n v="144706.82999999999"/>
    <x v="2"/>
  </r>
  <r>
    <x v="8"/>
    <x v="0"/>
    <n v="219920.4"/>
    <x v="2"/>
  </r>
  <r>
    <x v="9"/>
    <x v="0"/>
    <n v="421951.1"/>
    <x v="2"/>
  </r>
  <r>
    <x v="10"/>
    <x v="0"/>
    <n v="121549.2"/>
    <x v="2"/>
  </r>
  <r>
    <x v="11"/>
    <x v="0"/>
    <n v="128926.75"/>
    <x v="2"/>
  </r>
  <r>
    <x v="12"/>
    <x v="0"/>
    <n v="23258.25"/>
    <x v="2"/>
  </r>
  <r>
    <x v="26"/>
    <x v="0"/>
    <n v="22395.89"/>
    <x v="2"/>
  </r>
  <r>
    <x v="13"/>
    <x v="0"/>
    <n v="138346.09"/>
    <x v="2"/>
  </r>
  <r>
    <x v="14"/>
    <x v="0"/>
    <n v="126432.15"/>
    <x v="2"/>
  </r>
  <r>
    <x v="15"/>
    <x v="0"/>
    <n v="670182.13"/>
    <x v="2"/>
  </r>
  <r>
    <x v="16"/>
    <x v="0"/>
    <n v="171271.16"/>
    <x v="2"/>
  </r>
  <r>
    <x v="17"/>
    <x v="0"/>
    <n v="200"/>
    <x v="2"/>
  </r>
  <r>
    <x v="18"/>
    <x v="0"/>
    <n v="16721.849999999999"/>
    <x v="2"/>
  </r>
  <r>
    <x v="19"/>
    <x v="0"/>
    <n v="29243.88"/>
    <x v="2"/>
  </r>
  <r>
    <x v="20"/>
    <x v="0"/>
    <n v="244533.34"/>
    <x v="2"/>
  </r>
  <r>
    <x v="21"/>
    <x v="0"/>
    <n v="304"/>
    <x v="2"/>
  </r>
  <r>
    <x v="22"/>
    <x v="0"/>
    <n v="1170.32"/>
    <x v="2"/>
  </r>
  <r>
    <x v="23"/>
    <x v="0"/>
    <n v="170407.45"/>
    <x v="2"/>
  </r>
  <r>
    <x v="24"/>
    <x v="0"/>
    <n v="345571.03"/>
    <x v="2"/>
  </r>
  <r>
    <x v="25"/>
    <x v="0"/>
    <n v="276041.37"/>
    <x v="2"/>
  </r>
  <r>
    <x v="0"/>
    <x v="0"/>
    <n v="14948"/>
    <x v="2"/>
  </r>
  <r>
    <x v="1"/>
    <x v="0"/>
    <n v="430786.53"/>
    <x v="2"/>
  </r>
  <r>
    <x v="2"/>
    <x v="0"/>
    <n v="125267.7"/>
    <x v="2"/>
  </r>
  <r>
    <x v="3"/>
    <x v="0"/>
    <n v="1568"/>
    <x v="2"/>
  </r>
  <r>
    <x v="4"/>
    <x v="0"/>
    <n v="4561.74"/>
    <x v="2"/>
  </r>
  <r>
    <x v="5"/>
    <x v="0"/>
    <n v="203789.1"/>
    <x v="2"/>
  </r>
  <r>
    <x v="6"/>
    <x v="0"/>
    <n v="596552.14"/>
    <x v="2"/>
  </r>
  <r>
    <x v="7"/>
    <x v="0"/>
    <n v="211893.51"/>
    <x v="2"/>
  </r>
  <r>
    <x v="8"/>
    <x v="0"/>
    <n v="211000.8"/>
    <x v="2"/>
  </r>
  <r>
    <x v="9"/>
    <x v="0"/>
    <n v="650929.27"/>
    <x v="2"/>
  </r>
  <r>
    <x v="10"/>
    <x v="0"/>
    <n v="162954.4"/>
    <x v="2"/>
  </r>
  <r>
    <x v="11"/>
    <x v="0"/>
    <n v="215689.75"/>
    <x v="2"/>
  </r>
  <r>
    <x v="12"/>
    <x v="0"/>
    <n v="24625.1"/>
    <x v="2"/>
  </r>
  <r>
    <x v="26"/>
    <x v="0"/>
    <n v="28142.84"/>
    <x v="2"/>
  </r>
  <r>
    <x v="13"/>
    <x v="0"/>
    <n v="253402.53"/>
    <x v="2"/>
  </r>
  <r>
    <x v="14"/>
    <x v="0"/>
    <n v="184067.72"/>
    <x v="2"/>
  </r>
  <r>
    <x v="15"/>
    <x v="0"/>
    <n v="906491.19"/>
    <x v="2"/>
  </r>
  <r>
    <x v="16"/>
    <x v="0"/>
    <n v="226216.44"/>
    <x v="2"/>
  </r>
  <r>
    <x v="18"/>
    <x v="0"/>
    <n v="18883.98"/>
    <x v="2"/>
  </r>
  <r>
    <x v="19"/>
    <x v="0"/>
    <n v="21425.5"/>
    <x v="2"/>
  </r>
  <r>
    <x v="20"/>
    <x v="0"/>
    <n v="262600.40000000002"/>
    <x v="2"/>
  </r>
  <r>
    <x v="21"/>
    <x v="0"/>
    <n v="1788.31"/>
    <x v="2"/>
  </r>
  <r>
    <x v="22"/>
    <x v="0"/>
    <n v="3600.96"/>
    <x v="2"/>
  </r>
  <r>
    <x v="23"/>
    <x v="0"/>
    <n v="299808.84999999998"/>
    <x v="2"/>
  </r>
  <r>
    <x v="24"/>
    <x v="0"/>
    <n v="454060.23"/>
    <x v="2"/>
  </r>
  <r>
    <x v="25"/>
    <x v="0"/>
    <n v="330676.09000000003"/>
    <x v="2"/>
  </r>
  <r>
    <x v="0"/>
    <x v="0"/>
    <n v="20954"/>
    <x v="2"/>
  </r>
  <r>
    <x v="1"/>
    <x v="0"/>
    <n v="516130.07"/>
    <x v="2"/>
  </r>
  <r>
    <x v="2"/>
    <x v="0"/>
    <n v="77918.47"/>
    <x v="2"/>
  </r>
  <r>
    <x v="3"/>
    <x v="0"/>
    <n v="1722"/>
    <x v="2"/>
  </r>
  <r>
    <x v="4"/>
    <x v="0"/>
    <n v="1176"/>
    <x v="2"/>
  </r>
  <r>
    <x v="5"/>
    <x v="0"/>
    <n v="168564.48000000001"/>
    <x v="2"/>
  </r>
  <r>
    <x v="6"/>
    <x v="0"/>
    <n v="671439.43"/>
    <x v="2"/>
  </r>
  <r>
    <x v="7"/>
    <x v="0"/>
    <n v="206049.35"/>
    <x v="2"/>
  </r>
  <r>
    <x v="8"/>
    <x v="0"/>
    <n v="173538.6"/>
    <x v="2"/>
  </r>
  <r>
    <x v="9"/>
    <x v="0"/>
    <n v="815363.41"/>
    <x v="2"/>
  </r>
  <r>
    <x v="10"/>
    <x v="0"/>
    <n v="232320"/>
    <x v="2"/>
  </r>
  <r>
    <x v="11"/>
    <x v="0"/>
    <n v="229029"/>
    <x v="2"/>
  </r>
  <r>
    <x v="12"/>
    <x v="0"/>
    <n v="21364.35"/>
    <x v="2"/>
  </r>
  <r>
    <x v="26"/>
    <x v="0"/>
    <n v="29297.83"/>
    <x v="2"/>
  </r>
  <r>
    <x v="13"/>
    <x v="0"/>
    <n v="242205.54"/>
    <x v="2"/>
  </r>
  <r>
    <x v="14"/>
    <x v="0"/>
    <n v="155546.94"/>
    <x v="2"/>
  </r>
  <r>
    <x v="15"/>
    <x v="0"/>
    <n v="933333.3"/>
    <x v="2"/>
  </r>
  <r>
    <x v="16"/>
    <x v="0"/>
    <n v="220346"/>
    <x v="2"/>
  </r>
  <r>
    <x v="18"/>
    <x v="0"/>
    <n v="50268.74"/>
    <x v="2"/>
  </r>
  <r>
    <x v="19"/>
    <x v="0"/>
    <n v="29626.93"/>
    <x v="2"/>
  </r>
  <r>
    <x v="20"/>
    <x v="0"/>
    <n v="414614.97"/>
    <x v="2"/>
  </r>
  <r>
    <x v="21"/>
    <x v="0"/>
    <n v="2463.58"/>
    <x v="2"/>
  </r>
  <r>
    <x v="22"/>
    <x v="0"/>
    <n v="3148.84"/>
    <x v="2"/>
  </r>
  <r>
    <x v="23"/>
    <x v="0"/>
    <n v="346356.68"/>
    <x v="2"/>
  </r>
  <r>
    <x v="24"/>
    <x v="0"/>
    <n v="352201.46"/>
    <x v="2"/>
  </r>
  <r>
    <x v="25"/>
    <x v="0"/>
    <n v="303832.87"/>
    <x v="2"/>
  </r>
  <r>
    <x v="0"/>
    <x v="0"/>
    <n v="23704"/>
    <x v="2"/>
  </r>
  <r>
    <x v="1"/>
    <x v="0"/>
    <n v="514918.28"/>
    <x v="2"/>
  </r>
  <r>
    <x v="2"/>
    <x v="0"/>
    <n v="105082.9"/>
    <x v="2"/>
  </r>
  <r>
    <x v="3"/>
    <x v="0"/>
    <n v="3290"/>
    <x v="2"/>
  </r>
  <r>
    <x v="4"/>
    <x v="0"/>
    <n v="3191"/>
    <x v="2"/>
  </r>
  <r>
    <x v="5"/>
    <x v="0"/>
    <n v="223453.61"/>
    <x v="2"/>
  </r>
  <r>
    <x v="6"/>
    <x v="0"/>
    <n v="1032917.36"/>
    <x v="2"/>
  </r>
  <r>
    <x v="7"/>
    <x v="0"/>
    <n v="298364.07"/>
    <x v="2"/>
  </r>
  <r>
    <x v="8"/>
    <x v="0"/>
    <n v="293917.2"/>
    <x v="2"/>
  </r>
  <r>
    <x v="9"/>
    <x v="0"/>
    <n v="887091.47"/>
    <x v="2"/>
  </r>
  <r>
    <x v="10"/>
    <x v="0"/>
    <n v="361490.4"/>
    <x v="2"/>
  </r>
  <r>
    <x v="11"/>
    <x v="0"/>
    <n v="350848"/>
    <x v="2"/>
  </r>
  <r>
    <x v="12"/>
    <x v="0"/>
    <n v="67140.149999999994"/>
    <x v="2"/>
  </r>
  <r>
    <x v="26"/>
    <x v="0"/>
    <n v="38009.74"/>
    <x v="2"/>
  </r>
  <r>
    <x v="13"/>
    <x v="0"/>
    <n v="296138.98"/>
    <x v="2"/>
  </r>
  <r>
    <x v="14"/>
    <x v="0"/>
    <n v="211134.13"/>
    <x v="2"/>
  </r>
  <r>
    <x v="15"/>
    <x v="0"/>
    <n v="1547790.64"/>
    <x v="2"/>
  </r>
  <r>
    <x v="16"/>
    <x v="0"/>
    <n v="347494.54"/>
    <x v="2"/>
  </r>
  <r>
    <x v="18"/>
    <x v="0"/>
    <n v="94677.66"/>
    <x v="2"/>
  </r>
  <r>
    <x v="19"/>
    <x v="0"/>
    <n v="53911.81"/>
    <x v="2"/>
  </r>
  <r>
    <x v="20"/>
    <x v="0"/>
    <n v="442993.41"/>
    <x v="2"/>
  </r>
  <r>
    <x v="21"/>
    <x v="0"/>
    <n v="2635.67"/>
    <x v="2"/>
  </r>
  <r>
    <x v="22"/>
    <x v="0"/>
    <n v="4054.28"/>
    <x v="2"/>
  </r>
  <r>
    <x v="23"/>
    <x v="0"/>
    <n v="503382.64"/>
    <x v="2"/>
  </r>
  <r>
    <x v="24"/>
    <x v="0"/>
    <n v="601044.61"/>
    <x v="2"/>
  </r>
  <r>
    <x v="25"/>
    <x v="0"/>
    <n v="615869.51"/>
    <x v="2"/>
  </r>
  <r>
    <x v="0"/>
    <x v="0"/>
    <n v="11500"/>
    <x v="2"/>
  </r>
  <r>
    <x v="1"/>
    <x v="0"/>
    <n v="430493.91"/>
    <x v="2"/>
  </r>
  <r>
    <x v="2"/>
    <x v="0"/>
    <n v="68817.66"/>
    <x v="2"/>
  </r>
  <r>
    <x v="3"/>
    <x v="0"/>
    <n v="2716"/>
    <x v="2"/>
  </r>
  <r>
    <x v="4"/>
    <x v="0"/>
    <n v="3290.87"/>
    <x v="2"/>
  </r>
  <r>
    <x v="5"/>
    <x v="0"/>
    <n v="166889.21"/>
    <x v="2"/>
  </r>
  <r>
    <x v="6"/>
    <x v="0"/>
    <n v="550055.55000000005"/>
    <x v="2"/>
  </r>
  <r>
    <x v="7"/>
    <x v="0"/>
    <n v="195755.38"/>
    <x v="2"/>
  </r>
  <r>
    <x v="8"/>
    <x v="0"/>
    <n v="205720"/>
    <x v="2"/>
  </r>
  <r>
    <x v="9"/>
    <x v="0"/>
    <n v="541053.5"/>
    <x v="2"/>
  </r>
  <r>
    <x v="10"/>
    <x v="0"/>
    <n v="301223.40000000002"/>
    <x v="2"/>
  </r>
  <r>
    <x v="11"/>
    <x v="0"/>
    <n v="228410"/>
    <x v="2"/>
  </r>
  <r>
    <x v="12"/>
    <x v="0"/>
    <n v="28331.95"/>
    <x v="2"/>
  </r>
  <r>
    <x v="26"/>
    <x v="0"/>
    <n v="23745.57"/>
    <x v="2"/>
  </r>
  <r>
    <x v="13"/>
    <x v="0"/>
    <n v="186861.22"/>
    <x v="2"/>
  </r>
  <r>
    <x v="14"/>
    <x v="0"/>
    <n v="147381.46"/>
    <x v="2"/>
  </r>
  <r>
    <x v="15"/>
    <x v="0"/>
    <n v="1282211.57"/>
    <x v="2"/>
  </r>
  <r>
    <x v="16"/>
    <x v="0"/>
    <n v="298378.44"/>
    <x v="2"/>
  </r>
  <r>
    <x v="18"/>
    <x v="0"/>
    <n v="27581.53"/>
    <x v="2"/>
  </r>
  <r>
    <x v="19"/>
    <x v="0"/>
    <n v="67646.16"/>
    <x v="2"/>
  </r>
  <r>
    <x v="20"/>
    <x v="0"/>
    <n v="374286.02"/>
    <x v="2"/>
  </r>
  <r>
    <x v="21"/>
    <x v="0"/>
    <n v="2164.81"/>
    <x v="2"/>
  </r>
  <r>
    <x v="22"/>
    <x v="0"/>
    <n v="4183.8"/>
    <x v="2"/>
  </r>
  <r>
    <x v="23"/>
    <x v="0"/>
    <n v="439558.6"/>
    <x v="2"/>
  </r>
  <r>
    <x v="24"/>
    <x v="0"/>
    <n v="504708.83"/>
    <x v="2"/>
  </r>
  <r>
    <x v="25"/>
    <x v="0"/>
    <n v="426482.16"/>
    <x v="2"/>
  </r>
  <r>
    <x v="0"/>
    <x v="0"/>
    <n v="7062"/>
    <x v="2"/>
  </r>
  <r>
    <x v="1"/>
    <x v="0"/>
    <n v="355379.59"/>
    <x v="2"/>
  </r>
  <r>
    <x v="2"/>
    <x v="0"/>
    <n v="42754.98"/>
    <x v="2"/>
  </r>
  <r>
    <x v="3"/>
    <x v="0"/>
    <n v="574"/>
    <x v="2"/>
  </r>
  <r>
    <x v="4"/>
    <x v="0"/>
    <n v="1470"/>
    <x v="2"/>
  </r>
  <r>
    <x v="5"/>
    <x v="0"/>
    <n v="77325.789999999994"/>
    <x v="2"/>
  </r>
  <r>
    <x v="6"/>
    <x v="0"/>
    <n v="275701.57"/>
    <x v="2"/>
  </r>
  <r>
    <x v="7"/>
    <x v="0"/>
    <n v="78287.820000000007"/>
    <x v="2"/>
  </r>
  <r>
    <x v="8"/>
    <x v="0"/>
    <n v="107987"/>
    <x v="2"/>
  </r>
  <r>
    <x v="9"/>
    <x v="0"/>
    <n v="482821.5"/>
    <x v="2"/>
  </r>
  <r>
    <x v="10"/>
    <x v="0"/>
    <n v="215561.4"/>
    <x v="2"/>
  </r>
  <r>
    <x v="11"/>
    <x v="0"/>
    <n v="128585"/>
    <x v="2"/>
  </r>
  <r>
    <x v="12"/>
    <x v="0"/>
    <n v="21640.35"/>
    <x v="2"/>
  </r>
  <r>
    <x v="26"/>
    <x v="0"/>
    <n v="11703.52"/>
    <x v="2"/>
  </r>
  <r>
    <x v="13"/>
    <x v="0"/>
    <n v="82954.36"/>
    <x v="2"/>
  </r>
  <r>
    <x v="14"/>
    <x v="0"/>
    <n v="61481.59"/>
    <x v="2"/>
  </r>
  <r>
    <x v="15"/>
    <x v="0"/>
    <n v="643337.29"/>
    <x v="2"/>
  </r>
  <r>
    <x v="16"/>
    <x v="0"/>
    <n v="125403.46"/>
    <x v="2"/>
  </r>
  <r>
    <x v="18"/>
    <x v="0"/>
    <n v="64652.4"/>
    <x v="2"/>
  </r>
  <r>
    <x v="19"/>
    <x v="0"/>
    <n v="35554.269999999997"/>
    <x v="2"/>
  </r>
  <r>
    <x v="20"/>
    <x v="0"/>
    <n v="308807.2"/>
    <x v="2"/>
  </r>
  <r>
    <x v="22"/>
    <x v="0"/>
    <n v="1541"/>
    <x v="2"/>
  </r>
  <r>
    <x v="23"/>
    <x v="0"/>
    <n v="255120.01"/>
    <x v="2"/>
  </r>
  <r>
    <x v="24"/>
    <x v="0"/>
    <n v="293768.99"/>
    <x v="2"/>
  </r>
  <r>
    <x v="25"/>
    <x v="0"/>
    <n v="170993.97"/>
    <x v="2"/>
  </r>
  <r>
    <x v="0"/>
    <x v="0"/>
    <n v="5128"/>
    <x v="2"/>
  </r>
  <r>
    <x v="1"/>
    <x v="0"/>
    <n v="68357.2"/>
    <x v="2"/>
  </r>
  <r>
    <x v="2"/>
    <x v="0"/>
    <n v="25354.62"/>
    <x v="2"/>
  </r>
  <r>
    <x v="3"/>
    <x v="0"/>
    <n v="840"/>
    <x v="2"/>
  </r>
  <r>
    <x v="4"/>
    <x v="0"/>
    <n v="1470"/>
    <x v="2"/>
  </r>
  <r>
    <x v="5"/>
    <x v="0"/>
    <n v="84720.02"/>
    <x v="2"/>
  </r>
  <r>
    <x v="6"/>
    <x v="0"/>
    <n v="222419.32"/>
    <x v="2"/>
  </r>
  <r>
    <x v="7"/>
    <x v="0"/>
    <n v="80362.070000000007"/>
    <x v="2"/>
  </r>
  <r>
    <x v="8"/>
    <x v="0"/>
    <n v="91200"/>
    <x v="2"/>
  </r>
  <r>
    <x v="9"/>
    <x v="0"/>
    <n v="164222"/>
    <x v="2"/>
  </r>
  <r>
    <x v="10"/>
    <x v="0"/>
    <n v="98825.3"/>
    <x v="2"/>
  </r>
  <r>
    <x v="11"/>
    <x v="0"/>
    <n v="58394"/>
    <x v="2"/>
  </r>
  <r>
    <x v="12"/>
    <x v="0"/>
    <n v="19746.55"/>
    <x v="2"/>
  </r>
  <r>
    <x v="26"/>
    <x v="0"/>
    <n v="5912.33"/>
    <x v="2"/>
  </r>
  <r>
    <x v="13"/>
    <x v="0"/>
    <n v="72854.09"/>
    <x v="2"/>
  </r>
  <r>
    <x v="14"/>
    <x v="0"/>
    <n v="48325.35"/>
    <x v="2"/>
  </r>
  <r>
    <x v="15"/>
    <x v="0"/>
    <n v="539734.59"/>
    <x v="2"/>
  </r>
  <r>
    <x v="16"/>
    <x v="0"/>
    <n v="92599.86"/>
    <x v="2"/>
  </r>
  <r>
    <x v="18"/>
    <x v="0"/>
    <n v="3653.14"/>
    <x v="2"/>
  </r>
  <r>
    <x v="19"/>
    <x v="0"/>
    <n v="12474.29"/>
    <x v="2"/>
  </r>
  <r>
    <x v="20"/>
    <x v="0"/>
    <n v="192874.03"/>
    <x v="2"/>
  </r>
  <r>
    <x v="21"/>
    <x v="0"/>
    <n v="608"/>
    <x v="2"/>
  </r>
  <r>
    <x v="22"/>
    <x v="0"/>
    <n v="1382.52"/>
    <x v="2"/>
  </r>
  <r>
    <x v="23"/>
    <x v="0"/>
    <n v="114067.32"/>
    <x v="2"/>
  </r>
  <r>
    <x v="24"/>
    <x v="0"/>
    <n v="250926.25"/>
    <x v="2"/>
  </r>
  <r>
    <x v="25"/>
    <x v="0"/>
    <n v="198108.9"/>
    <x v="2"/>
  </r>
  <r>
    <x v="0"/>
    <x v="0"/>
    <n v="7157"/>
    <x v="2"/>
  </r>
  <r>
    <x v="1"/>
    <x v="0"/>
    <n v="64351.73"/>
    <x v="2"/>
  </r>
  <r>
    <x v="2"/>
    <x v="0"/>
    <n v="24265.65"/>
    <x v="2"/>
  </r>
  <r>
    <x v="3"/>
    <x v="0"/>
    <n v="574"/>
    <x v="2"/>
  </r>
  <r>
    <x v="4"/>
    <x v="0"/>
    <n v="1452"/>
    <x v="2"/>
  </r>
  <r>
    <x v="5"/>
    <x v="0"/>
    <n v="88756.02"/>
    <x v="2"/>
  </r>
  <r>
    <x v="6"/>
    <x v="0"/>
    <n v="321355.17"/>
    <x v="2"/>
  </r>
  <r>
    <x v="7"/>
    <x v="0"/>
    <n v="96686.16"/>
    <x v="2"/>
  </r>
  <r>
    <x v="8"/>
    <x v="0"/>
    <n v="117490.61"/>
    <x v="2"/>
  </r>
  <r>
    <x v="9"/>
    <x v="0"/>
    <n v="185926"/>
    <x v="2"/>
  </r>
  <r>
    <x v="10"/>
    <x v="0"/>
    <n v="128489.9"/>
    <x v="2"/>
  </r>
  <r>
    <x v="11"/>
    <x v="0"/>
    <n v="77604.789999999994"/>
    <x v="2"/>
  </r>
  <r>
    <x v="12"/>
    <x v="0"/>
    <n v="16349.65"/>
    <x v="2"/>
  </r>
  <r>
    <x v="26"/>
    <x v="0"/>
    <n v="14803.48"/>
    <x v="2"/>
  </r>
  <r>
    <x v="13"/>
    <x v="0"/>
    <n v="129285.88"/>
    <x v="2"/>
  </r>
  <r>
    <x v="14"/>
    <x v="0"/>
    <n v="103851.41"/>
    <x v="2"/>
  </r>
  <r>
    <x v="15"/>
    <x v="0"/>
    <n v="720918.08"/>
    <x v="2"/>
  </r>
  <r>
    <x v="16"/>
    <x v="0"/>
    <n v="140399.4"/>
    <x v="2"/>
  </r>
  <r>
    <x v="18"/>
    <x v="0"/>
    <n v="7481.46"/>
    <x v="2"/>
  </r>
  <r>
    <x v="19"/>
    <x v="0"/>
    <n v="13808.82"/>
    <x v="2"/>
  </r>
  <r>
    <x v="20"/>
    <x v="0"/>
    <n v="184506.76"/>
    <x v="2"/>
  </r>
  <r>
    <x v="21"/>
    <x v="0"/>
    <n v="76"/>
    <x v="2"/>
  </r>
  <r>
    <x v="22"/>
    <x v="0"/>
    <n v="2212.36"/>
    <x v="2"/>
  </r>
  <r>
    <x v="23"/>
    <x v="0"/>
    <n v="147198.65"/>
    <x v="2"/>
  </r>
  <r>
    <x v="24"/>
    <x v="0"/>
    <n v="352661.23"/>
    <x v="2"/>
  </r>
  <r>
    <x v="25"/>
    <x v="0"/>
    <n v="217267.46"/>
    <x v="2"/>
  </r>
  <r>
    <x v="0"/>
    <x v="0"/>
    <n v="11353"/>
    <x v="2"/>
  </r>
  <r>
    <x v="1"/>
    <x v="0"/>
    <n v="112840.07"/>
    <x v="2"/>
  </r>
  <r>
    <x v="2"/>
    <x v="0"/>
    <n v="67695.960000000006"/>
    <x v="2"/>
  </r>
  <r>
    <x v="3"/>
    <x v="0"/>
    <n v="1148"/>
    <x v="2"/>
  </r>
  <r>
    <x v="4"/>
    <x v="0"/>
    <n v="588"/>
    <x v="2"/>
  </r>
  <r>
    <x v="5"/>
    <x v="0"/>
    <n v="91378.44"/>
    <x v="2"/>
  </r>
  <r>
    <x v="6"/>
    <x v="0"/>
    <n v="296888.81"/>
    <x v="2"/>
  </r>
  <r>
    <x v="7"/>
    <x v="0"/>
    <n v="89734.17"/>
    <x v="2"/>
  </r>
  <r>
    <x v="8"/>
    <x v="0"/>
    <n v="135395.1"/>
    <x v="2"/>
  </r>
  <r>
    <x v="9"/>
    <x v="0"/>
    <n v="245236"/>
    <x v="2"/>
  </r>
  <r>
    <x v="10"/>
    <x v="0"/>
    <n v="132816.5"/>
    <x v="2"/>
  </r>
  <r>
    <x v="11"/>
    <x v="0"/>
    <n v="93506"/>
    <x v="2"/>
  </r>
  <r>
    <x v="12"/>
    <x v="0"/>
    <n v="19784.099999999999"/>
    <x v="2"/>
  </r>
  <r>
    <x v="26"/>
    <x v="0"/>
    <n v="13247.47"/>
    <x v="2"/>
  </r>
  <r>
    <x v="13"/>
    <x v="0"/>
    <n v="127454.97"/>
    <x v="2"/>
  </r>
  <r>
    <x v="14"/>
    <x v="0"/>
    <n v="141713.29"/>
    <x v="2"/>
  </r>
  <r>
    <x v="15"/>
    <x v="0"/>
    <n v="742420.95"/>
    <x v="2"/>
  </r>
  <r>
    <x v="16"/>
    <x v="0"/>
    <n v="137849.48000000001"/>
    <x v="2"/>
  </r>
  <r>
    <x v="18"/>
    <x v="0"/>
    <n v="17311.75"/>
    <x v="2"/>
  </r>
  <r>
    <x v="19"/>
    <x v="0"/>
    <n v="7723.45"/>
    <x v="2"/>
  </r>
  <r>
    <x v="20"/>
    <x v="0"/>
    <n v="165017.94"/>
    <x v="2"/>
  </r>
  <r>
    <x v="21"/>
    <x v="0"/>
    <n v="1140"/>
    <x v="2"/>
  </r>
  <r>
    <x v="22"/>
    <x v="0"/>
    <n v="3006.16"/>
    <x v="2"/>
  </r>
  <r>
    <x v="23"/>
    <x v="0"/>
    <n v="139685.07"/>
    <x v="2"/>
  </r>
  <r>
    <x v="24"/>
    <x v="0"/>
    <n v="350497.06"/>
    <x v="2"/>
  </r>
  <r>
    <x v="25"/>
    <x v="0"/>
    <n v="283843.65999999997"/>
    <x v="2"/>
  </r>
  <r>
    <x v="0"/>
    <x v="0"/>
    <n v="6444"/>
    <x v="2"/>
  </r>
  <r>
    <x v="1"/>
    <x v="0"/>
    <n v="122229.61"/>
    <x v="2"/>
  </r>
  <r>
    <x v="2"/>
    <x v="0"/>
    <n v="17250.66"/>
    <x v="2"/>
  </r>
  <r>
    <x v="3"/>
    <x v="0"/>
    <n v="2142"/>
    <x v="2"/>
  </r>
  <r>
    <x v="4"/>
    <x v="0"/>
    <n v="588"/>
    <x v="2"/>
  </r>
  <r>
    <x v="5"/>
    <x v="0"/>
    <n v="86540.31"/>
    <x v="2"/>
  </r>
  <r>
    <x v="6"/>
    <x v="0"/>
    <n v="298692.81"/>
    <x v="2"/>
  </r>
  <r>
    <x v="7"/>
    <x v="0"/>
    <n v="96525.26"/>
    <x v="2"/>
  </r>
  <r>
    <x v="8"/>
    <x v="0"/>
    <n v="145185.82"/>
    <x v="2"/>
  </r>
  <r>
    <x v="9"/>
    <x v="0"/>
    <n v="325088"/>
    <x v="2"/>
  </r>
  <r>
    <x v="10"/>
    <x v="0"/>
    <n v="181522.3"/>
    <x v="2"/>
  </r>
  <r>
    <x v="11"/>
    <x v="0"/>
    <n v="101940"/>
    <x v="2"/>
  </r>
  <r>
    <x v="12"/>
    <x v="0"/>
    <n v="13703.35"/>
    <x v="2"/>
  </r>
  <r>
    <x v="26"/>
    <x v="0"/>
    <n v="22688.19"/>
    <x v="2"/>
  </r>
  <r>
    <x v="13"/>
    <x v="0"/>
    <n v="132975.64000000001"/>
    <x v="2"/>
  </r>
  <r>
    <x v="14"/>
    <x v="0"/>
    <n v="167673.45000000001"/>
    <x v="2"/>
  </r>
  <r>
    <x v="15"/>
    <x v="0"/>
    <n v="744959.97"/>
    <x v="2"/>
  </r>
  <r>
    <x v="16"/>
    <x v="0"/>
    <n v="148790.20000000001"/>
    <x v="2"/>
  </r>
  <r>
    <x v="18"/>
    <x v="0"/>
    <n v="32683.16"/>
    <x v="2"/>
  </r>
  <r>
    <x v="19"/>
    <x v="0"/>
    <n v="20215.86"/>
    <x v="2"/>
  </r>
  <r>
    <x v="20"/>
    <x v="0"/>
    <n v="201719.34"/>
    <x v="2"/>
  </r>
  <r>
    <x v="21"/>
    <x v="0"/>
    <n v="76"/>
    <x v="2"/>
  </r>
  <r>
    <x v="22"/>
    <x v="0"/>
    <n v="4659.84"/>
    <x v="2"/>
  </r>
  <r>
    <x v="23"/>
    <x v="0"/>
    <n v="124007.87"/>
    <x v="2"/>
  </r>
  <r>
    <x v="24"/>
    <x v="0"/>
    <n v="365309.95"/>
    <x v="2"/>
  </r>
  <r>
    <x v="25"/>
    <x v="0"/>
    <n v="283796.40999999997"/>
    <x v="2"/>
  </r>
  <r>
    <x v="0"/>
    <x v="0"/>
    <n v="17504"/>
    <x v="2"/>
  </r>
  <r>
    <x v="1"/>
    <x v="0"/>
    <n v="217059.66"/>
    <x v="2"/>
  </r>
  <r>
    <x v="2"/>
    <x v="0"/>
    <n v="19621.91"/>
    <x v="2"/>
  </r>
  <r>
    <x v="3"/>
    <x v="0"/>
    <n v="2296"/>
    <x v="2"/>
  </r>
  <r>
    <x v="4"/>
    <x v="0"/>
    <n v="2492.87"/>
    <x v="2"/>
  </r>
  <r>
    <x v="5"/>
    <x v="0"/>
    <n v="156678.97"/>
    <x v="2"/>
  </r>
  <r>
    <x v="6"/>
    <x v="0"/>
    <n v="552219.79"/>
    <x v="2"/>
  </r>
  <r>
    <x v="7"/>
    <x v="0"/>
    <n v="165823.35999999999"/>
    <x v="2"/>
  </r>
  <r>
    <x v="8"/>
    <x v="0"/>
    <n v="231639.62"/>
    <x v="2"/>
  </r>
  <r>
    <x v="9"/>
    <x v="0"/>
    <n v="606630.48"/>
    <x v="2"/>
  </r>
  <r>
    <x v="10"/>
    <x v="0"/>
    <n v="288077.5"/>
    <x v="2"/>
  </r>
  <r>
    <x v="11"/>
    <x v="0"/>
    <n v="162362"/>
    <x v="2"/>
  </r>
  <r>
    <x v="12"/>
    <x v="0"/>
    <n v="19225.150000000001"/>
    <x v="2"/>
  </r>
  <r>
    <x v="26"/>
    <x v="0"/>
    <n v="34946.15"/>
    <x v="2"/>
  </r>
  <r>
    <x v="13"/>
    <x v="0"/>
    <n v="211737.72"/>
    <x v="2"/>
  </r>
  <r>
    <x v="14"/>
    <x v="0"/>
    <n v="193435.41"/>
    <x v="2"/>
  </r>
  <r>
    <x v="15"/>
    <x v="0"/>
    <n v="1240990.81"/>
    <x v="2"/>
  </r>
  <r>
    <x v="16"/>
    <x v="0"/>
    <n v="252153.96"/>
    <x v="2"/>
  </r>
  <r>
    <x v="18"/>
    <x v="0"/>
    <n v="57065.24"/>
    <x v="2"/>
  </r>
  <r>
    <x v="19"/>
    <x v="0"/>
    <n v="28468.25"/>
    <x v="2"/>
  </r>
  <r>
    <x v="20"/>
    <x v="0"/>
    <n v="285047.96999999997"/>
    <x v="2"/>
  </r>
  <r>
    <x v="21"/>
    <x v="0"/>
    <n v="1140"/>
    <x v="2"/>
  </r>
  <r>
    <x v="22"/>
    <x v="0"/>
    <n v="4929.92"/>
    <x v="2"/>
  </r>
  <r>
    <x v="23"/>
    <x v="0"/>
    <n v="251981.55"/>
    <x v="2"/>
  </r>
  <r>
    <x v="24"/>
    <x v="0"/>
    <n v="541621.68000000005"/>
    <x v="2"/>
  </r>
  <r>
    <x v="25"/>
    <x v="0"/>
    <n v="556190.87"/>
    <x v="2"/>
  </r>
  <r>
    <x v="0"/>
    <x v="0"/>
    <n v="6222"/>
    <x v="2"/>
  </r>
  <r>
    <x v="1"/>
    <x v="0"/>
    <n v="129680.11"/>
    <x v="2"/>
  </r>
  <r>
    <x v="2"/>
    <x v="0"/>
    <n v="17058.439999999999"/>
    <x v="2"/>
  </r>
  <r>
    <x v="3"/>
    <x v="0"/>
    <n v="2296"/>
    <x v="2"/>
  </r>
  <r>
    <x v="4"/>
    <x v="0"/>
    <n v="2585"/>
    <x v="2"/>
  </r>
  <r>
    <x v="5"/>
    <x v="0"/>
    <n v="122286.01"/>
    <x v="2"/>
  </r>
  <r>
    <x v="6"/>
    <x v="0"/>
    <n v="477166.15"/>
    <x v="2"/>
  </r>
  <r>
    <x v="7"/>
    <x v="0"/>
    <n v="114416.83"/>
    <x v="2"/>
  </r>
  <r>
    <x v="8"/>
    <x v="0"/>
    <n v="192399.14"/>
    <x v="2"/>
  </r>
  <r>
    <x v="9"/>
    <x v="0"/>
    <n v="285736.99"/>
    <x v="2"/>
  </r>
  <r>
    <x v="10"/>
    <x v="0"/>
    <n v="199465.1"/>
    <x v="2"/>
  </r>
  <r>
    <x v="11"/>
    <x v="0"/>
    <n v="103743"/>
    <x v="2"/>
  </r>
  <r>
    <x v="12"/>
    <x v="0"/>
    <n v="30991.5"/>
    <x v="2"/>
  </r>
  <r>
    <x v="26"/>
    <x v="0"/>
    <n v="16836.05"/>
    <x v="2"/>
  </r>
  <r>
    <x v="13"/>
    <x v="0"/>
    <n v="177634.91"/>
    <x v="2"/>
  </r>
  <r>
    <x v="14"/>
    <x v="0"/>
    <n v="88679.65"/>
    <x v="2"/>
  </r>
  <r>
    <x v="15"/>
    <x v="0"/>
    <n v="858942.07"/>
    <x v="2"/>
  </r>
  <r>
    <x v="16"/>
    <x v="0"/>
    <n v="179139.98"/>
    <x v="2"/>
  </r>
  <r>
    <x v="18"/>
    <x v="0"/>
    <n v="45670.559999999998"/>
    <x v="2"/>
  </r>
  <r>
    <x v="19"/>
    <x v="0"/>
    <n v="47618.400000000001"/>
    <x v="2"/>
  </r>
  <r>
    <x v="20"/>
    <x v="0"/>
    <n v="229190.31"/>
    <x v="2"/>
  </r>
  <r>
    <x v="21"/>
    <x v="0"/>
    <n v="684"/>
    <x v="2"/>
  </r>
  <r>
    <x v="22"/>
    <x v="0"/>
    <n v="3200.88"/>
    <x v="2"/>
  </r>
  <r>
    <x v="23"/>
    <x v="0"/>
    <n v="192404.24"/>
    <x v="2"/>
  </r>
  <r>
    <x v="24"/>
    <x v="0"/>
    <n v="475876.68"/>
    <x v="2"/>
  </r>
  <r>
    <x v="25"/>
    <x v="0"/>
    <n v="475655.77"/>
    <x v="2"/>
  </r>
  <r>
    <x v="0"/>
    <x v="0"/>
    <n v="3927"/>
    <x v="2"/>
  </r>
  <r>
    <x v="1"/>
    <x v="0"/>
    <n v="66238.600000000006"/>
    <x v="2"/>
  </r>
  <r>
    <x v="2"/>
    <x v="0"/>
    <n v="14917.76"/>
    <x v="2"/>
  </r>
  <r>
    <x v="5"/>
    <x v="0"/>
    <n v="91187.49"/>
    <x v="2"/>
  </r>
  <r>
    <x v="6"/>
    <x v="0"/>
    <n v="299204.81"/>
    <x v="2"/>
  </r>
  <r>
    <x v="7"/>
    <x v="0"/>
    <n v="93558.37"/>
    <x v="2"/>
  </r>
  <r>
    <x v="8"/>
    <x v="0"/>
    <n v="141308.07"/>
    <x v="2"/>
  </r>
  <r>
    <x v="9"/>
    <x v="0"/>
    <n v="204402.99"/>
    <x v="2"/>
  </r>
  <r>
    <x v="10"/>
    <x v="0"/>
    <n v="112010.7"/>
    <x v="2"/>
  </r>
  <r>
    <x v="11"/>
    <x v="0"/>
    <n v="67516"/>
    <x v="2"/>
  </r>
  <r>
    <x v="12"/>
    <x v="0"/>
    <n v="27651.599999999999"/>
    <x v="2"/>
  </r>
  <r>
    <x v="26"/>
    <x v="0"/>
    <n v="6668.96"/>
    <x v="2"/>
  </r>
  <r>
    <x v="13"/>
    <x v="0"/>
    <n v="119243.79"/>
    <x v="2"/>
  </r>
  <r>
    <x v="14"/>
    <x v="0"/>
    <n v="72060.070000000007"/>
    <x v="2"/>
  </r>
  <r>
    <x v="15"/>
    <x v="0"/>
    <n v="527186.63"/>
    <x v="2"/>
  </r>
  <r>
    <x v="16"/>
    <x v="0"/>
    <n v="101802.3"/>
    <x v="2"/>
  </r>
  <r>
    <x v="18"/>
    <x v="0"/>
    <n v="29248.44"/>
    <x v="2"/>
  </r>
  <r>
    <x v="19"/>
    <x v="0"/>
    <n v="13231.59"/>
    <x v="2"/>
  </r>
  <r>
    <x v="20"/>
    <x v="0"/>
    <n v="165344.51"/>
    <x v="2"/>
  </r>
  <r>
    <x v="21"/>
    <x v="0"/>
    <n v="608"/>
    <x v="2"/>
  </r>
  <r>
    <x v="22"/>
    <x v="0"/>
    <n v="2030.28"/>
    <x v="2"/>
  </r>
  <r>
    <x v="23"/>
    <x v="0"/>
    <n v="123797.26"/>
    <x v="2"/>
  </r>
  <r>
    <x v="24"/>
    <x v="0"/>
    <n v="271247.24"/>
    <x v="2"/>
  </r>
  <r>
    <x v="25"/>
    <x v="0"/>
    <n v="234118.37"/>
    <x v="2"/>
  </r>
  <r>
    <x v="0"/>
    <x v="0"/>
    <n v="3536"/>
    <x v="2"/>
  </r>
  <r>
    <x v="1"/>
    <x v="0"/>
    <n v="117850.49"/>
    <x v="2"/>
  </r>
  <r>
    <x v="2"/>
    <x v="0"/>
    <n v="27616.54"/>
    <x v="2"/>
  </r>
  <r>
    <x v="3"/>
    <x v="0"/>
    <n v="1722"/>
    <x v="2"/>
  </r>
  <r>
    <x v="4"/>
    <x v="0"/>
    <n v="1140"/>
    <x v="2"/>
  </r>
  <r>
    <x v="5"/>
    <x v="0"/>
    <n v="82732.37"/>
    <x v="2"/>
  </r>
  <r>
    <x v="6"/>
    <x v="0"/>
    <n v="427857.33"/>
    <x v="2"/>
  </r>
  <r>
    <x v="7"/>
    <x v="0"/>
    <n v="76870.080000000002"/>
    <x v="2"/>
  </r>
  <r>
    <x v="8"/>
    <x v="0"/>
    <n v="155743.01999999999"/>
    <x v="2"/>
  </r>
  <r>
    <x v="9"/>
    <x v="0"/>
    <n v="205967.48"/>
    <x v="2"/>
  </r>
  <r>
    <x v="10"/>
    <x v="0"/>
    <n v="101368.8"/>
    <x v="2"/>
  </r>
  <r>
    <x v="11"/>
    <x v="0"/>
    <n v="53754"/>
    <x v="2"/>
  </r>
  <r>
    <x v="12"/>
    <x v="0"/>
    <n v="12282.55"/>
    <x v="2"/>
  </r>
  <r>
    <x v="26"/>
    <x v="0"/>
    <n v="7347.69"/>
    <x v="2"/>
  </r>
  <r>
    <x v="13"/>
    <x v="0"/>
    <n v="89322.21"/>
    <x v="2"/>
  </r>
  <r>
    <x v="14"/>
    <x v="0"/>
    <n v="50058.04"/>
    <x v="2"/>
  </r>
  <r>
    <x v="15"/>
    <x v="0"/>
    <n v="460201.77"/>
    <x v="2"/>
  </r>
  <r>
    <x v="16"/>
    <x v="0"/>
    <n v="92350.96"/>
    <x v="2"/>
  </r>
  <r>
    <x v="18"/>
    <x v="0"/>
    <n v="17725.09"/>
    <x v="2"/>
  </r>
  <r>
    <x v="19"/>
    <x v="0"/>
    <n v="19596.55"/>
    <x v="2"/>
  </r>
  <r>
    <x v="20"/>
    <x v="0"/>
    <n v="188473.51"/>
    <x v="2"/>
  </r>
  <r>
    <x v="22"/>
    <x v="0"/>
    <n v="2155.92"/>
    <x v="2"/>
  </r>
  <r>
    <x v="23"/>
    <x v="0"/>
    <n v="69393.66"/>
    <x v="2"/>
  </r>
  <r>
    <x v="24"/>
    <x v="0"/>
    <n v="223816.03"/>
    <x v="2"/>
  </r>
  <r>
    <x v="25"/>
    <x v="0"/>
    <n v="173759"/>
    <x v="2"/>
  </r>
  <r>
    <x v="0"/>
    <x v="0"/>
    <n v="11087"/>
    <x v="2"/>
  </r>
  <r>
    <x v="1"/>
    <x v="0"/>
    <n v="170314.03"/>
    <x v="2"/>
  </r>
  <r>
    <x v="2"/>
    <x v="0"/>
    <n v="15738.45"/>
    <x v="2"/>
  </r>
  <r>
    <x v="4"/>
    <x v="0"/>
    <n v="3524"/>
    <x v="2"/>
  </r>
  <r>
    <x v="5"/>
    <x v="0"/>
    <n v="101833.89"/>
    <x v="2"/>
  </r>
  <r>
    <x v="6"/>
    <x v="0"/>
    <n v="451102.25"/>
    <x v="2"/>
  </r>
  <r>
    <x v="7"/>
    <x v="0"/>
    <n v="110808.98"/>
    <x v="2"/>
  </r>
  <r>
    <x v="8"/>
    <x v="0"/>
    <n v="167001"/>
    <x v="2"/>
  </r>
  <r>
    <x v="9"/>
    <x v="0"/>
    <n v="338873.48"/>
    <x v="2"/>
  </r>
  <r>
    <x v="10"/>
    <x v="0"/>
    <n v="183395.16"/>
    <x v="2"/>
  </r>
  <r>
    <x v="11"/>
    <x v="0"/>
    <n v="76501"/>
    <x v="2"/>
  </r>
  <r>
    <x v="12"/>
    <x v="0"/>
    <n v="13646.3"/>
    <x v="2"/>
  </r>
  <r>
    <x v="26"/>
    <x v="0"/>
    <n v="10575.53"/>
    <x v="2"/>
  </r>
  <r>
    <x v="13"/>
    <x v="0"/>
    <n v="104591.83"/>
    <x v="2"/>
  </r>
  <r>
    <x v="14"/>
    <x v="0"/>
    <n v="66699.87"/>
    <x v="2"/>
  </r>
  <r>
    <x v="15"/>
    <x v="0"/>
    <n v="539223.98"/>
    <x v="2"/>
  </r>
  <r>
    <x v="16"/>
    <x v="0"/>
    <n v="64967.98"/>
    <x v="2"/>
  </r>
  <r>
    <x v="18"/>
    <x v="0"/>
    <n v="23011.42"/>
    <x v="2"/>
  </r>
  <r>
    <x v="19"/>
    <x v="0"/>
    <n v="19902.349999999999"/>
    <x v="2"/>
  </r>
  <r>
    <x v="20"/>
    <x v="0"/>
    <n v="160798.01999999999"/>
    <x v="2"/>
  </r>
  <r>
    <x v="21"/>
    <x v="0"/>
    <n v="760"/>
    <x v="2"/>
  </r>
  <r>
    <x v="22"/>
    <x v="0"/>
    <n v="371.6"/>
    <x v="2"/>
  </r>
  <r>
    <x v="23"/>
    <x v="0"/>
    <n v="105836.29"/>
    <x v="2"/>
  </r>
  <r>
    <x v="24"/>
    <x v="0"/>
    <n v="370788.52"/>
    <x v="2"/>
  </r>
  <r>
    <x v="25"/>
    <x v="0"/>
    <n v="276273.24"/>
    <x v="2"/>
  </r>
  <r>
    <x v="0"/>
    <x v="0"/>
    <n v="12698"/>
    <x v="2"/>
  </r>
  <r>
    <x v="1"/>
    <x v="0"/>
    <n v="193073.35"/>
    <x v="2"/>
  </r>
  <r>
    <x v="2"/>
    <x v="0"/>
    <n v="27638.34"/>
    <x v="2"/>
  </r>
  <r>
    <x v="3"/>
    <x v="0"/>
    <n v="574"/>
    <x v="2"/>
  </r>
  <r>
    <x v="4"/>
    <x v="0"/>
    <n v="2642"/>
    <x v="2"/>
  </r>
  <r>
    <x v="5"/>
    <x v="0"/>
    <n v="76875.92"/>
    <x v="2"/>
  </r>
  <r>
    <x v="6"/>
    <x v="0"/>
    <n v="457472.92"/>
    <x v="2"/>
  </r>
  <r>
    <x v="7"/>
    <x v="0"/>
    <n v="101059.64"/>
    <x v="2"/>
  </r>
  <r>
    <x v="8"/>
    <x v="0"/>
    <n v="150001.95000000001"/>
    <x v="2"/>
  </r>
  <r>
    <x v="9"/>
    <x v="0"/>
    <n v="236735"/>
    <x v="2"/>
  </r>
  <r>
    <x v="10"/>
    <x v="0"/>
    <n v="136533.9"/>
    <x v="2"/>
  </r>
  <r>
    <x v="11"/>
    <x v="0"/>
    <n v="47949"/>
    <x v="2"/>
  </r>
  <r>
    <x v="12"/>
    <x v="0"/>
    <n v="28042.15"/>
    <x v="2"/>
  </r>
  <r>
    <x v="26"/>
    <x v="0"/>
    <n v="16664.71"/>
    <x v="2"/>
  </r>
  <r>
    <x v="13"/>
    <x v="0"/>
    <n v="141250.1"/>
    <x v="2"/>
  </r>
  <r>
    <x v="14"/>
    <x v="0"/>
    <n v="93380.14"/>
    <x v="2"/>
  </r>
  <r>
    <x v="15"/>
    <x v="0"/>
    <n v="582822.62"/>
    <x v="2"/>
  </r>
  <r>
    <x v="16"/>
    <x v="0"/>
    <n v="121897.42"/>
    <x v="2"/>
  </r>
  <r>
    <x v="18"/>
    <x v="0"/>
    <n v="13116.42"/>
    <x v="2"/>
  </r>
  <r>
    <x v="19"/>
    <x v="0"/>
    <n v="19492.12"/>
    <x v="2"/>
  </r>
  <r>
    <x v="20"/>
    <x v="0"/>
    <n v="196754.29"/>
    <x v="2"/>
  </r>
  <r>
    <x v="21"/>
    <x v="0"/>
    <n v="684"/>
    <x v="2"/>
  </r>
  <r>
    <x v="22"/>
    <x v="0"/>
    <n v="2135.3200000000002"/>
    <x v="2"/>
  </r>
  <r>
    <x v="23"/>
    <x v="0"/>
    <n v="99581.45"/>
    <x v="2"/>
  </r>
  <r>
    <x v="24"/>
    <x v="0"/>
    <n v="276162.46000000002"/>
    <x v="2"/>
  </r>
  <r>
    <x v="25"/>
    <x v="0"/>
    <n v="225711"/>
    <x v="2"/>
  </r>
  <r>
    <x v="0"/>
    <x v="0"/>
    <n v="10121"/>
    <x v="2"/>
  </r>
  <r>
    <x v="1"/>
    <x v="0"/>
    <n v="213630.96"/>
    <x v="2"/>
  </r>
  <r>
    <x v="2"/>
    <x v="0"/>
    <n v="72934.39"/>
    <x v="2"/>
  </r>
  <r>
    <x v="3"/>
    <x v="0"/>
    <n v="1722"/>
    <x v="2"/>
  </r>
  <r>
    <x v="4"/>
    <x v="0"/>
    <n v="588"/>
    <x v="2"/>
  </r>
  <r>
    <x v="5"/>
    <x v="0"/>
    <n v="123603.02"/>
    <x v="2"/>
  </r>
  <r>
    <x v="6"/>
    <x v="0"/>
    <n v="514287.65"/>
    <x v="2"/>
  </r>
  <r>
    <x v="7"/>
    <x v="0"/>
    <n v="162658.87"/>
    <x v="2"/>
  </r>
  <r>
    <x v="8"/>
    <x v="0"/>
    <n v="207036.35"/>
    <x v="2"/>
  </r>
  <r>
    <x v="9"/>
    <x v="0"/>
    <n v="440742.99"/>
    <x v="2"/>
  </r>
  <r>
    <x v="10"/>
    <x v="0"/>
    <n v="228882.1"/>
    <x v="2"/>
  </r>
  <r>
    <x v="11"/>
    <x v="0"/>
    <n v="62686"/>
    <x v="2"/>
  </r>
  <r>
    <x v="12"/>
    <x v="0"/>
    <n v="18599.599999999999"/>
    <x v="2"/>
  </r>
  <r>
    <x v="26"/>
    <x v="0"/>
    <n v="11113.37"/>
    <x v="2"/>
  </r>
  <r>
    <x v="13"/>
    <x v="0"/>
    <n v="142717.26999999999"/>
    <x v="2"/>
  </r>
  <r>
    <x v="14"/>
    <x v="0"/>
    <n v="114934.84"/>
    <x v="2"/>
  </r>
  <r>
    <x v="15"/>
    <x v="0"/>
    <n v="666366.12"/>
    <x v="2"/>
  </r>
  <r>
    <x v="16"/>
    <x v="0"/>
    <n v="181392.96"/>
    <x v="2"/>
  </r>
  <r>
    <x v="18"/>
    <x v="0"/>
    <n v="31369.41"/>
    <x v="2"/>
  </r>
  <r>
    <x v="19"/>
    <x v="0"/>
    <n v="16729.3"/>
    <x v="2"/>
  </r>
  <r>
    <x v="20"/>
    <x v="0"/>
    <n v="244027.67"/>
    <x v="2"/>
  </r>
  <r>
    <x v="21"/>
    <x v="0"/>
    <n v="608"/>
    <x v="2"/>
  </r>
  <r>
    <x v="22"/>
    <x v="0"/>
    <n v="2251.7600000000002"/>
    <x v="2"/>
  </r>
  <r>
    <x v="23"/>
    <x v="0"/>
    <n v="167933.77"/>
    <x v="2"/>
  </r>
  <r>
    <x v="24"/>
    <x v="0"/>
    <n v="408066.26"/>
    <x v="2"/>
  </r>
  <r>
    <x v="25"/>
    <x v="0"/>
    <n v="374226.47"/>
    <x v="2"/>
  </r>
  <r>
    <x v="0"/>
    <x v="0"/>
    <n v="24897"/>
    <x v="2"/>
  </r>
  <r>
    <x v="1"/>
    <x v="0"/>
    <n v="389832.46"/>
    <x v="2"/>
  </r>
  <r>
    <x v="2"/>
    <x v="0"/>
    <n v="154184.72"/>
    <x v="2"/>
  </r>
  <r>
    <x v="3"/>
    <x v="0"/>
    <n v="574"/>
    <x v="2"/>
  </r>
  <r>
    <x v="4"/>
    <x v="0"/>
    <n v="882"/>
    <x v="2"/>
  </r>
  <r>
    <x v="5"/>
    <x v="0"/>
    <n v="214316.87"/>
    <x v="2"/>
  </r>
  <r>
    <x v="6"/>
    <x v="0"/>
    <n v="739419.85"/>
    <x v="2"/>
  </r>
  <r>
    <x v="7"/>
    <x v="0"/>
    <n v="229940.46"/>
    <x v="2"/>
  </r>
  <r>
    <x v="8"/>
    <x v="0"/>
    <n v="327979.65000000002"/>
    <x v="2"/>
  </r>
  <r>
    <x v="9"/>
    <x v="0"/>
    <n v="692174.98"/>
    <x v="2"/>
  </r>
  <r>
    <x v="10"/>
    <x v="0"/>
    <n v="322383.5"/>
    <x v="2"/>
  </r>
  <r>
    <x v="11"/>
    <x v="0"/>
    <n v="199743"/>
    <x v="2"/>
  </r>
  <r>
    <x v="12"/>
    <x v="0"/>
    <n v="28518.95"/>
    <x v="2"/>
  </r>
  <r>
    <x v="26"/>
    <x v="0"/>
    <n v="12974.11"/>
    <x v="2"/>
  </r>
  <r>
    <x v="13"/>
    <x v="0"/>
    <n v="199740.11"/>
    <x v="2"/>
  </r>
  <r>
    <x v="14"/>
    <x v="0"/>
    <n v="130792.8"/>
    <x v="2"/>
  </r>
  <r>
    <x v="15"/>
    <x v="0"/>
    <n v="1096754.52"/>
    <x v="2"/>
  </r>
  <r>
    <x v="16"/>
    <x v="0"/>
    <n v="265962.78000000003"/>
    <x v="2"/>
  </r>
  <r>
    <x v="18"/>
    <x v="0"/>
    <n v="52635.55"/>
    <x v="2"/>
  </r>
  <r>
    <x v="19"/>
    <x v="0"/>
    <n v="48809.21"/>
    <x v="2"/>
  </r>
  <r>
    <x v="20"/>
    <x v="0"/>
    <n v="316717.17"/>
    <x v="2"/>
  </r>
  <r>
    <x v="21"/>
    <x v="0"/>
    <n v="684"/>
    <x v="2"/>
  </r>
  <r>
    <x v="22"/>
    <x v="0"/>
    <n v="2317.88"/>
    <x v="2"/>
  </r>
  <r>
    <x v="23"/>
    <x v="0"/>
    <n v="248612.95"/>
    <x v="2"/>
  </r>
  <r>
    <x v="24"/>
    <x v="0"/>
    <n v="927134.42"/>
    <x v="2"/>
  </r>
  <r>
    <x v="25"/>
    <x v="0"/>
    <n v="361287.12"/>
    <x v="2"/>
  </r>
  <r>
    <x v="0"/>
    <x v="0"/>
    <n v="10214.32"/>
    <x v="2"/>
  </r>
  <r>
    <x v="1"/>
    <x v="0"/>
    <n v="304899.40999999997"/>
    <x v="2"/>
  </r>
  <r>
    <x v="2"/>
    <x v="0"/>
    <n v="111885.33"/>
    <x v="2"/>
  </r>
  <r>
    <x v="3"/>
    <x v="0"/>
    <n v="574"/>
    <x v="2"/>
  </r>
  <r>
    <x v="4"/>
    <x v="0"/>
    <n v="1360"/>
    <x v="2"/>
  </r>
  <r>
    <x v="5"/>
    <x v="0"/>
    <n v="215178.19"/>
    <x v="2"/>
  </r>
  <r>
    <x v="6"/>
    <x v="0"/>
    <n v="672596.78"/>
    <x v="2"/>
  </r>
  <r>
    <x v="7"/>
    <x v="0"/>
    <n v="169210.64"/>
    <x v="2"/>
  </r>
  <r>
    <x v="8"/>
    <x v="0"/>
    <n v="279622.64"/>
    <x v="2"/>
  </r>
  <r>
    <x v="9"/>
    <x v="0"/>
    <n v="395763.93"/>
    <x v="2"/>
  </r>
  <r>
    <x v="10"/>
    <x v="0"/>
    <n v="236894.9"/>
    <x v="2"/>
  </r>
  <r>
    <x v="11"/>
    <x v="0"/>
    <n v="139069"/>
    <x v="2"/>
  </r>
  <r>
    <x v="12"/>
    <x v="0"/>
    <n v="18979.5"/>
    <x v="2"/>
  </r>
  <r>
    <x v="26"/>
    <x v="0"/>
    <n v="12540.29"/>
    <x v="2"/>
  </r>
  <r>
    <x v="13"/>
    <x v="0"/>
    <n v="144444.67000000001"/>
    <x v="2"/>
  </r>
  <r>
    <x v="14"/>
    <x v="0"/>
    <n v="101094.96"/>
    <x v="2"/>
  </r>
  <r>
    <x v="15"/>
    <x v="0"/>
    <n v="782201.48"/>
    <x v="2"/>
  </r>
  <r>
    <x v="16"/>
    <x v="0"/>
    <n v="178153.96"/>
    <x v="2"/>
  </r>
  <r>
    <x v="18"/>
    <x v="0"/>
    <n v="66224.160000000003"/>
    <x v="2"/>
  </r>
  <r>
    <x v="19"/>
    <x v="0"/>
    <n v="34254.839999999997"/>
    <x v="2"/>
  </r>
  <r>
    <x v="20"/>
    <x v="0"/>
    <n v="246525.62"/>
    <x v="2"/>
  </r>
  <r>
    <x v="21"/>
    <x v="0"/>
    <n v="456"/>
    <x v="2"/>
  </r>
  <r>
    <x v="22"/>
    <x v="0"/>
    <n v="2130.44"/>
    <x v="2"/>
  </r>
  <r>
    <x v="23"/>
    <x v="0"/>
    <n v="201296.48"/>
    <x v="2"/>
  </r>
  <r>
    <x v="24"/>
    <x v="0"/>
    <n v="460622.38"/>
    <x v="2"/>
  </r>
  <r>
    <x v="25"/>
    <x v="0"/>
    <n v="307305.5"/>
    <x v="2"/>
  </r>
  <r>
    <x v="0"/>
    <x v="0"/>
    <n v="15447.64"/>
    <x v="2"/>
  </r>
  <r>
    <x v="1"/>
    <x v="0"/>
    <n v="337064.5"/>
    <x v="2"/>
  </r>
  <r>
    <x v="2"/>
    <x v="0"/>
    <n v="95447.92"/>
    <x v="2"/>
  </r>
  <r>
    <x v="3"/>
    <x v="0"/>
    <n v="1722"/>
    <x v="2"/>
  </r>
  <r>
    <x v="4"/>
    <x v="0"/>
    <n v="294"/>
    <x v="2"/>
  </r>
  <r>
    <x v="5"/>
    <x v="0"/>
    <n v="155586.91"/>
    <x v="2"/>
  </r>
  <r>
    <x v="6"/>
    <x v="0"/>
    <n v="473476.18"/>
    <x v="2"/>
  </r>
  <r>
    <x v="7"/>
    <x v="0"/>
    <n v="131265.31"/>
    <x v="2"/>
  </r>
  <r>
    <x v="8"/>
    <x v="0"/>
    <n v="197925.54"/>
    <x v="2"/>
  </r>
  <r>
    <x v="9"/>
    <x v="0"/>
    <n v="341712.67"/>
    <x v="2"/>
  </r>
  <r>
    <x v="10"/>
    <x v="0"/>
    <n v="185177.60000000001"/>
    <x v="2"/>
  </r>
  <r>
    <x v="11"/>
    <x v="0"/>
    <n v="60940"/>
    <x v="2"/>
  </r>
  <r>
    <x v="12"/>
    <x v="0"/>
    <n v="22575.1"/>
    <x v="2"/>
  </r>
  <r>
    <x v="26"/>
    <x v="0"/>
    <n v="13706.26"/>
    <x v="2"/>
  </r>
  <r>
    <x v="13"/>
    <x v="0"/>
    <n v="101120.92"/>
    <x v="2"/>
  </r>
  <r>
    <x v="14"/>
    <x v="0"/>
    <n v="71179.149999999994"/>
    <x v="2"/>
  </r>
  <r>
    <x v="15"/>
    <x v="0"/>
    <n v="398198"/>
    <x v="2"/>
  </r>
  <r>
    <x v="16"/>
    <x v="0"/>
    <n v="89060.04"/>
    <x v="2"/>
  </r>
  <r>
    <x v="18"/>
    <x v="0"/>
    <n v="94779.85"/>
    <x v="2"/>
  </r>
  <r>
    <x v="19"/>
    <x v="0"/>
    <n v="38681.1"/>
    <x v="2"/>
  </r>
  <r>
    <x v="20"/>
    <x v="0"/>
    <n v="265252.11"/>
    <x v="2"/>
  </r>
  <r>
    <x v="21"/>
    <x v="0"/>
    <n v="304"/>
    <x v="2"/>
  </r>
  <r>
    <x v="22"/>
    <x v="0"/>
    <n v="1869.96"/>
    <x v="2"/>
  </r>
  <r>
    <x v="23"/>
    <x v="0"/>
    <n v="146562.5"/>
    <x v="2"/>
  </r>
  <r>
    <x v="24"/>
    <x v="0"/>
    <n v="301991.65999999997"/>
    <x v="2"/>
  </r>
  <r>
    <x v="25"/>
    <x v="0"/>
    <n v="224952.91"/>
    <x v="2"/>
  </r>
  <r>
    <x v="0"/>
    <x v="0"/>
    <n v="9112.61"/>
    <x v="2"/>
  </r>
  <r>
    <x v="1"/>
    <x v="0"/>
    <n v="167762.04"/>
    <x v="2"/>
  </r>
  <r>
    <x v="2"/>
    <x v="0"/>
    <n v="71428.070000000007"/>
    <x v="2"/>
  </r>
  <r>
    <x v="4"/>
    <x v="0"/>
    <n v="1133"/>
    <x v="2"/>
  </r>
  <r>
    <x v="5"/>
    <x v="0"/>
    <n v="147971.71"/>
    <x v="2"/>
  </r>
  <r>
    <x v="6"/>
    <x v="0"/>
    <n v="418794.03"/>
    <x v="2"/>
  </r>
  <r>
    <x v="7"/>
    <x v="0"/>
    <n v="100057.59"/>
    <x v="2"/>
  </r>
  <r>
    <x v="8"/>
    <x v="0"/>
    <n v="128091.16"/>
    <x v="2"/>
  </r>
  <r>
    <x v="9"/>
    <x v="0"/>
    <n v="194590.44"/>
    <x v="2"/>
  </r>
  <r>
    <x v="10"/>
    <x v="0"/>
    <n v="156488.20000000001"/>
    <x v="2"/>
  </r>
  <r>
    <x v="11"/>
    <x v="0"/>
    <n v="44541"/>
    <x v="2"/>
  </r>
  <r>
    <x v="12"/>
    <x v="0"/>
    <n v="15898.15"/>
    <x v="2"/>
  </r>
  <r>
    <x v="26"/>
    <x v="0"/>
    <n v="7195.59"/>
    <x v="2"/>
  </r>
  <r>
    <x v="13"/>
    <x v="0"/>
    <n v="70089.78"/>
    <x v="2"/>
  </r>
  <r>
    <x v="14"/>
    <x v="0"/>
    <n v="40096.94"/>
    <x v="2"/>
  </r>
  <r>
    <x v="15"/>
    <x v="0"/>
    <n v="297011"/>
    <x v="2"/>
  </r>
  <r>
    <x v="16"/>
    <x v="0"/>
    <n v="55841.94"/>
    <x v="2"/>
  </r>
  <r>
    <x v="18"/>
    <x v="0"/>
    <n v="59211.57"/>
    <x v="2"/>
  </r>
  <r>
    <x v="19"/>
    <x v="0"/>
    <n v="23950.21"/>
    <x v="2"/>
  </r>
  <r>
    <x v="20"/>
    <x v="0"/>
    <n v="160582.76"/>
    <x v="2"/>
  </r>
  <r>
    <x v="21"/>
    <x v="0"/>
    <n v="152"/>
    <x v="2"/>
  </r>
  <r>
    <x v="22"/>
    <x v="0"/>
    <n v="2746.36"/>
    <x v="2"/>
  </r>
  <r>
    <x v="23"/>
    <x v="0"/>
    <n v="141605.51999999999"/>
    <x v="2"/>
  </r>
  <r>
    <x v="24"/>
    <x v="0"/>
    <n v="264214.34000000003"/>
    <x v="2"/>
  </r>
  <r>
    <x v="25"/>
    <x v="0"/>
    <n v="239639.71"/>
    <x v="2"/>
  </r>
  <r>
    <x v="0"/>
    <x v="0"/>
    <n v="5222.3900000000003"/>
    <x v="2"/>
  </r>
  <r>
    <x v="1"/>
    <x v="0"/>
    <n v="117000.58"/>
    <x v="2"/>
  </r>
  <r>
    <x v="2"/>
    <x v="0"/>
    <n v="42278.8"/>
    <x v="2"/>
  </r>
  <r>
    <x v="3"/>
    <x v="0"/>
    <n v="574"/>
    <x v="2"/>
  </r>
  <r>
    <x v="4"/>
    <x v="0"/>
    <n v="294"/>
    <x v="2"/>
  </r>
  <r>
    <x v="5"/>
    <x v="0"/>
    <n v="106148.81"/>
    <x v="2"/>
  </r>
  <r>
    <x v="6"/>
    <x v="0"/>
    <n v="284752.14"/>
    <x v="2"/>
  </r>
  <r>
    <x v="7"/>
    <x v="0"/>
    <n v="59390.51"/>
    <x v="2"/>
  </r>
  <r>
    <x v="8"/>
    <x v="0"/>
    <n v="91749.57"/>
    <x v="2"/>
  </r>
  <r>
    <x v="9"/>
    <x v="0"/>
    <n v="99784.98"/>
    <x v="2"/>
  </r>
  <r>
    <x v="10"/>
    <x v="0"/>
    <n v="110261.3"/>
    <x v="2"/>
  </r>
  <r>
    <x v="11"/>
    <x v="0"/>
    <n v="64107"/>
    <x v="2"/>
  </r>
  <r>
    <x v="12"/>
    <x v="0"/>
    <n v="9937.2999999999993"/>
    <x v="2"/>
  </r>
  <r>
    <x v="26"/>
    <x v="0"/>
    <n v="3064.97"/>
    <x v="2"/>
  </r>
  <r>
    <x v="13"/>
    <x v="0"/>
    <n v="63400.62"/>
    <x v="2"/>
  </r>
  <r>
    <x v="14"/>
    <x v="0"/>
    <n v="33682.019999999997"/>
    <x v="2"/>
  </r>
  <r>
    <x v="15"/>
    <x v="0"/>
    <n v="215152"/>
    <x v="2"/>
  </r>
  <r>
    <x v="16"/>
    <x v="0"/>
    <n v="44241.54"/>
    <x v="2"/>
  </r>
  <r>
    <x v="18"/>
    <x v="0"/>
    <n v="25275.24"/>
    <x v="2"/>
  </r>
  <r>
    <x v="19"/>
    <x v="0"/>
    <n v="11922.72"/>
    <x v="2"/>
  </r>
  <r>
    <x v="20"/>
    <x v="0"/>
    <n v="114107.81"/>
    <x v="2"/>
  </r>
  <r>
    <x v="21"/>
    <x v="0"/>
    <n v="684"/>
    <x v="2"/>
  </r>
  <r>
    <x v="22"/>
    <x v="0"/>
    <n v="592.44000000000005"/>
    <x v="2"/>
  </r>
  <r>
    <x v="23"/>
    <x v="0"/>
    <n v="166177.63"/>
    <x v="2"/>
  </r>
  <r>
    <x v="24"/>
    <x v="0"/>
    <n v="178734.04"/>
    <x v="2"/>
  </r>
  <r>
    <x v="25"/>
    <x v="0"/>
    <n v="166528.69"/>
    <x v="2"/>
  </r>
  <r>
    <x v="0"/>
    <x v="0"/>
    <n v="2928"/>
    <x v="2"/>
  </r>
  <r>
    <x v="1"/>
    <x v="0"/>
    <n v="137716.23000000001"/>
    <x v="2"/>
  </r>
  <r>
    <x v="2"/>
    <x v="0"/>
    <n v="50651.15"/>
    <x v="2"/>
  </r>
  <r>
    <x v="3"/>
    <x v="0"/>
    <n v="574"/>
    <x v="2"/>
  </r>
  <r>
    <x v="4"/>
    <x v="0"/>
    <n v="477.87"/>
    <x v="2"/>
  </r>
  <r>
    <x v="5"/>
    <x v="0"/>
    <n v="119132.73"/>
    <x v="2"/>
  </r>
  <r>
    <x v="6"/>
    <x v="0"/>
    <n v="343285.08"/>
    <x v="2"/>
  </r>
  <r>
    <x v="7"/>
    <x v="0"/>
    <n v="65553.039999999994"/>
    <x v="2"/>
  </r>
  <r>
    <x v="8"/>
    <x v="0"/>
    <n v="104763.61"/>
    <x v="2"/>
  </r>
  <r>
    <x v="9"/>
    <x v="0"/>
    <n v="124503.99"/>
    <x v="2"/>
  </r>
  <r>
    <x v="10"/>
    <x v="0"/>
    <n v="129473.2"/>
    <x v="2"/>
  </r>
  <r>
    <x v="11"/>
    <x v="0"/>
    <n v="65195"/>
    <x v="2"/>
  </r>
  <r>
    <x v="12"/>
    <x v="0"/>
    <n v="13276.8"/>
    <x v="2"/>
  </r>
  <r>
    <x v="26"/>
    <x v="0"/>
    <n v="4626.28"/>
    <x v="2"/>
  </r>
  <r>
    <x v="13"/>
    <x v="0"/>
    <n v="81166.789999999994"/>
    <x v="2"/>
  </r>
  <r>
    <x v="14"/>
    <x v="0"/>
    <n v="93758.22"/>
    <x v="2"/>
  </r>
  <r>
    <x v="15"/>
    <x v="0"/>
    <n v="306728"/>
    <x v="2"/>
  </r>
  <r>
    <x v="16"/>
    <x v="0"/>
    <n v="41119.040000000001"/>
    <x v="2"/>
  </r>
  <r>
    <x v="18"/>
    <x v="0"/>
    <n v="19074.63"/>
    <x v="2"/>
  </r>
  <r>
    <x v="19"/>
    <x v="0"/>
    <n v="11408.78"/>
    <x v="2"/>
  </r>
  <r>
    <x v="20"/>
    <x v="0"/>
    <n v="138794.01999999999"/>
    <x v="2"/>
  </r>
  <r>
    <x v="21"/>
    <x v="0"/>
    <n v="228"/>
    <x v="2"/>
  </r>
  <r>
    <x v="22"/>
    <x v="0"/>
    <n v="911.52"/>
    <x v="2"/>
  </r>
  <r>
    <x v="23"/>
    <x v="0"/>
    <n v="66046.39"/>
    <x v="2"/>
  </r>
  <r>
    <x v="24"/>
    <x v="0"/>
    <n v="115470.76"/>
    <x v="2"/>
  </r>
  <r>
    <x v="25"/>
    <x v="0"/>
    <n v="88909.81"/>
    <x v="2"/>
  </r>
  <r>
    <x v="0"/>
    <x v="0"/>
    <n v="4526.8100000000004"/>
    <x v="2"/>
  </r>
  <r>
    <x v="1"/>
    <x v="0"/>
    <n v="140070.71"/>
    <x v="2"/>
  </r>
  <r>
    <x v="2"/>
    <x v="0"/>
    <n v="68876.210000000006"/>
    <x v="2"/>
  </r>
  <r>
    <x v="4"/>
    <x v="0"/>
    <n v="294"/>
    <x v="2"/>
  </r>
  <r>
    <x v="5"/>
    <x v="0"/>
    <n v="129697.15"/>
    <x v="2"/>
  </r>
  <r>
    <x v="6"/>
    <x v="0"/>
    <n v="350496.07"/>
    <x v="2"/>
  </r>
  <r>
    <x v="7"/>
    <x v="0"/>
    <n v="81288.97"/>
    <x v="2"/>
  </r>
  <r>
    <x v="8"/>
    <x v="0"/>
    <n v="130995.29"/>
    <x v="2"/>
  </r>
  <r>
    <x v="9"/>
    <x v="0"/>
    <n v="250530.14"/>
    <x v="2"/>
  </r>
  <r>
    <x v="10"/>
    <x v="0"/>
    <n v="172090.9"/>
    <x v="2"/>
  </r>
  <r>
    <x v="11"/>
    <x v="0"/>
    <n v="90523"/>
    <x v="2"/>
  </r>
  <r>
    <x v="12"/>
    <x v="0"/>
    <n v="20202.25"/>
    <x v="2"/>
  </r>
  <r>
    <x v="26"/>
    <x v="0"/>
    <n v="4704.3100000000004"/>
    <x v="2"/>
  </r>
  <r>
    <x v="13"/>
    <x v="0"/>
    <n v="127603.89"/>
    <x v="2"/>
  </r>
  <r>
    <x v="14"/>
    <x v="0"/>
    <n v="77985.8"/>
    <x v="2"/>
  </r>
  <r>
    <x v="15"/>
    <x v="0"/>
    <n v="425814.33"/>
    <x v="2"/>
  </r>
  <r>
    <x v="16"/>
    <x v="0"/>
    <n v="32772"/>
    <x v="2"/>
  </r>
  <r>
    <x v="18"/>
    <x v="0"/>
    <n v="18544.38"/>
    <x v="2"/>
  </r>
  <r>
    <x v="19"/>
    <x v="0"/>
    <n v="17158.63"/>
    <x v="2"/>
  </r>
  <r>
    <x v="20"/>
    <x v="0"/>
    <n v="170795.49"/>
    <x v="2"/>
  </r>
  <r>
    <x v="21"/>
    <x v="0"/>
    <n v="912"/>
    <x v="2"/>
  </r>
  <r>
    <x v="22"/>
    <x v="0"/>
    <n v="3738.6"/>
    <x v="2"/>
  </r>
  <r>
    <x v="23"/>
    <x v="0"/>
    <n v="97172.35"/>
    <x v="2"/>
  </r>
  <r>
    <x v="24"/>
    <x v="0"/>
    <n v="214333.51"/>
    <x v="2"/>
  </r>
  <r>
    <x v="25"/>
    <x v="0"/>
    <n v="160725.66"/>
    <x v="2"/>
  </r>
  <r>
    <x v="0"/>
    <x v="0"/>
    <n v="16224.33"/>
    <x v="2"/>
  </r>
  <r>
    <x v="1"/>
    <x v="0"/>
    <n v="208006.71"/>
    <x v="2"/>
  </r>
  <r>
    <x v="2"/>
    <x v="0"/>
    <n v="74514.259999999995"/>
    <x v="2"/>
  </r>
  <r>
    <x v="5"/>
    <x v="0"/>
    <n v="168504.7"/>
    <x v="2"/>
  </r>
  <r>
    <x v="6"/>
    <x v="0"/>
    <n v="440986.97"/>
    <x v="2"/>
  </r>
  <r>
    <x v="7"/>
    <x v="0"/>
    <n v="114898.79"/>
    <x v="2"/>
  </r>
  <r>
    <x v="8"/>
    <x v="0"/>
    <n v="169091.51"/>
    <x v="2"/>
  </r>
  <r>
    <x v="9"/>
    <x v="0"/>
    <n v="292527.27"/>
    <x v="2"/>
  </r>
  <r>
    <x v="10"/>
    <x v="0"/>
    <n v="156130"/>
    <x v="2"/>
  </r>
  <r>
    <x v="11"/>
    <x v="0"/>
    <n v="95905"/>
    <x v="2"/>
  </r>
  <r>
    <x v="12"/>
    <x v="0"/>
    <n v="14602.6"/>
    <x v="2"/>
  </r>
  <r>
    <x v="26"/>
    <x v="0"/>
    <n v="7520.42"/>
    <x v="2"/>
  </r>
  <r>
    <x v="13"/>
    <x v="0"/>
    <n v="182190.47"/>
    <x v="2"/>
  </r>
  <r>
    <x v="14"/>
    <x v="0"/>
    <n v="83061.3"/>
    <x v="2"/>
  </r>
  <r>
    <x v="15"/>
    <x v="0"/>
    <n v="786333.33"/>
    <x v="2"/>
  </r>
  <r>
    <x v="16"/>
    <x v="0"/>
    <n v="150503.64000000001"/>
    <x v="2"/>
  </r>
  <r>
    <x v="18"/>
    <x v="0"/>
    <n v="35801.870000000003"/>
    <x v="2"/>
  </r>
  <r>
    <x v="19"/>
    <x v="0"/>
    <n v="27532.82"/>
    <x v="2"/>
  </r>
  <r>
    <x v="20"/>
    <x v="0"/>
    <n v="218498.71"/>
    <x v="2"/>
  </r>
  <r>
    <x v="21"/>
    <x v="0"/>
    <n v="1140"/>
    <x v="2"/>
  </r>
  <r>
    <x v="22"/>
    <x v="0"/>
    <n v="3389.64"/>
    <x v="2"/>
  </r>
  <r>
    <x v="23"/>
    <x v="0"/>
    <n v="208337.41"/>
    <x v="2"/>
  </r>
  <r>
    <x v="24"/>
    <x v="0"/>
    <n v="597412.34"/>
    <x v="2"/>
  </r>
  <r>
    <x v="25"/>
    <x v="0"/>
    <n v="309462.15999999997"/>
    <x v="2"/>
  </r>
  <r>
    <x v="0"/>
    <x v="0"/>
    <n v="9646.76"/>
    <x v="2"/>
  </r>
  <r>
    <x v="1"/>
    <x v="0"/>
    <n v="145687.39000000001"/>
    <x v="2"/>
  </r>
  <r>
    <x v="2"/>
    <x v="0"/>
    <n v="68075.740000000005"/>
    <x v="2"/>
  </r>
  <r>
    <x v="3"/>
    <x v="0"/>
    <n v="574"/>
    <x v="2"/>
  </r>
  <r>
    <x v="5"/>
    <x v="0"/>
    <n v="160876.79"/>
    <x v="2"/>
  </r>
  <r>
    <x v="6"/>
    <x v="0"/>
    <n v="455922.34"/>
    <x v="2"/>
  </r>
  <r>
    <x v="7"/>
    <x v="0"/>
    <n v="93573.19"/>
    <x v="2"/>
  </r>
  <r>
    <x v="8"/>
    <x v="0"/>
    <n v="183156.69"/>
    <x v="2"/>
  </r>
  <r>
    <x v="9"/>
    <x v="0"/>
    <n v="152786.32"/>
    <x v="2"/>
  </r>
  <r>
    <x v="10"/>
    <x v="0"/>
    <n v="132399.70000000001"/>
    <x v="2"/>
  </r>
  <r>
    <x v="11"/>
    <x v="0"/>
    <n v="84607"/>
    <x v="2"/>
  </r>
  <r>
    <x v="12"/>
    <x v="0"/>
    <n v="14229.35"/>
    <x v="2"/>
  </r>
  <r>
    <x v="26"/>
    <x v="0"/>
    <n v="4289.3100000000004"/>
    <x v="2"/>
  </r>
  <r>
    <x v="13"/>
    <x v="0"/>
    <n v="136164.48000000001"/>
    <x v="2"/>
  </r>
  <r>
    <x v="14"/>
    <x v="0"/>
    <n v="58171.25"/>
    <x v="2"/>
  </r>
  <r>
    <x v="15"/>
    <x v="0"/>
    <n v="613454"/>
    <x v="2"/>
  </r>
  <r>
    <x v="16"/>
    <x v="0"/>
    <n v="130564.16"/>
    <x v="2"/>
  </r>
  <r>
    <x v="18"/>
    <x v="0"/>
    <n v="27264.880000000001"/>
    <x v="2"/>
  </r>
  <r>
    <x v="19"/>
    <x v="0"/>
    <n v="17352.62"/>
    <x v="2"/>
  </r>
  <r>
    <x v="20"/>
    <x v="0"/>
    <n v="190074.26"/>
    <x v="2"/>
  </r>
  <r>
    <x v="21"/>
    <x v="0"/>
    <n v="532"/>
    <x v="2"/>
  </r>
  <r>
    <x v="22"/>
    <x v="0"/>
    <n v="3703.8"/>
    <x v="2"/>
  </r>
  <r>
    <x v="23"/>
    <x v="0"/>
    <n v="175415.59"/>
    <x v="2"/>
  </r>
  <r>
    <x v="24"/>
    <x v="0"/>
    <n v="291568.51"/>
    <x v="2"/>
  </r>
  <r>
    <x v="25"/>
    <x v="0"/>
    <n v="190436.05"/>
    <x v="2"/>
  </r>
  <r>
    <x v="0"/>
    <x v="0"/>
    <n v="7441.66"/>
    <x v="2"/>
  </r>
  <r>
    <x v="1"/>
    <x v="0"/>
    <n v="121902.42"/>
    <x v="2"/>
  </r>
  <r>
    <x v="2"/>
    <x v="0"/>
    <n v="53262.2"/>
    <x v="2"/>
  </r>
  <r>
    <x v="3"/>
    <x v="0"/>
    <n v="574"/>
    <x v="2"/>
  </r>
  <r>
    <x v="4"/>
    <x v="0"/>
    <n v="1022.87"/>
    <x v="2"/>
  </r>
  <r>
    <x v="5"/>
    <x v="0"/>
    <n v="101650.69"/>
    <x v="2"/>
  </r>
  <r>
    <x v="6"/>
    <x v="0"/>
    <n v="354651.88"/>
    <x v="2"/>
  </r>
  <r>
    <x v="7"/>
    <x v="0"/>
    <n v="72168.53"/>
    <x v="2"/>
  </r>
  <r>
    <x v="8"/>
    <x v="0"/>
    <n v="148478.66"/>
    <x v="2"/>
  </r>
  <r>
    <x v="9"/>
    <x v="0"/>
    <n v="138232.5"/>
    <x v="2"/>
  </r>
  <r>
    <x v="10"/>
    <x v="0"/>
    <n v="104956.5"/>
    <x v="2"/>
  </r>
  <r>
    <x v="11"/>
    <x v="0"/>
    <n v="46461"/>
    <x v="2"/>
  </r>
  <r>
    <x v="12"/>
    <x v="0"/>
    <n v="16105.05"/>
    <x v="2"/>
  </r>
  <r>
    <x v="26"/>
    <x v="0"/>
    <n v="963.7"/>
    <x v="2"/>
  </r>
  <r>
    <x v="13"/>
    <x v="0"/>
    <n v="92362.77"/>
    <x v="2"/>
  </r>
  <r>
    <x v="14"/>
    <x v="0"/>
    <n v="21260.43"/>
    <x v="2"/>
  </r>
  <r>
    <x v="15"/>
    <x v="0"/>
    <n v="305723.67"/>
    <x v="2"/>
  </r>
  <r>
    <x v="16"/>
    <x v="0"/>
    <n v="86269.18"/>
    <x v="2"/>
  </r>
  <r>
    <x v="18"/>
    <x v="0"/>
    <n v="15310.7"/>
    <x v="2"/>
  </r>
  <r>
    <x v="19"/>
    <x v="0"/>
    <n v="13742.93"/>
    <x v="2"/>
  </r>
  <r>
    <x v="20"/>
    <x v="0"/>
    <n v="149589.88"/>
    <x v="2"/>
  </r>
  <r>
    <x v="21"/>
    <x v="0"/>
    <n v="228"/>
    <x v="2"/>
  </r>
  <r>
    <x v="22"/>
    <x v="0"/>
    <n v="972.24"/>
    <x v="2"/>
  </r>
  <r>
    <x v="23"/>
    <x v="0"/>
    <n v="92201.91"/>
    <x v="2"/>
  </r>
  <r>
    <x v="24"/>
    <x v="0"/>
    <n v="181419.78"/>
    <x v="2"/>
  </r>
  <r>
    <x v="25"/>
    <x v="0"/>
    <n v="105569.68"/>
    <x v="2"/>
  </r>
  <r>
    <x v="0"/>
    <x v="0"/>
    <n v="6448.55"/>
    <x v="2"/>
  </r>
  <r>
    <x v="1"/>
    <x v="0"/>
    <n v="137371.38"/>
    <x v="2"/>
  </r>
  <r>
    <x v="2"/>
    <x v="0"/>
    <n v="52893.5"/>
    <x v="2"/>
  </r>
  <r>
    <x v="5"/>
    <x v="0"/>
    <n v="109067.71"/>
    <x v="2"/>
  </r>
  <r>
    <x v="6"/>
    <x v="0"/>
    <n v="343374.17"/>
    <x v="2"/>
  </r>
  <r>
    <x v="7"/>
    <x v="0"/>
    <n v="72029.899999999994"/>
    <x v="2"/>
  </r>
  <r>
    <x v="8"/>
    <x v="0"/>
    <n v="124509.98"/>
    <x v="2"/>
  </r>
  <r>
    <x v="9"/>
    <x v="0"/>
    <n v="126883"/>
    <x v="2"/>
  </r>
  <r>
    <x v="10"/>
    <x v="0"/>
    <n v="112502"/>
    <x v="2"/>
  </r>
  <r>
    <x v="11"/>
    <x v="0"/>
    <n v="81333"/>
    <x v="2"/>
  </r>
  <r>
    <x v="12"/>
    <x v="0"/>
    <n v="18174.55"/>
    <x v="2"/>
  </r>
  <r>
    <x v="26"/>
    <x v="0"/>
    <n v="4380.6099999999997"/>
    <x v="2"/>
  </r>
  <r>
    <x v="13"/>
    <x v="0"/>
    <n v="84096.89"/>
    <x v="2"/>
  </r>
  <r>
    <x v="14"/>
    <x v="0"/>
    <n v="64389.24"/>
    <x v="2"/>
  </r>
  <r>
    <x v="15"/>
    <x v="0"/>
    <n v="544316.84"/>
    <x v="2"/>
  </r>
  <r>
    <x v="16"/>
    <x v="0"/>
    <n v="110989.08"/>
    <x v="2"/>
  </r>
  <r>
    <x v="18"/>
    <x v="0"/>
    <n v="22063.53"/>
    <x v="2"/>
  </r>
  <r>
    <x v="19"/>
    <x v="0"/>
    <n v="12114.34"/>
    <x v="2"/>
  </r>
  <r>
    <x v="20"/>
    <x v="0"/>
    <n v="168549.7"/>
    <x v="2"/>
  </r>
  <r>
    <x v="22"/>
    <x v="0"/>
    <n v="3277.64"/>
    <x v="2"/>
  </r>
  <r>
    <x v="23"/>
    <x v="0"/>
    <n v="115413.29"/>
    <x v="2"/>
  </r>
  <r>
    <x v="24"/>
    <x v="0"/>
    <n v="221133.51"/>
    <x v="2"/>
  </r>
  <r>
    <x v="25"/>
    <x v="0"/>
    <n v="153078.17000000001"/>
    <x v="2"/>
  </r>
  <r>
    <x v="0"/>
    <x v="0"/>
    <n v="6722.77"/>
    <x v="2"/>
  </r>
  <r>
    <x v="1"/>
    <x v="0"/>
    <n v="183118.66"/>
    <x v="2"/>
  </r>
  <r>
    <x v="2"/>
    <x v="0"/>
    <n v="54024.49"/>
    <x v="2"/>
  </r>
  <r>
    <x v="3"/>
    <x v="0"/>
    <n v="574"/>
    <x v="2"/>
  </r>
  <r>
    <x v="5"/>
    <x v="0"/>
    <n v="118701.71"/>
    <x v="2"/>
  </r>
  <r>
    <x v="6"/>
    <x v="0"/>
    <n v="307054.33"/>
    <x v="2"/>
  </r>
  <r>
    <x v="7"/>
    <x v="0"/>
    <n v="95669.08"/>
    <x v="2"/>
  </r>
  <r>
    <x v="8"/>
    <x v="0"/>
    <n v="129484.42"/>
    <x v="2"/>
  </r>
  <r>
    <x v="9"/>
    <x v="0"/>
    <n v="178432.62"/>
    <x v="2"/>
  </r>
  <r>
    <x v="10"/>
    <x v="0"/>
    <n v="117621.7"/>
    <x v="2"/>
  </r>
  <r>
    <x v="11"/>
    <x v="0"/>
    <n v="60029"/>
    <x v="2"/>
  </r>
  <r>
    <x v="12"/>
    <x v="0"/>
    <n v="16419.75"/>
    <x v="2"/>
  </r>
  <r>
    <x v="26"/>
    <x v="0"/>
    <n v="3275.07"/>
    <x v="2"/>
  </r>
  <r>
    <x v="13"/>
    <x v="0"/>
    <n v="96080.46"/>
    <x v="2"/>
  </r>
  <r>
    <x v="14"/>
    <x v="0"/>
    <n v="75947.95"/>
    <x v="2"/>
  </r>
  <r>
    <x v="15"/>
    <x v="0"/>
    <n v="591464.65"/>
    <x v="2"/>
  </r>
  <r>
    <x v="16"/>
    <x v="0"/>
    <n v="119008.66"/>
    <x v="2"/>
  </r>
  <r>
    <x v="18"/>
    <x v="0"/>
    <n v="23259.03"/>
    <x v="2"/>
  </r>
  <r>
    <x v="19"/>
    <x v="0"/>
    <n v="13856.71"/>
    <x v="2"/>
  </r>
  <r>
    <x v="20"/>
    <x v="0"/>
    <n v="175636.83"/>
    <x v="2"/>
  </r>
  <r>
    <x v="21"/>
    <x v="0"/>
    <n v="1596"/>
    <x v="2"/>
  </r>
  <r>
    <x v="22"/>
    <x v="0"/>
    <n v="1508"/>
    <x v="2"/>
  </r>
  <r>
    <x v="23"/>
    <x v="0"/>
    <n v="108895.03"/>
    <x v="2"/>
  </r>
  <r>
    <x v="24"/>
    <x v="0"/>
    <n v="216664.89"/>
    <x v="2"/>
  </r>
  <r>
    <x v="25"/>
    <x v="0"/>
    <n v="199711.9"/>
    <x v="2"/>
  </r>
  <r>
    <x v="0"/>
    <x v="0"/>
    <n v="7080.82"/>
    <x v="2"/>
  </r>
  <r>
    <x v="1"/>
    <x v="0"/>
    <n v="162929.91"/>
    <x v="2"/>
  </r>
  <r>
    <x v="2"/>
    <x v="0"/>
    <n v="69133.3"/>
    <x v="2"/>
  </r>
  <r>
    <x v="3"/>
    <x v="0"/>
    <n v="574"/>
    <x v="2"/>
  </r>
  <r>
    <x v="4"/>
    <x v="0"/>
    <n v="8495"/>
    <x v="2"/>
  </r>
  <r>
    <x v="5"/>
    <x v="0"/>
    <n v="139823.18"/>
    <x v="2"/>
  </r>
  <r>
    <x v="6"/>
    <x v="0"/>
    <n v="343629.81"/>
    <x v="2"/>
  </r>
  <r>
    <x v="7"/>
    <x v="0"/>
    <n v="87230.93"/>
    <x v="2"/>
  </r>
  <r>
    <x v="8"/>
    <x v="0"/>
    <n v="177841.07"/>
    <x v="2"/>
  </r>
  <r>
    <x v="9"/>
    <x v="0"/>
    <n v="245184.68"/>
    <x v="2"/>
  </r>
  <r>
    <x v="10"/>
    <x v="0"/>
    <n v="139155.4"/>
    <x v="2"/>
  </r>
  <r>
    <x v="11"/>
    <x v="0"/>
    <n v="73546"/>
    <x v="2"/>
  </r>
  <r>
    <x v="12"/>
    <x v="0"/>
    <n v="12911.35"/>
    <x v="2"/>
  </r>
  <r>
    <x v="26"/>
    <x v="0"/>
    <n v="3925.82"/>
    <x v="2"/>
  </r>
  <r>
    <x v="13"/>
    <x v="0"/>
    <n v="84558.04"/>
    <x v="2"/>
  </r>
  <r>
    <x v="14"/>
    <x v="0"/>
    <n v="68947.61"/>
    <x v="2"/>
  </r>
  <r>
    <x v="15"/>
    <x v="0"/>
    <n v="464809.96"/>
    <x v="2"/>
  </r>
  <r>
    <x v="16"/>
    <x v="0"/>
    <n v="112379.7"/>
    <x v="2"/>
  </r>
  <r>
    <x v="18"/>
    <x v="0"/>
    <n v="15832.3"/>
    <x v="2"/>
  </r>
  <r>
    <x v="19"/>
    <x v="0"/>
    <n v="18298.8"/>
    <x v="2"/>
  </r>
  <r>
    <x v="20"/>
    <x v="0"/>
    <n v="166103.32999999999"/>
    <x v="2"/>
  </r>
  <r>
    <x v="22"/>
    <x v="0"/>
    <n v="3861"/>
    <x v="2"/>
  </r>
  <r>
    <x v="23"/>
    <x v="0"/>
    <n v="123890.88"/>
    <x v="2"/>
  </r>
  <r>
    <x v="24"/>
    <x v="0"/>
    <n v="234272.55"/>
    <x v="2"/>
  </r>
  <r>
    <x v="25"/>
    <x v="0"/>
    <n v="228798.36"/>
    <x v="2"/>
  </r>
  <r>
    <x v="0"/>
    <x v="0"/>
    <n v="9147.69"/>
    <x v="2"/>
  </r>
  <r>
    <x v="1"/>
    <x v="0"/>
    <n v="205941.81"/>
    <x v="2"/>
  </r>
  <r>
    <x v="2"/>
    <x v="0"/>
    <n v="77725.61"/>
    <x v="2"/>
  </r>
  <r>
    <x v="3"/>
    <x v="0"/>
    <n v="1722"/>
    <x v="2"/>
  </r>
  <r>
    <x v="5"/>
    <x v="0"/>
    <n v="134268.73000000001"/>
    <x v="2"/>
  </r>
  <r>
    <x v="6"/>
    <x v="0"/>
    <n v="312829.07"/>
    <x v="2"/>
  </r>
  <r>
    <x v="7"/>
    <x v="0"/>
    <n v="112710.79"/>
    <x v="2"/>
  </r>
  <r>
    <x v="8"/>
    <x v="0"/>
    <n v="194274.74"/>
    <x v="2"/>
  </r>
  <r>
    <x v="9"/>
    <x v="0"/>
    <n v="370150.92"/>
    <x v="2"/>
  </r>
  <r>
    <x v="10"/>
    <x v="0"/>
    <n v="188596"/>
    <x v="2"/>
  </r>
  <r>
    <x v="11"/>
    <x v="0"/>
    <n v="93542"/>
    <x v="2"/>
  </r>
  <r>
    <x v="12"/>
    <x v="0"/>
    <n v="12598.05"/>
    <x v="2"/>
  </r>
  <r>
    <x v="26"/>
    <x v="0"/>
    <n v="2926.16"/>
    <x v="2"/>
  </r>
  <r>
    <x v="13"/>
    <x v="0"/>
    <n v="96652.56"/>
    <x v="2"/>
  </r>
  <r>
    <x v="14"/>
    <x v="0"/>
    <n v="74602.899999999994"/>
    <x v="2"/>
  </r>
  <r>
    <x v="15"/>
    <x v="0"/>
    <n v="529893.30000000005"/>
    <x v="2"/>
  </r>
  <r>
    <x v="16"/>
    <x v="0"/>
    <n v="85314.82"/>
    <x v="2"/>
  </r>
  <r>
    <x v="18"/>
    <x v="0"/>
    <n v="20807.560000000001"/>
    <x v="2"/>
  </r>
  <r>
    <x v="19"/>
    <x v="0"/>
    <n v="20164.900000000001"/>
    <x v="2"/>
  </r>
  <r>
    <x v="20"/>
    <x v="0"/>
    <n v="295484.68"/>
    <x v="2"/>
  </r>
  <r>
    <x v="21"/>
    <x v="0"/>
    <n v="76"/>
    <x v="2"/>
  </r>
  <r>
    <x v="22"/>
    <x v="0"/>
    <n v="2369.4"/>
    <x v="2"/>
  </r>
  <r>
    <x v="23"/>
    <x v="0"/>
    <n v="183221.02"/>
    <x v="2"/>
  </r>
  <r>
    <x v="24"/>
    <x v="0"/>
    <n v="307740.56"/>
    <x v="2"/>
  </r>
  <r>
    <x v="25"/>
    <x v="0"/>
    <n v="245151.5"/>
    <x v="2"/>
  </r>
  <r>
    <x v="0"/>
    <x v="0"/>
    <n v="10717.64"/>
    <x v="2"/>
  </r>
  <r>
    <x v="1"/>
    <x v="0"/>
    <n v="295919.31"/>
    <x v="2"/>
  </r>
  <r>
    <x v="2"/>
    <x v="0"/>
    <n v="77923.8"/>
    <x v="2"/>
  </r>
  <r>
    <x v="3"/>
    <x v="0"/>
    <n v="574"/>
    <x v="2"/>
  </r>
  <r>
    <x v="5"/>
    <x v="0"/>
    <n v="140803.76999999999"/>
    <x v="2"/>
  </r>
  <r>
    <x v="6"/>
    <x v="0"/>
    <n v="295129.51"/>
    <x v="2"/>
  </r>
  <r>
    <x v="7"/>
    <x v="0"/>
    <n v="124297.2"/>
    <x v="2"/>
  </r>
  <r>
    <x v="8"/>
    <x v="0"/>
    <n v="214850.22"/>
    <x v="2"/>
  </r>
  <r>
    <x v="9"/>
    <x v="0"/>
    <n v="445247.67"/>
    <x v="2"/>
  </r>
  <r>
    <x v="10"/>
    <x v="0"/>
    <n v="266565.8"/>
    <x v="2"/>
  </r>
  <r>
    <x v="11"/>
    <x v="0"/>
    <n v="146704"/>
    <x v="2"/>
  </r>
  <r>
    <x v="12"/>
    <x v="0"/>
    <n v="35419.1"/>
    <x v="2"/>
  </r>
  <r>
    <x v="26"/>
    <x v="0"/>
    <n v="2301.17"/>
    <x v="2"/>
  </r>
  <r>
    <x v="13"/>
    <x v="0"/>
    <n v="107763.85"/>
    <x v="2"/>
  </r>
  <r>
    <x v="14"/>
    <x v="0"/>
    <n v="57865.52"/>
    <x v="2"/>
  </r>
  <r>
    <x v="15"/>
    <x v="0"/>
    <n v="886050.28"/>
    <x v="2"/>
  </r>
  <r>
    <x v="16"/>
    <x v="0"/>
    <n v="174710.98"/>
    <x v="2"/>
  </r>
  <r>
    <x v="18"/>
    <x v="0"/>
    <n v="83963.85"/>
    <x v="2"/>
  </r>
  <r>
    <x v="19"/>
    <x v="0"/>
    <n v="44481.03"/>
    <x v="2"/>
  </r>
  <r>
    <x v="20"/>
    <x v="0"/>
    <n v="361931.59"/>
    <x v="2"/>
  </r>
  <r>
    <x v="21"/>
    <x v="0"/>
    <n v="152"/>
    <x v="2"/>
  </r>
  <r>
    <x v="22"/>
    <x v="0"/>
    <n v="3912.88"/>
    <x v="2"/>
  </r>
  <r>
    <x v="23"/>
    <x v="0"/>
    <n v="186250.01"/>
    <x v="2"/>
  </r>
  <r>
    <x v="24"/>
    <x v="0"/>
    <n v="353111.23"/>
    <x v="2"/>
  </r>
  <r>
    <x v="25"/>
    <x v="0"/>
    <n v="358758.89"/>
    <x v="2"/>
  </r>
  <r>
    <x v="0"/>
    <x v="0"/>
    <n v="6320.81"/>
    <x v="2"/>
  </r>
  <r>
    <x v="1"/>
    <x v="0"/>
    <n v="171666.23"/>
    <x v="2"/>
  </r>
  <r>
    <x v="2"/>
    <x v="0"/>
    <n v="28800.06"/>
    <x v="2"/>
  </r>
  <r>
    <x v="4"/>
    <x v="0"/>
    <n v="973"/>
    <x v="2"/>
  </r>
  <r>
    <x v="5"/>
    <x v="0"/>
    <n v="109795.99"/>
    <x v="2"/>
  </r>
  <r>
    <x v="6"/>
    <x v="0"/>
    <n v="218298.51"/>
    <x v="2"/>
  </r>
  <r>
    <x v="7"/>
    <x v="0"/>
    <n v="71897.91"/>
    <x v="2"/>
  </r>
  <r>
    <x v="8"/>
    <x v="0"/>
    <n v="154174.85999999999"/>
    <x v="2"/>
  </r>
  <r>
    <x v="9"/>
    <x v="0"/>
    <n v="173929.28"/>
    <x v="2"/>
  </r>
  <r>
    <x v="10"/>
    <x v="0"/>
    <n v="152681.29999999999"/>
    <x v="2"/>
  </r>
  <r>
    <x v="11"/>
    <x v="0"/>
    <n v="69224"/>
    <x v="2"/>
  </r>
  <r>
    <x v="12"/>
    <x v="0"/>
    <n v="7477.25"/>
    <x v="2"/>
  </r>
  <r>
    <x v="26"/>
    <x v="0"/>
    <n v="2084.44"/>
    <x v="2"/>
  </r>
  <r>
    <x v="13"/>
    <x v="0"/>
    <n v="47249.01"/>
    <x v="2"/>
  </r>
  <r>
    <x v="14"/>
    <x v="0"/>
    <n v="33462.26"/>
    <x v="2"/>
  </r>
  <r>
    <x v="15"/>
    <x v="0"/>
    <n v="370941.91"/>
    <x v="2"/>
  </r>
  <r>
    <x v="16"/>
    <x v="0"/>
    <n v="125098.96"/>
    <x v="2"/>
  </r>
  <r>
    <x v="18"/>
    <x v="0"/>
    <n v="17137.900000000001"/>
    <x v="2"/>
  </r>
  <r>
    <x v="19"/>
    <x v="0"/>
    <n v="22129.07"/>
    <x v="2"/>
  </r>
  <r>
    <x v="20"/>
    <x v="0"/>
    <n v="181892.75"/>
    <x v="2"/>
  </r>
  <r>
    <x v="21"/>
    <x v="0"/>
    <n v="380"/>
    <x v="2"/>
  </r>
  <r>
    <x v="22"/>
    <x v="0"/>
    <n v="2296.08"/>
    <x v="2"/>
  </r>
  <r>
    <x v="23"/>
    <x v="0"/>
    <n v="155158.56"/>
    <x v="2"/>
  </r>
  <r>
    <x v="24"/>
    <x v="0"/>
    <n v="254529.96"/>
    <x v="2"/>
  </r>
  <r>
    <x v="25"/>
    <x v="0"/>
    <n v="248030.57"/>
    <x v="2"/>
  </r>
  <r>
    <x v="0"/>
    <x v="0"/>
    <n v="16764"/>
    <x v="3"/>
  </r>
  <r>
    <x v="1"/>
    <x v="0"/>
    <n v="203581.19"/>
    <x v="3"/>
  </r>
  <r>
    <x v="2"/>
    <x v="0"/>
    <n v="84532.1"/>
    <x v="3"/>
  </r>
  <r>
    <x v="3"/>
    <x v="0"/>
    <n v="3298"/>
    <x v="3"/>
  </r>
  <r>
    <x v="4"/>
    <x v="0"/>
    <n v="34836.870000000003"/>
    <x v="3"/>
  </r>
  <r>
    <x v="5"/>
    <x v="0"/>
    <n v="125858.47"/>
    <x v="3"/>
  </r>
  <r>
    <x v="6"/>
    <x v="0"/>
    <n v="447084.74"/>
    <x v="3"/>
  </r>
  <r>
    <x v="7"/>
    <x v="0"/>
    <n v="108571.97"/>
    <x v="3"/>
  </r>
  <r>
    <x v="8"/>
    <x v="0"/>
    <n v="178209.93"/>
    <x v="3"/>
  </r>
  <r>
    <x v="9"/>
    <x v="0"/>
    <n v="334985.94"/>
    <x v="3"/>
  </r>
  <r>
    <x v="10"/>
    <x v="0"/>
    <n v="114554.73"/>
    <x v="3"/>
  </r>
  <r>
    <x v="11"/>
    <x v="0"/>
    <n v="129453.31"/>
    <x v="3"/>
  </r>
  <r>
    <x v="12"/>
    <x v="0"/>
    <n v="12198"/>
    <x v="3"/>
  </r>
  <r>
    <x v="26"/>
    <x v="0"/>
    <n v="3717"/>
    <x v="3"/>
  </r>
  <r>
    <x v="13"/>
    <x v="0"/>
    <n v="138906.99"/>
    <x v="3"/>
  </r>
  <r>
    <x v="14"/>
    <x v="0"/>
    <n v="121229.86"/>
    <x v="3"/>
  </r>
  <r>
    <x v="15"/>
    <x v="0"/>
    <n v="397833.25"/>
    <x v="3"/>
  </r>
  <r>
    <x v="16"/>
    <x v="0"/>
    <n v="101876.03"/>
    <x v="3"/>
  </r>
  <r>
    <x v="17"/>
    <x v="0"/>
    <n v="624591.01"/>
    <x v="3"/>
  </r>
  <r>
    <x v="18"/>
    <x v="0"/>
    <n v="69087.47"/>
    <x v="3"/>
  </r>
  <r>
    <x v="20"/>
    <x v="0"/>
    <n v="63831.63"/>
    <x v="3"/>
  </r>
  <r>
    <x v="21"/>
    <x v="0"/>
    <n v="5290.82"/>
    <x v="3"/>
  </r>
  <r>
    <x v="22"/>
    <x v="0"/>
    <n v="16239.2"/>
    <x v="3"/>
  </r>
  <r>
    <x v="23"/>
    <x v="0"/>
    <n v="113489.94"/>
    <x v="3"/>
  </r>
  <r>
    <x v="24"/>
    <x v="0"/>
    <n v="300002.12"/>
    <x v="3"/>
  </r>
  <r>
    <x v="25"/>
    <x v="0"/>
    <n v="238154.92"/>
    <x v="3"/>
  </r>
  <r>
    <x v="0"/>
    <x v="0"/>
    <n v="17719"/>
    <x v="3"/>
  </r>
  <r>
    <x v="1"/>
    <x v="0"/>
    <n v="197871.99"/>
    <x v="3"/>
  </r>
  <r>
    <x v="2"/>
    <x v="0"/>
    <n v="106934.75"/>
    <x v="3"/>
  </r>
  <r>
    <x v="3"/>
    <x v="0"/>
    <n v="8371"/>
    <x v="3"/>
  </r>
  <r>
    <x v="4"/>
    <x v="0"/>
    <n v="27385.78"/>
    <x v="3"/>
  </r>
  <r>
    <x v="5"/>
    <x v="0"/>
    <n v="153326.45000000001"/>
    <x v="3"/>
  </r>
  <r>
    <x v="6"/>
    <x v="0"/>
    <n v="484846.31"/>
    <x v="3"/>
  </r>
  <r>
    <x v="7"/>
    <x v="0"/>
    <n v="106785.94"/>
    <x v="3"/>
  </r>
  <r>
    <x v="8"/>
    <x v="0"/>
    <n v="186225.29"/>
    <x v="3"/>
  </r>
  <r>
    <x v="9"/>
    <x v="0"/>
    <n v="382123.89299999998"/>
    <x v="3"/>
  </r>
  <r>
    <x v="10"/>
    <x v="0"/>
    <n v="141270.81"/>
    <x v="3"/>
  </r>
  <r>
    <x v="11"/>
    <x v="0"/>
    <n v="131088.99"/>
    <x v="3"/>
  </r>
  <r>
    <x v="12"/>
    <x v="0"/>
    <n v="15072"/>
    <x v="3"/>
  </r>
  <r>
    <x v="26"/>
    <x v="0"/>
    <n v="4517"/>
    <x v="3"/>
  </r>
  <r>
    <x v="13"/>
    <x v="0"/>
    <n v="123452.52"/>
    <x v="3"/>
  </r>
  <r>
    <x v="14"/>
    <x v="0"/>
    <n v="131920.29"/>
    <x v="3"/>
  </r>
  <r>
    <x v="15"/>
    <x v="0"/>
    <n v="401604.35"/>
    <x v="3"/>
  </r>
  <r>
    <x v="16"/>
    <x v="0"/>
    <n v="86752.639999999999"/>
    <x v="3"/>
  </r>
  <r>
    <x v="17"/>
    <x v="0"/>
    <n v="664504.9"/>
    <x v="3"/>
  </r>
  <r>
    <x v="18"/>
    <x v="0"/>
    <n v="93456.98"/>
    <x v="3"/>
  </r>
  <r>
    <x v="20"/>
    <x v="0"/>
    <n v="62891.26"/>
    <x v="3"/>
  </r>
  <r>
    <x v="21"/>
    <x v="0"/>
    <n v="3417.96"/>
    <x v="3"/>
  </r>
  <r>
    <x v="22"/>
    <x v="0"/>
    <n v="6702.72"/>
    <x v="3"/>
  </r>
  <r>
    <x v="23"/>
    <x v="0"/>
    <n v="141445.62"/>
    <x v="3"/>
  </r>
  <r>
    <x v="24"/>
    <x v="0"/>
    <n v="268606.90999999997"/>
    <x v="3"/>
  </r>
  <r>
    <x v="25"/>
    <x v="0"/>
    <n v="265160.21999999997"/>
    <x v="3"/>
  </r>
  <r>
    <x v="0"/>
    <x v="0"/>
    <n v="17892"/>
    <x v="3"/>
  </r>
  <r>
    <x v="1"/>
    <x v="0"/>
    <n v="173806.4"/>
    <x v="3"/>
  </r>
  <r>
    <x v="2"/>
    <x v="0"/>
    <n v="149641.19"/>
    <x v="3"/>
  </r>
  <r>
    <x v="3"/>
    <x v="0"/>
    <n v="8292"/>
    <x v="3"/>
  </r>
  <r>
    <x v="4"/>
    <x v="0"/>
    <n v="40910.160000000003"/>
    <x v="3"/>
  </r>
  <r>
    <x v="5"/>
    <x v="0"/>
    <n v="167862.63"/>
    <x v="3"/>
  </r>
  <r>
    <x v="6"/>
    <x v="0"/>
    <n v="569301.56000000006"/>
    <x v="3"/>
  </r>
  <r>
    <x v="7"/>
    <x v="0"/>
    <n v="154846.97"/>
    <x v="3"/>
  </r>
  <r>
    <x v="8"/>
    <x v="0"/>
    <n v="188988.76"/>
    <x v="3"/>
  </r>
  <r>
    <x v="9"/>
    <x v="0"/>
    <n v="502311.43"/>
    <x v="3"/>
  </r>
  <r>
    <x v="10"/>
    <x v="0"/>
    <n v="118469.29"/>
    <x v="3"/>
  </r>
  <r>
    <x v="11"/>
    <x v="0"/>
    <n v="109152.44"/>
    <x v="3"/>
  </r>
  <r>
    <x v="12"/>
    <x v="0"/>
    <n v="7750"/>
    <x v="3"/>
  </r>
  <r>
    <x v="26"/>
    <x v="0"/>
    <n v="4639"/>
    <x v="3"/>
  </r>
  <r>
    <x v="13"/>
    <x v="0"/>
    <n v="135865"/>
    <x v="3"/>
  </r>
  <r>
    <x v="14"/>
    <x v="0"/>
    <n v="84497.33"/>
    <x v="3"/>
  </r>
  <r>
    <x v="15"/>
    <x v="0"/>
    <n v="462954.43"/>
    <x v="3"/>
  </r>
  <r>
    <x v="16"/>
    <x v="0"/>
    <n v="82174.92"/>
    <x v="3"/>
  </r>
  <r>
    <x v="17"/>
    <x v="0"/>
    <n v="639713.91"/>
    <x v="3"/>
  </r>
  <r>
    <x v="18"/>
    <x v="0"/>
    <n v="85413.04"/>
    <x v="3"/>
  </r>
  <r>
    <x v="20"/>
    <x v="0"/>
    <n v="63554.7"/>
    <x v="3"/>
  </r>
  <r>
    <x v="21"/>
    <x v="0"/>
    <n v="5160.21"/>
    <x v="3"/>
  </r>
  <r>
    <x v="22"/>
    <x v="0"/>
    <n v="10769.6"/>
    <x v="3"/>
  </r>
  <r>
    <x v="23"/>
    <x v="0"/>
    <n v="115510.49"/>
    <x v="3"/>
  </r>
  <r>
    <x v="24"/>
    <x v="0"/>
    <n v="236174.36"/>
    <x v="3"/>
  </r>
  <r>
    <x v="25"/>
    <x v="0"/>
    <n v="245932.93"/>
    <x v="3"/>
  </r>
  <r>
    <x v="0"/>
    <x v="0"/>
    <n v="12378"/>
    <x v="3"/>
  </r>
  <r>
    <x v="1"/>
    <x v="0"/>
    <n v="219132"/>
    <x v="3"/>
  </r>
  <r>
    <x v="2"/>
    <x v="0"/>
    <n v="93612"/>
    <x v="3"/>
  </r>
  <r>
    <x v="3"/>
    <x v="0"/>
    <n v="6911"/>
    <x v="3"/>
  </r>
  <r>
    <x v="4"/>
    <x v="0"/>
    <n v="31372"/>
    <x v="3"/>
  </r>
  <r>
    <x v="5"/>
    <x v="0"/>
    <n v="152322"/>
    <x v="3"/>
  </r>
  <r>
    <x v="6"/>
    <x v="0"/>
    <n v="416888"/>
    <x v="3"/>
  </r>
  <r>
    <x v="7"/>
    <x v="0"/>
    <n v="101591"/>
    <x v="3"/>
  </r>
  <r>
    <x v="8"/>
    <x v="0"/>
    <n v="172980"/>
    <x v="3"/>
  </r>
  <r>
    <x v="9"/>
    <x v="0"/>
    <n v="494572"/>
    <x v="3"/>
  </r>
  <r>
    <x v="10"/>
    <x v="0"/>
    <n v="177437"/>
    <x v="3"/>
  </r>
  <r>
    <x v="11"/>
    <x v="0"/>
    <n v="155922"/>
    <x v="3"/>
  </r>
  <r>
    <x v="12"/>
    <x v="0"/>
    <n v="15658"/>
    <x v="3"/>
  </r>
  <r>
    <x v="26"/>
    <x v="0"/>
    <n v="3843"/>
    <x v="3"/>
  </r>
  <r>
    <x v="13"/>
    <x v="0"/>
    <n v="153452"/>
    <x v="3"/>
  </r>
  <r>
    <x v="14"/>
    <x v="0"/>
    <n v="66508"/>
    <x v="3"/>
  </r>
  <r>
    <x v="15"/>
    <x v="0"/>
    <n v="476398"/>
    <x v="3"/>
  </r>
  <r>
    <x v="16"/>
    <x v="0"/>
    <n v="96486"/>
    <x v="3"/>
  </r>
  <r>
    <x v="17"/>
    <x v="0"/>
    <n v="636022"/>
    <x v="3"/>
  </r>
  <r>
    <x v="18"/>
    <x v="0"/>
    <n v="54441"/>
    <x v="3"/>
  </r>
  <r>
    <x v="20"/>
    <x v="0"/>
    <n v="51769"/>
    <x v="3"/>
  </r>
  <r>
    <x v="21"/>
    <x v="0"/>
    <n v="5821"/>
    <x v="3"/>
  </r>
  <r>
    <x v="22"/>
    <x v="0"/>
    <n v="8724"/>
    <x v="3"/>
  </r>
  <r>
    <x v="23"/>
    <x v="0"/>
    <n v="134164"/>
    <x v="3"/>
  </r>
  <r>
    <x v="24"/>
    <x v="0"/>
    <n v="291414"/>
    <x v="3"/>
  </r>
  <r>
    <x v="25"/>
    <x v="0"/>
    <n v="254373"/>
    <x v="3"/>
  </r>
  <r>
    <x v="0"/>
    <x v="0"/>
    <n v="19556"/>
    <x v="3"/>
  </r>
  <r>
    <x v="1"/>
    <x v="0"/>
    <n v="267059"/>
    <x v="3"/>
  </r>
  <r>
    <x v="2"/>
    <x v="0"/>
    <n v="97169"/>
    <x v="3"/>
  </r>
  <r>
    <x v="3"/>
    <x v="0"/>
    <n v="5422"/>
    <x v="3"/>
  </r>
  <r>
    <x v="4"/>
    <x v="0"/>
    <n v="35461"/>
    <x v="3"/>
  </r>
  <r>
    <x v="5"/>
    <x v="0"/>
    <n v="146017"/>
    <x v="3"/>
  </r>
  <r>
    <x v="6"/>
    <x v="0"/>
    <n v="456960"/>
    <x v="3"/>
  </r>
  <r>
    <x v="7"/>
    <x v="0"/>
    <n v="184667"/>
    <x v="3"/>
  </r>
  <r>
    <x v="8"/>
    <x v="0"/>
    <n v="208377"/>
    <x v="3"/>
  </r>
  <r>
    <x v="9"/>
    <x v="0"/>
    <n v="1687185"/>
    <x v="3"/>
  </r>
  <r>
    <x v="10"/>
    <x v="0"/>
    <n v="200153"/>
    <x v="3"/>
  </r>
  <r>
    <x v="11"/>
    <x v="0"/>
    <n v="183719"/>
    <x v="3"/>
  </r>
  <r>
    <x v="12"/>
    <x v="0"/>
    <n v="6464"/>
    <x v="3"/>
  </r>
  <r>
    <x v="26"/>
    <x v="0"/>
    <n v="16931"/>
    <x v="3"/>
  </r>
  <r>
    <x v="13"/>
    <x v="0"/>
    <n v="163013"/>
    <x v="3"/>
  </r>
  <r>
    <x v="14"/>
    <x v="0"/>
    <n v="81572"/>
    <x v="3"/>
  </r>
  <r>
    <x v="15"/>
    <x v="0"/>
    <n v="569973"/>
    <x v="3"/>
  </r>
  <r>
    <x v="16"/>
    <x v="0"/>
    <n v="137488"/>
    <x v="3"/>
  </r>
  <r>
    <x v="17"/>
    <x v="0"/>
    <n v="813774"/>
    <x v="3"/>
  </r>
  <r>
    <x v="18"/>
    <x v="0"/>
    <n v="73147"/>
    <x v="3"/>
  </r>
  <r>
    <x v="20"/>
    <x v="0"/>
    <n v="73529"/>
    <x v="3"/>
  </r>
  <r>
    <x v="21"/>
    <x v="0"/>
    <n v="4909"/>
    <x v="3"/>
  </r>
  <r>
    <x v="22"/>
    <x v="0"/>
    <n v="5514"/>
    <x v="3"/>
  </r>
  <r>
    <x v="23"/>
    <x v="0"/>
    <n v="140650"/>
    <x v="3"/>
  </r>
  <r>
    <x v="24"/>
    <x v="0"/>
    <n v="271492"/>
    <x v="3"/>
  </r>
  <r>
    <x v="25"/>
    <x v="0"/>
    <n v="273699"/>
    <x v="3"/>
  </r>
  <r>
    <x v="0"/>
    <x v="0"/>
    <n v="25281"/>
    <x v="3"/>
  </r>
  <r>
    <x v="1"/>
    <x v="0"/>
    <n v="314593"/>
    <x v="3"/>
  </r>
  <r>
    <x v="2"/>
    <x v="0"/>
    <n v="118813"/>
    <x v="3"/>
  </r>
  <r>
    <x v="3"/>
    <x v="0"/>
    <n v="8579"/>
    <x v="3"/>
  </r>
  <r>
    <x v="4"/>
    <x v="0"/>
    <n v="64233"/>
    <x v="3"/>
  </r>
  <r>
    <x v="5"/>
    <x v="0"/>
    <n v="194311"/>
    <x v="3"/>
  </r>
  <r>
    <x v="6"/>
    <x v="0"/>
    <n v="674046"/>
    <x v="3"/>
  </r>
  <r>
    <x v="7"/>
    <x v="0"/>
    <n v="180098"/>
    <x v="3"/>
  </r>
  <r>
    <x v="8"/>
    <x v="0"/>
    <n v="264053"/>
    <x v="3"/>
  </r>
  <r>
    <x v="9"/>
    <x v="0"/>
    <n v="536933"/>
    <x v="3"/>
  </r>
  <r>
    <x v="10"/>
    <x v="0"/>
    <n v="200824"/>
    <x v="3"/>
  </r>
  <r>
    <x v="11"/>
    <x v="0"/>
    <n v="222104"/>
    <x v="3"/>
  </r>
  <r>
    <x v="12"/>
    <x v="0"/>
    <n v="10972"/>
    <x v="3"/>
  </r>
  <r>
    <x v="26"/>
    <x v="0"/>
    <n v="20154"/>
    <x v="3"/>
  </r>
  <r>
    <x v="13"/>
    <x v="0"/>
    <n v="184993"/>
    <x v="3"/>
  </r>
  <r>
    <x v="14"/>
    <x v="0"/>
    <n v="138001"/>
    <x v="3"/>
  </r>
  <r>
    <x v="15"/>
    <x v="0"/>
    <n v="667511"/>
    <x v="3"/>
  </r>
  <r>
    <x v="16"/>
    <x v="0"/>
    <n v="149315"/>
    <x v="3"/>
  </r>
  <r>
    <x v="17"/>
    <x v="0"/>
    <n v="903442"/>
    <x v="3"/>
  </r>
  <r>
    <x v="18"/>
    <x v="0"/>
    <n v="100333"/>
    <x v="3"/>
  </r>
  <r>
    <x v="20"/>
    <x v="0"/>
    <n v="67181"/>
    <x v="3"/>
  </r>
  <r>
    <x v="22"/>
    <x v="0"/>
    <n v="10914"/>
    <x v="3"/>
  </r>
  <r>
    <x v="23"/>
    <x v="0"/>
    <n v="201456"/>
    <x v="3"/>
  </r>
  <r>
    <x v="24"/>
    <x v="0"/>
    <n v="411667"/>
    <x v="3"/>
  </r>
  <r>
    <x v="25"/>
    <x v="0"/>
    <n v="424372"/>
    <x v="3"/>
  </r>
  <r>
    <x v="0"/>
    <x v="0"/>
    <n v="14486"/>
    <x v="3"/>
  </r>
  <r>
    <x v="1"/>
    <x v="0"/>
    <n v="233361.73"/>
    <x v="3"/>
  </r>
  <r>
    <x v="2"/>
    <x v="0"/>
    <n v="87098.15"/>
    <x v="3"/>
  </r>
  <r>
    <x v="3"/>
    <x v="0"/>
    <n v="7143"/>
    <x v="3"/>
  </r>
  <r>
    <x v="4"/>
    <x v="0"/>
    <n v="44647.86"/>
    <x v="3"/>
  </r>
  <r>
    <x v="5"/>
    <x v="0"/>
    <n v="186287.42"/>
    <x v="3"/>
  </r>
  <r>
    <x v="6"/>
    <x v="0"/>
    <n v="481028.62"/>
    <x v="3"/>
  </r>
  <r>
    <x v="7"/>
    <x v="0"/>
    <n v="153160.44"/>
    <x v="3"/>
  </r>
  <r>
    <x v="8"/>
    <x v="0"/>
    <n v="218128.21"/>
    <x v="3"/>
  </r>
  <r>
    <x v="9"/>
    <x v="0"/>
    <n v="400775.24"/>
    <x v="3"/>
  </r>
  <r>
    <x v="10"/>
    <x v="0"/>
    <n v="211536.69"/>
    <x v="3"/>
  </r>
  <r>
    <x v="11"/>
    <x v="0"/>
    <n v="169916.43"/>
    <x v="3"/>
  </r>
  <r>
    <x v="12"/>
    <x v="0"/>
    <n v="11300"/>
    <x v="3"/>
  </r>
  <r>
    <x v="26"/>
    <x v="0"/>
    <n v="11925"/>
    <x v="3"/>
  </r>
  <r>
    <x v="13"/>
    <x v="0"/>
    <n v="118450.32"/>
    <x v="3"/>
  </r>
  <r>
    <x v="14"/>
    <x v="0"/>
    <n v="110769.31"/>
    <x v="3"/>
  </r>
  <r>
    <x v="15"/>
    <x v="0"/>
    <n v="605960.31999999995"/>
    <x v="3"/>
  </r>
  <r>
    <x v="16"/>
    <x v="0"/>
    <n v="120242.28"/>
    <x v="3"/>
  </r>
  <r>
    <x v="17"/>
    <x v="0"/>
    <n v="657135.51"/>
    <x v="3"/>
  </r>
  <r>
    <x v="18"/>
    <x v="0"/>
    <n v="82554.77"/>
    <x v="3"/>
  </r>
  <r>
    <x v="20"/>
    <x v="0"/>
    <n v="64024.88"/>
    <x v="3"/>
  </r>
  <r>
    <x v="21"/>
    <x v="0"/>
    <n v="3585.54"/>
    <x v="3"/>
  </r>
  <r>
    <x v="22"/>
    <x v="0"/>
    <n v="5030.72"/>
    <x v="3"/>
  </r>
  <r>
    <x v="23"/>
    <x v="0"/>
    <n v="183039.2"/>
    <x v="3"/>
  </r>
  <r>
    <x v="24"/>
    <x v="0"/>
    <n v="338276.54"/>
    <x v="3"/>
  </r>
  <r>
    <x v="25"/>
    <x v="0"/>
    <n v="344737.87"/>
    <x v="3"/>
  </r>
  <r>
    <x v="0"/>
    <x v="0"/>
    <n v="16494"/>
    <x v="3"/>
  </r>
  <r>
    <x v="1"/>
    <x v="0"/>
    <n v="232017"/>
    <x v="3"/>
  </r>
  <r>
    <x v="2"/>
    <x v="0"/>
    <n v="86248"/>
    <x v="3"/>
  </r>
  <r>
    <x v="3"/>
    <x v="0"/>
    <n v="5580"/>
    <x v="3"/>
  </r>
  <r>
    <x v="4"/>
    <x v="0"/>
    <n v="20627"/>
    <x v="3"/>
  </r>
  <r>
    <x v="5"/>
    <x v="0"/>
    <n v="138907"/>
    <x v="3"/>
  </r>
  <r>
    <x v="6"/>
    <x v="0"/>
    <n v="417460"/>
    <x v="3"/>
  </r>
  <r>
    <x v="7"/>
    <x v="0"/>
    <n v="122785"/>
    <x v="3"/>
  </r>
  <r>
    <x v="8"/>
    <x v="0"/>
    <n v="154480"/>
    <x v="3"/>
  </r>
  <r>
    <x v="9"/>
    <x v="0"/>
    <n v="368422"/>
    <x v="3"/>
  </r>
  <r>
    <x v="10"/>
    <x v="0"/>
    <n v="147903"/>
    <x v="3"/>
  </r>
  <r>
    <x v="11"/>
    <x v="0"/>
    <n v="165894"/>
    <x v="3"/>
  </r>
  <r>
    <x v="12"/>
    <x v="0"/>
    <n v="11864"/>
    <x v="3"/>
  </r>
  <r>
    <x v="26"/>
    <x v="0"/>
    <n v="14942"/>
    <x v="3"/>
  </r>
  <r>
    <x v="13"/>
    <x v="0"/>
    <n v="109413"/>
    <x v="3"/>
  </r>
  <r>
    <x v="14"/>
    <x v="0"/>
    <n v="74156"/>
    <x v="3"/>
  </r>
  <r>
    <x v="15"/>
    <x v="0"/>
    <n v="400178"/>
    <x v="3"/>
  </r>
  <r>
    <x v="16"/>
    <x v="0"/>
    <n v="96277"/>
    <x v="3"/>
  </r>
  <r>
    <x v="17"/>
    <x v="0"/>
    <n v="518276"/>
    <x v="3"/>
  </r>
  <r>
    <x v="18"/>
    <x v="0"/>
    <n v="64024"/>
    <x v="3"/>
  </r>
  <r>
    <x v="20"/>
    <x v="0"/>
    <n v="61519"/>
    <x v="3"/>
  </r>
  <r>
    <x v="21"/>
    <x v="0"/>
    <n v="5675"/>
    <x v="3"/>
  </r>
  <r>
    <x v="22"/>
    <x v="0"/>
    <n v="6573"/>
    <x v="3"/>
  </r>
  <r>
    <x v="23"/>
    <x v="0"/>
    <n v="121649"/>
    <x v="3"/>
  </r>
  <r>
    <x v="24"/>
    <x v="0"/>
    <n v="248061"/>
    <x v="3"/>
  </r>
  <r>
    <x v="25"/>
    <x v="0"/>
    <n v="229685"/>
    <x v="3"/>
  </r>
  <r>
    <x v="0"/>
    <x v="0"/>
    <n v="11658"/>
    <x v="3"/>
  </r>
  <r>
    <x v="1"/>
    <x v="0"/>
    <n v="197313.89"/>
    <x v="3"/>
  </r>
  <r>
    <x v="2"/>
    <x v="0"/>
    <n v="103090.2"/>
    <x v="3"/>
  </r>
  <r>
    <x v="3"/>
    <x v="0"/>
    <n v="1173"/>
    <x v="3"/>
  </r>
  <r>
    <x v="4"/>
    <x v="0"/>
    <n v="25406.76"/>
    <x v="3"/>
  </r>
  <r>
    <x v="5"/>
    <x v="0"/>
    <n v="111715.45"/>
    <x v="3"/>
  </r>
  <r>
    <x v="6"/>
    <x v="0"/>
    <n v="383812.96"/>
    <x v="3"/>
  </r>
  <r>
    <x v="7"/>
    <x v="0"/>
    <n v="85020.7"/>
    <x v="3"/>
  </r>
  <r>
    <x v="8"/>
    <x v="0"/>
    <n v="161355.88"/>
    <x v="3"/>
  </r>
  <r>
    <x v="9"/>
    <x v="0"/>
    <n v="333195.45"/>
    <x v="3"/>
  </r>
  <r>
    <x v="10"/>
    <x v="0"/>
    <n v="112675.31"/>
    <x v="3"/>
  </r>
  <r>
    <x v="11"/>
    <x v="0"/>
    <n v="130725.97"/>
    <x v="3"/>
  </r>
  <r>
    <x v="12"/>
    <x v="0"/>
    <n v="4462"/>
    <x v="3"/>
  </r>
  <r>
    <x v="26"/>
    <x v="0"/>
    <n v="6792"/>
    <x v="3"/>
  </r>
  <r>
    <x v="13"/>
    <x v="0"/>
    <n v="73294.41"/>
    <x v="3"/>
  </r>
  <r>
    <x v="14"/>
    <x v="0"/>
    <n v="85133.36"/>
    <x v="3"/>
  </r>
  <r>
    <x v="15"/>
    <x v="0"/>
    <n v="356102.03"/>
    <x v="3"/>
  </r>
  <r>
    <x v="16"/>
    <x v="0"/>
    <n v="67469.279999999999"/>
    <x v="3"/>
  </r>
  <r>
    <x v="17"/>
    <x v="0"/>
    <n v="392005.4"/>
    <x v="3"/>
  </r>
  <r>
    <x v="18"/>
    <x v="0"/>
    <n v="43510.25"/>
    <x v="3"/>
  </r>
  <r>
    <x v="20"/>
    <x v="0"/>
    <n v="54846.46"/>
    <x v="3"/>
  </r>
  <r>
    <x v="22"/>
    <x v="0"/>
    <n v="6238"/>
    <x v="3"/>
  </r>
  <r>
    <x v="23"/>
    <x v="0"/>
    <n v="102870.5"/>
    <x v="3"/>
  </r>
  <r>
    <x v="24"/>
    <x v="0"/>
    <n v="198667.55"/>
    <x v="3"/>
  </r>
  <r>
    <x v="25"/>
    <x v="0"/>
    <n v="152894.94"/>
    <x v="3"/>
  </r>
  <r>
    <x v="0"/>
    <x v="0"/>
    <n v="8513"/>
    <x v="3"/>
  </r>
  <r>
    <x v="1"/>
    <x v="0"/>
    <n v="142424"/>
    <x v="3"/>
  </r>
  <r>
    <x v="2"/>
    <x v="0"/>
    <n v="60709"/>
    <x v="3"/>
  </r>
  <r>
    <x v="3"/>
    <x v="0"/>
    <n v="2382"/>
    <x v="3"/>
  </r>
  <r>
    <x v="4"/>
    <x v="0"/>
    <n v="19217"/>
    <x v="3"/>
  </r>
  <r>
    <x v="5"/>
    <x v="0"/>
    <n v="118317"/>
    <x v="3"/>
  </r>
  <r>
    <x v="6"/>
    <x v="0"/>
    <n v="340882"/>
    <x v="3"/>
  </r>
  <r>
    <x v="7"/>
    <x v="0"/>
    <n v="92116"/>
    <x v="3"/>
  </r>
  <r>
    <x v="8"/>
    <x v="0"/>
    <n v="133832"/>
    <x v="3"/>
  </r>
  <r>
    <x v="9"/>
    <x v="0"/>
    <n v="265706"/>
    <x v="3"/>
  </r>
  <r>
    <x v="10"/>
    <x v="0"/>
    <n v="105946"/>
    <x v="3"/>
  </r>
  <r>
    <x v="11"/>
    <x v="0"/>
    <n v="109692"/>
    <x v="3"/>
  </r>
  <r>
    <x v="12"/>
    <x v="0"/>
    <n v="9680"/>
    <x v="3"/>
  </r>
  <r>
    <x v="26"/>
    <x v="0"/>
    <n v="10360"/>
    <x v="3"/>
  </r>
  <r>
    <x v="13"/>
    <x v="0"/>
    <n v="119680"/>
    <x v="3"/>
  </r>
  <r>
    <x v="14"/>
    <x v="0"/>
    <n v="74103"/>
    <x v="3"/>
  </r>
  <r>
    <x v="15"/>
    <x v="0"/>
    <n v="381549"/>
    <x v="3"/>
  </r>
  <r>
    <x v="16"/>
    <x v="0"/>
    <n v="81365"/>
    <x v="3"/>
  </r>
  <r>
    <x v="17"/>
    <x v="0"/>
    <n v="429706"/>
    <x v="3"/>
  </r>
  <r>
    <x v="18"/>
    <x v="0"/>
    <n v="62582"/>
    <x v="3"/>
  </r>
  <r>
    <x v="20"/>
    <x v="0"/>
    <n v="45125"/>
    <x v="3"/>
  </r>
  <r>
    <x v="21"/>
    <x v="0"/>
    <n v="2132"/>
    <x v="3"/>
  </r>
  <r>
    <x v="22"/>
    <x v="0"/>
    <n v="4005"/>
    <x v="3"/>
  </r>
  <r>
    <x v="23"/>
    <x v="0"/>
    <n v="92016"/>
    <x v="3"/>
  </r>
  <r>
    <x v="24"/>
    <x v="0"/>
    <n v="226140"/>
    <x v="3"/>
  </r>
  <r>
    <x v="25"/>
    <x v="0"/>
    <n v="188658"/>
    <x v="3"/>
  </r>
  <r>
    <x v="0"/>
    <x v="0"/>
    <n v="13777"/>
    <x v="3"/>
  </r>
  <r>
    <x v="1"/>
    <x v="0"/>
    <n v="165881"/>
    <x v="3"/>
  </r>
  <r>
    <x v="2"/>
    <x v="0"/>
    <n v="64035"/>
    <x v="3"/>
  </r>
  <r>
    <x v="3"/>
    <x v="0"/>
    <n v="3188"/>
    <x v="3"/>
  </r>
  <r>
    <x v="4"/>
    <x v="0"/>
    <n v="21213"/>
    <x v="3"/>
  </r>
  <r>
    <x v="5"/>
    <x v="0"/>
    <n v="129802"/>
    <x v="3"/>
  </r>
  <r>
    <x v="6"/>
    <x v="0"/>
    <n v="388949"/>
    <x v="3"/>
  </r>
  <r>
    <x v="7"/>
    <x v="0"/>
    <n v="114086"/>
    <x v="3"/>
  </r>
  <r>
    <x v="8"/>
    <x v="0"/>
    <n v="143238"/>
    <x v="3"/>
  </r>
  <r>
    <x v="9"/>
    <x v="0"/>
    <n v="292542"/>
    <x v="3"/>
  </r>
  <r>
    <x v="10"/>
    <x v="0"/>
    <n v="106937"/>
    <x v="3"/>
  </r>
  <r>
    <x v="11"/>
    <x v="0"/>
    <n v="101394"/>
    <x v="3"/>
  </r>
  <r>
    <x v="12"/>
    <x v="0"/>
    <n v="3356"/>
    <x v="3"/>
  </r>
  <r>
    <x v="26"/>
    <x v="0"/>
    <n v="6405"/>
    <x v="3"/>
  </r>
  <r>
    <x v="13"/>
    <x v="0"/>
    <n v="106100"/>
    <x v="3"/>
  </r>
  <r>
    <x v="14"/>
    <x v="0"/>
    <n v="69502"/>
    <x v="3"/>
  </r>
  <r>
    <x v="15"/>
    <x v="0"/>
    <n v="363350"/>
    <x v="3"/>
  </r>
  <r>
    <x v="16"/>
    <x v="0"/>
    <n v="63755"/>
    <x v="3"/>
  </r>
  <r>
    <x v="17"/>
    <x v="0"/>
    <n v="407125"/>
    <x v="3"/>
  </r>
  <r>
    <x v="18"/>
    <x v="0"/>
    <n v="69776"/>
    <x v="3"/>
  </r>
  <r>
    <x v="20"/>
    <x v="0"/>
    <n v="51914"/>
    <x v="3"/>
  </r>
  <r>
    <x v="21"/>
    <x v="0"/>
    <n v="3376"/>
    <x v="3"/>
  </r>
  <r>
    <x v="22"/>
    <x v="0"/>
    <n v="4485"/>
    <x v="3"/>
  </r>
  <r>
    <x v="23"/>
    <x v="0"/>
    <n v="110035"/>
    <x v="3"/>
  </r>
  <r>
    <x v="24"/>
    <x v="0"/>
    <n v="232506"/>
    <x v="3"/>
  </r>
  <r>
    <x v="25"/>
    <x v="0"/>
    <n v="225013"/>
    <x v="3"/>
  </r>
  <r>
    <x v="0"/>
    <x v="0"/>
    <n v="18760"/>
    <x v="3"/>
  </r>
  <r>
    <x v="1"/>
    <x v="0"/>
    <n v="236557"/>
    <x v="3"/>
  </r>
  <r>
    <x v="2"/>
    <x v="0"/>
    <n v="73441"/>
    <x v="3"/>
  </r>
  <r>
    <x v="3"/>
    <x v="0"/>
    <n v="1896"/>
    <x v="3"/>
  </r>
  <r>
    <x v="4"/>
    <x v="0"/>
    <n v="16388"/>
    <x v="3"/>
  </r>
  <r>
    <x v="5"/>
    <x v="0"/>
    <n v="174681"/>
    <x v="3"/>
  </r>
  <r>
    <x v="6"/>
    <x v="0"/>
    <n v="530962"/>
    <x v="3"/>
  </r>
  <r>
    <x v="7"/>
    <x v="0"/>
    <n v="105365"/>
    <x v="3"/>
  </r>
  <r>
    <x v="8"/>
    <x v="0"/>
    <n v="165857"/>
    <x v="3"/>
  </r>
  <r>
    <x v="9"/>
    <x v="0"/>
    <n v="517063"/>
    <x v="3"/>
  </r>
  <r>
    <x v="10"/>
    <x v="0"/>
    <n v="147206"/>
    <x v="3"/>
  </r>
  <r>
    <x v="11"/>
    <x v="0"/>
    <n v="144921"/>
    <x v="3"/>
  </r>
  <r>
    <x v="12"/>
    <x v="0"/>
    <n v="6412"/>
    <x v="3"/>
  </r>
  <r>
    <x v="26"/>
    <x v="0"/>
    <n v="12686"/>
    <x v="3"/>
  </r>
  <r>
    <x v="13"/>
    <x v="0"/>
    <n v="129315"/>
    <x v="3"/>
  </r>
  <r>
    <x v="14"/>
    <x v="0"/>
    <n v="103553"/>
    <x v="3"/>
  </r>
  <r>
    <x v="15"/>
    <x v="0"/>
    <n v="464056"/>
    <x v="3"/>
  </r>
  <r>
    <x v="16"/>
    <x v="0"/>
    <n v="104295"/>
    <x v="3"/>
  </r>
  <r>
    <x v="17"/>
    <x v="0"/>
    <n v="484937"/>
    <x v="3"/>
  </r>
  <r>
    <x v="18"/>
    <x v="0"/>
    <n v="78854"/>
    <x v="3"/>
  </r>
  <r>
    <x v="20"/>
    <x v="0"/>
    <n v="63125"/>
    <x v="3"/>
  </r>
  <r>
    <x v="21"/>
    <x v="0"/>
    <n v="3701"/>
    <x v="3"/>
  </r>
  <r>
    <x v="22"/>
    <x v="0"/>
    <n v="11037"/>
    <x v="3"/>
  </r>
  <r>
    <x v="23"/>
    <x v="0"/>
    <n v="112349"/>
    <x v="3"/>
  </r>
  <r>
    <x v="24"/>
    <x v="0"/>
    <n v="267236"/>
    <x v="3"/>
  </r>
  <r>
    <x v="25"/>
    <x v="0"/>
    <n v="277371"/>
    <x v="3"/>
  </r>
  <r>
    <x v="0"/>
    <x v="0"/>
    <n v="25085"/>
    <x v="3"/>
  </r>
  <r>
    <x v="1"/>
    <x v="0"/>
    <n v="342678"/>
    <x v="3"/>
  </r>
  <r>
    <x v="2"/>
    <x v="0"/>
    <n v="105622"/>
    <x v="3"/>
  </r>
  <r>
    <x v="3"/>
    <x v="0"/>
    <n v="3155"/>
    <x v="3"/>
  </r>
  <r>
    <x v="4"/>
    <x v="0"/>
    <n v="39559"/>
    <x v="3"/>
  </r>
  <r>
    <x v="5"/>
    <x v="0"/>
    <n v="222525"/>
    <x v="3"/>
  </r>
  <r>
    <x v="6"/>
    <x v="0"/>
    <n v="767307"/>
    <x v="3"/>
  </r>
  <r>
    <x v="7"/>
    <x v="0"/>
    <n v="164344"/>
    <x v="3"/>
  </r>
  <r>
    <x v="8"/>
    <x v="0"/>
    <n v="321561"/>
    <x v="3"/>
  </r>
  <r>
    <x v="9"/>
    <x v="0"/>
    <n v="578937"/>
    <x v="3"/>
  </r>
  <r>
    <x v="10"/>
    <x v="0"/>
    <n v="220817"/>
    <x v="3"/>
  </r>
  <r>
    <x v="11"/>
    <x v="0"/>
    <n v="219167"/>
    <x v="3"/>
  </r>
  <r>
    <x v="12"/>
    <x v="0"/>
    <n v="8462"/>
    <x v="3"/>
  </r>
  <r>
    <x v="26"/>
    <x v="0"/>
    <n v="20940"/>
    <x v="3"/>
  </r>
  <r>
    <x v="13"/>
    <x v="0"/>
    <n v="195344"/>
    <x v="3"/>
  </r>
  <r>
    <x v="14"/>
    <x v="0"/>
    <n v="179900"/>
    <x v="3"/>
  </r>
  <r>
    <x v="15"/>
    <x v="0"/>
    <n v="647501"/>
    <x v="3"/>
  </r>
  <r>
    <x v="16"/>
    <x v="0"/>
    <n v="162205"/>
    <x v="3"/>
  </r>
  <r>
    <x v="17"/>
    <x v="0"/>
    <n v="643868"/>
    <x v="3"/>
  </r>
  <r>
    <x v="18"/>
    <x v="0"/>
    <n v="99178"/>
    <x v="3"/>
  </r>
  <r>
    <x v="20"/>
    <x v="0"/>
    <n v="74042"/>
    <x v="3"/>
  </r>
  <r>
    <x v="21"/>
    <x v="0"/>
    <n v="7484"/>
    <x v="3"/>
  </r>
  <r>
    <x v="22"/>
    <x v="0"/>
    <n v="10368"/>
    <x v="3"/>
  </r>
  <r>
    <x v="23"/>
    <x v="0"/>
    <n v="235074"/>
    <x v="3"/>
  </r>
  <r>
    <x v="24"/>
    <x v="0"/>
    <n v="392616"/>
    <x v="3"/>
  </r>
  <r>
    <x v="25"/>
    <x v="0"/>
    <n v="439790"/>
    <x v="3"/>
  </r>
  <r>
    <x v="0"/>
    <x v="0"/>
    <n v="14390"/>
    <x v="3"/>
  </r>
  <r>
    <x v="1"/>
    <x v="0"/>
    <n v="257554"/>
    <x v="3"/>
  </r>
  <r>
    <x v="2"/>
    <x v="0"/>
    <n v="74215"/>
    <x v="3"/>
  </r>
  <r>
    <x v="3"/>
    <x v="0"/>
    <n v="3256"/>
    <x v="3"/>
  </r>
  <r>
    <x v="4"/>
    <x v="0"/>
    <n v="39742"/>
    <x v="3"/>
  </r>
  <r>
    <x v="5"/>
    <x v="0"/>
    <n v="199238"/>
    <x v="3"/>
  </r>
  <r>
    <x v="6"/>
    <x v="0"/>
    <n v="747587"/>
    <x v="3"/>
  </r>
  <r>
    <x v="7"/>
    <x v="0"/>
    <n v="127734"/>
    <x v="3"/>
  </r>
  <r>
    <x v="8"/>
    <x v="0"/>
    <n v="270378"/>
    <x v="3"/>
  </r>
  <r>
    <x v="9"/>
    <x v="0"/>
    <n v="387452"/>
    <x v="3"/>
  </r>
  <r>
    <x v="10"/>
    <x v="0"/>
    <n v="169204"/>
    <x v="3"/>
  </r>
  <r>
    <x v="11"/>
    <x v="0"/>
    <n v="176476"/>
    <x v="3"/>
  </r>
  <r>
    <x v="12"/>
    <x v="0"/>
    <n v="14446"/>
    <x v="3"/>
  </r>
  <r>
    <x v="26"/>
    <x v="0"/>
    <n v="7788"/>
    <x v="3"/>
  </r>
  <r>
    <x v="13"/>
    <x v="0"/>
    <n v="108211"/>
    <x v="3"/>
  </r>
  <r>
    <x v="14"/>
    <x v="0"/>
    <n v="123629"/>
    <x v="3"/>
  </r>
  <r>
    <x v="15"/>
    <x v="0"/>
    <n v="469356"/>
    <x v="3"/>
  </r>
  <r>
    <x v="16"/>
    <x v="0"/>
    <n v="118145"/>
    <x v="3"/>
  </r>
  <r>
    <x v="17"/>
    <x v="0"/>
    <n v="475014"/>
    <x v="3"/>
  </r>
  <r>
    <x v="18"/>
    <x v="0"/>
    <n v="103734"/>
    <x v="3"/>
  </r>
  <r>
    <x v="20"/>
    <x v="0"/>
    <n v="67767"/>
    <x v="3"/>
  </r>
  <r>
    <x v="21"/>
    <x v="0"/>
    <n v="924"/>
    <x v="3"/>
  </r>
  <r>
    <x v="22"/>
    <x v="0"/>
    <n v="11647"/>
    <x v="3"/>
  </r>
  <r>
    <x v="23"/>
    <x v="0"/>
    <n v="205886"/>
    <x v="3"/>
  </r>
  <r>
    <x v="24"/>
    <x v="0"/>
    <n v="329106"/>
    <x v="3"/>
  </r>
  <r>
    <x v="25"/>
    <x v="0"/>
    <n v="392820"/>
    <x v="3"/>
  </r>
  <r>
    <x v="0"/>
    <x v="0"/>
    <n v="13738"/>
    <x v="3"/>
  </r>
  <r>
    <x v="1"/>
    <x v="0"/>
    <n v="168745"/>
    <x v="3"/>
  </r>
  <r>
    <x v="2"/>
    <x v="0"/>
    <n v="51224"/>
    <x v="3"/>
  </r>
  <r>
    <x v="3"/>
    <x v="0"/>
    <n v="2256"/>
    <x v="3"/>
  </r>
  <r>
    <x v="4"/>
    <x v="0"/>
    <n v="24298"/>
    <x v="3"/>
  </r>
  <r>
    <x v="5"/>
    <x v="0"/>
    <n v="125234"/>
    <x v="3"/>
  </r>
  <r>
    <x v="6"/>
    <x v="0"/>
    <n v="452404"/>
    <x v="3"/>
  </r>
  <r>
    <x v="7"/>
    <x v="0"/>
    <n v="104023"/>
    <x v="3"/>
  </r>
  <r>
    <x v="8"/>
    <x v="0"/>
    <n v="192053"/>
    <x v="3"/>
  </r>
  <r>
    <x v="9"/>
    <x v="0"/>
    <n v="279283"/>
    <x v="3"/>
  </r>
  <r>
    <x v="10"/>
    <x v="0"/>
    <n v="96439"/>
    <x v="3"/>
  </r>
  <r>
    <x v="11"/>
    <x v="0"/>
    <n v="110601"/>
    <x v="3"/>
  </r>
  <r>
    <x v="12"/>
    <x v="0"/>
    <n v="11014"/>
    <x v="3"/>
  </r>
  <r>
    <x v="26"/>
    <x v="0"/>
    <n v="5450"/>
    <x v="3"/>
  </r>
  <r>
    <x v="13"/>
    <x v="0"/>
    <n v="84291"/>
    <x v="3"/>
  </r>
  <r>
    <x v="14"/>
    <x v="0"/>
    <n v="82983"/>
    <x v="3"/>
  </r>
  <r>
    <x v="15"/>
    <x v="0"/>
    <n v="302149"/>
    <x v="3"/>
  </r>
  <r>
    <x v="16"/>
    <x v="0"/>
    <n v="78354"/>
    <x v="3"/>
  </r>
  <r>
    <x v="17"/>
    <x v="0"/>
    <n v="466293"/>
    <x v="3"/>
  </r>
  <r>
    <x v="18"/>
    <x v="0"/>
    <n v="51918"/>
    <x v="3"/>
  </r>
  <r>
    <x v="20"/>
    <x v="0"/>
    <n v="54624"/>
    <x v="3"/>
  </r>
  <r>
    <x v="21"/>
    <x v="0"/>
    <n v="5173"/>
    <x v="3"/>
  </r>
  <r>
    <x v="22"/>
    <x v="0"/>
    <n v="5784"/>
    <x v="3"/>
  </r>
  <r>
    <x v="23"/>
    <x v="0"/>
    <n v="119882"/>
    <x v="3"/>
  </r>
  <r>
    <x v="24"/>
    <x v="0"/>
    <n v="215211"/>
    <x v="3"/>
  </r>
  <r>
    <x v="25"/>
    <x v="0"/>
    <n v="246500"/>
    <x v="3"/>
  </r>
  <r>
    <x v="0"/>
    <x v="0"/>
    <n v="11733"/>
    <x v="3"/>
  </r>
  <r>
    <x v="1"/>
    <x v="0"/>
    <n v="174073"/>
    <x v="3"/>
  </r>
  <r>
    <x v="2"/>
    <x v="0"/>
    <n v="59837"/>
    <x v="3"/>
  </r>
  <r>
    <x v="3"/>
    <x v="0"/>
    <n v="1407"/>
    <x v="3"/>
  </r>
  <r>
    <x v="4"/>
    <x v="0"/>
    <n v="26274"/>
    <x v="3"/>
  </r>
  <r>
    <x v="5"/>
    <x v="0"/>
    <n v="161539"/>
    <x v="3"/>
  </r>
  <r>
    <x v="6"/>
    <x v="0"/>
    <n v="487258"/>
    <x v="3"/>
  </r>
  <r>
    <x v="7"/>
    <x v="0"/>
    <n v="115798"/>
    <x v="3"/>
  </r>
  <r>
    <x v="8"/>
    <x v="0"/>
    <n v="204483"/>
    <x v="3"/>
  </r>
  <r>
    <x v="9"/>
    <x v="0"/>
    <n v="352523"/>
    <x v="3"/>
  </r>
  <r>
    <x v="10"/>
    <x v="0"/>
    <n v="116111"/>
    <x v="3"/>
  </r>
  <r>
    <x v="11"/>
    <x v="0"/>
    <n v="130957"/>
    <x v="3"/>
  </r>
  <r>
    <x v="12"/>
    <x v="0"/>
    <n v="9346"/>
    <x v="3"/>
  </r>
  <r>
    <x v="26"/>
    <x v="0"/>
    <n v="9776"/>
    <x v="3"/>
  </r>
  <r>
    <x v="13"/>
    <x v="0"/>
    <n v="75301"/>
    <x v="3"/>
  </r>
  <r>
    <x v="14"/>
    <x v="0"/>
    <n v="92818"/>
    <x v="3"/>
  </r>
  <r>
    <x v="15"/>
    <x v="0"/>
    <n v="457530"/>
    <x v="3"/>
  </r>
  <r>
    <x v="16"/>
    <x v="0"/>
    <n v="96976"/>
    <x v="3"/>
  </r>
  <r>
    <x v="17"/>
    <x v="0"/>
    <n v="473571"/>
    <x v="3"/>
  </r>
  <r>
    <x v="18"/>
    <x v="0"/>
    <n v="59367"/>
    <x v="3"/>
  </r>
  <r>
    <x v="20"/>
    <x v="0"/>
    <n v="51691"/>
    <x v="3"/>
  </r>
  <r>
    <x v="21"/>
    <x v="0"/>
    <n v="1067"/>
    <x v="3"/>
  </r>
  <r>
    <x v="22"/>
    <x v="0"/>
    <n v="7729"/>
    <x v="3"/>
  </r>
  <r>
    <x v="23"/>
    <x v="0"/>
    <n v="168595"/>
    <x v="3"/>
  </r>
  <r>
    <x v="24"/>
    <x v="0"/>
    <n v="227209"/>
    <x v="3"/>
  </r>
  <r>
    <x v="25"/>
    <x v="0"/>
    <n v="318007"/>
    <x v="3"/>
  </r>
  <r>
    <x v="0"/>
    <x v="0"/>
    <n v="6992"/>
    <x v="3"/>
  </r>
  <r>
    <x v="1"/>
    <x v="0"/>
    <n v="138889"/>
    <x v="3"/>
  </r>
  <r>
    <x v="2"/>
    <x v="0"/>
    <n v="88175"/>
    <x v="3"/>
  </r>
  <r>
    <x v="3"/>
    <x v="0"/>
    <n v="618"/>
    <x v="3"/>
  </r>
  <r>
    <x v="4"/>
    <x v="0"/>
    <n v="21092"/>
    <x v="3"/>
  </r>
  <r>
    <x v="5"/>
    <x v="0"/>
    <n v="154605"/>
    <x v="3"/>
  </r>
  <r>
    <x v="6"/>
    <x v="0"/>
    <n v="455894"/>
    <x v="3"/>
  </r>
  <r>
    <x v="7"/>
    <x v="0"/>
    <n v="87079"/>
    <x v="3"/>
  </r>
  <r>
    <x v="8"/>
    <x v="0"/>
    <n v="189774"/>
    <x v="3"/>
  </r>
  <r>
    <x v="9"/>
    <x v="0"/>
    <n v="355079"/>
    <x v="3"/>
  </r>
  <r>
    <x v="10"/>
    <x v="0"/>
    <n v="103354"/>
    <x v="3"/>
  </r>
  <r>
    <x v="11"/>
    <x v="0"/>
    <n v="118887"/>
    <x v="3"/>
  </r>
  <r>
    <x v="12"/>
    <x v="0"/>
    <n v="17282"/>
    <x v="3"/>
  </r>
  <r>
    <x v="26"/>
    <x v="0"/>
    <n v="5641"/>
    <x v="3"/>
  </r>
  <r>
    <x v="13"/>
    <x v="0"/>
    <n v="59156"/>
    <x v="3"/>
  </r>
  <r>
    <x v="14"/>
    <x v="0"/>
    <n v="60242"/>
    <x v="3"/>
  </r>
  <r>
    <x v="15"/>
    <x v="0"/>
    <n v="397056"/>
    <x v="3"/>
  </r>
  <r>
    <x v="16"/>
    <x v="0"/>
    <n v="87198"/>
    <x v="3"/>
  </r>
  <r>
    <x v="17"/>
    <x v="0"/>
    <n v="562653"/>
    <x v="3"/>
  </r>
  <r>
    <x v="18"/>
    <x v="0"/>
    <n v="62085"/>
    <x v="3"/>
  </r>
  <r>
    <x v="20"/>
    <x v="0"/>
    <n v="59673"/>
    <x v="3"/>
  </r>
  <r>
    <x v="21"/>
    <x v="0"/>
    <n v="7763"/>
    <x v="3"/>
  </r>
  <r>
    <x v="22"/>
    <x v="0"/>
    <n v="5586"/>
    <x v="3"/>
  </r>
  <r>
    <x v="23"/>
    <x v="0"/>
    <n v="164881"/>
    <x v="3"/>
  </r>
  <r>
    <x v="24"/>
    <x v="0"/>
    <n v="261385"/>
    <x v="3"/>
  </r>
  <r>
    <x v="25"/>
    <x v="0"/>
    <n v="344553"/>
    <x v="3"/>
  </r>
  <r>
    <x v="0"/>
    <x v="0"/>
    <n v="9026"/>
    <x v="3"/>
  </r>
  <r>
    <x v="1"/>
    <x v="0"/>
    <n v="241341"/>
    <x v="3"/>
  </r>
  <r>
    <x v="2"/>
    <x v="0"/>
    <n v="204496"/>
    <x v="3"/>
  </r>
  <r>
    <x v="3"/>
    <x v="0"/>
    <n v="1097"/>
    <x v="3"/>
  </r>
  <r>
    <x v="4"/>
    <x v="0"/>
    <n v="21301"/>
    <x v="3"/>
  </r>
  <r>
    <x v="5"/>
    <x v="0"/>
    <n v="196252"/>
    <x v="3"/>
  </r>
  <r>
    <x v="6"/>
    <x v="0"/>
    <n v="565673"/>
    <x v="3"/>
  </r>
  <r>
    <x v="7"/>
    <x v="0"/>
    <n v="134631"/>
    <x v="3"/>
  </r>
  <r>
    <x v="8"/>
    <x v="0"/>
    <n v="222372"/>
    <x v="3"/>
  </r>
  <r>
    <x v="9"/>
    <x v="0"/>
    <n v="447707"/>
    <x v="3"/>
  </r>
  <r>
    <x v="10"/>
    <x v="0"/>
    <n v="126543"/>
    <x v="3"/>
  </r>
  <r>
    <x v="11"/>
    <x v="0"/>
    <n v="163223"/>
    <x v="3"/>
  </r>
  <r>
    <x v="12"/>
    <x v="0"/>
    <n v="6090"/>
    <x v="3"/>
  </r>
  <r>
    <x v="26"/>
    <x v="0"/>
    <n v="6569"/>
    <x v="3"/>
  </r>
  <r>
    <x v="13"/>
    <x v="0"/>
    <n v="109744"/>
    <x v="3"/>
  </r>
  <r>
    <x v="14"/>
    <x v="0"/>
    <n v="126794"/>
    <x v="3"/>
  </r>
  <r>
    <x v="15"/>
    <x v="0"/>
    <n v="483679"/>
    <x v="3"/>
  </r>
  <r>
    <x v="16"/>
    <x v="0"/>
    <n v="122545"/>
    <x v="3"/>
  </r>
  <r>
    <x v="17"/>
    <x v="0"/>
    <n v="764999"/>
    <x v="3"/>
  </r>
  <r>
    <x v="18"/>
    <x v="0"/>
    <n v="88614"/>
    <x v="3"/>
  </r>
  <r>
    <x v="20"/>
    <x v="0"/>
    <n v="74559"/>
    <x v="3"/>
  </r>
  <r>
    <x v="21"/>
    <x v="0"/>
    <n v="6666"/>
    <x v="3"/>
  </r>
  <r>
    <x v="22"/>
    <x v="0"/>
    <n v="7218"/>
    <x v="3"/>
  </r>
  <r>
    <x v="23"/>
    <x v="0"/>
    <n v="232431"/>
    <x v="3"/>
  </r>
  <r>
    <x v="24"/>
    <x v="0"/>
    <n v="341604"/>
    <x v="3"/>
  </r>
  <r>
    <x v="25"/>
    <x v="0"/>
    <n v="304881"/>
    <x v="3"/>
  </r>
  <r>
    <x v="0"/>
    <x v="0"/>
    <n v="10778"/>
    <x v="3"/>
  </r>
  <r>
    <x v="1"/>
    <x v="0"/>
    <n v="289460"/>
    <x v="3"/>
  </r>
  <r>
    <x v="2"/>
    <x v="0"/>
    <n v="212280"/>
    <x v="3"/>
  </r>
  <r>
    <x v="3"/>
    <x v="0"/>
    <n v="1650"/>
    <x v="3"/>
  </r>
  <r>
    <x v="4"/>
    <x v="0"/>
    <n v="39725"/>
    <x v="3"/>
  </r>
  <r>
    <x v="5"/>
    <x v="0"/>
    <n v="200162"/>
    <x v="3"/>
  </r>
  <r>
    <x v="6"/>
    <x v="0"/>
    <n v="580014"/>
    <x v="3"/>
  </r>
  <r>
    <x v="7"/>
    <x v="0"/>
    <n v="160042"/>
    <x v="3"/>
  </r>
  <r>
    <x v="8"/>
    <x v="0"/>
    <n v="223491"/>
    <x v="3"/>
  </r>
  <r>
    <x v="9"/>
    <x v="0"/>
    <n v="835840"/>
    <x v="3"/>
  </r>
  <r>
    <x v="10"/>
    <x v="0"/>
    <n v="187222"/>
    <x v="3"/>
  </r>
  <r>
    <x v="11"/>
    <x v="0"/>
    <n v="253327"/>
    <x v="3"/>
  </r>
  <r>
    <x v="12"/>
    <x v="0"/>
    <n v="17854"/>
    <x v="3"/>
  </r>
  <r>
    <x v="26"/>
    <x v="0"/>
    <n v="8236"/>
    <x v="3"/>
  </r>
  <r>
    <x v="13"/>
    <x v="0"/>
    <n v="115123"/>
    <x v="3"/>
  </r>
  <r>
    <x v="14"/>
    <x v="0"/>
    <n v="128999"/>
    <x v="3"/>
  </r>
  <r>
    <x v="15"/>
    <x v="0"/>
    <n v="496788"/>
    <x v="3"/>
  </r>
  <r>
    <x v="16"/>
    <x v="0"/>
    <n v="107041"/>
    <x v="3"/>
  </r>
  <r>
    <x v="17"/>
    <x v="0"/>
    <n v="819282"/>
    <x v="3"/>
  </r>
  <r>
    <x v="18"/>
    <x v="0"/>
    <n v="120223"/>
    <x v="3"/>
  </r>
  <r>
    <x v="20"/>
    <x v="0"/>
    <n v="64869"/>
    <x v="3"/>
  </r>
  <r>
    <x v="21"/>
    <x v="0"/>
    <n v="5192"/>
    <x v="3"/>
  </r>
  <r>
    <x v="22"/>
    <x v="0"/>
    <n v="10416"/>
    <x v="3"/>
  </r>
  <r>
    <x v="23"/>
    <x v="0"/>
    <n v="243988"/>
    <x v="3"/>
  </r>
  <r>
    <x v="24"/>
    <x v="0"/>
    <n v="352066"/>
    <x v="3"/>
  </r>
  <r>
    <x v="25"/>
    <x v="0"/>
    <n v="343682"/>
    <x v="3"/>
  </r>
  <r>
    <x v="0"/>
    <x v="0"/>
    <n v="16580"/>
    <x v="3"/>
  </r>
  <r>
    <x v="1"/>
    <x v="0"/>
    <n v="411522"/>
    <x v="3"/>
  </r>
  <r>
    <x v="2"/>
    <x v="0"/>
    <n v="317154"/>
    <x v="3"/>
  </r>
  <r>
    <x v="3"/>
    <x v="0"/>
    <n v="4539"/>
    <x v="3"/>
  </r>
  <r>
    <x v="4"/>
    <x v="0"/>
    <n v="44734"/>
    <x v="3"/>
  </r>
  <r>
    <x v="5"/>
    <x v="0"/>
    <n v="282899"/>
    <x v="3"/>
  </r>
  <r>
    <x v="6"/>
    <x v="0"/>
    <n v="1028976"/>
    <x v="3"/>
  </r>
  <r>
    <x v="7"/>
    <x v="0"/>
    <n v="244677"/>
    <x v="3"/>
  </r>
  <r>
    <x v="8"/>
    <x v="0"/>
    <n v="370436"/>
    <x v="3"/>
  </r>
  <r>
    <x v="9"/>
    <x v="0"/>
    <n v="732691"/>
    <x v="3"/>
  </r>
  <r>
    <x v="10"/>
    <x v="0"/>
    <n v="264239"/>
    <x v="3"/>
  </r>
  <r>
    <x v="11"/>
    <x v="0"/>
    <n v="318152"/>
    <x v="3"/>
  </r>
  <r>
    <x v="12"/>
    <x v="0"/>
    <n v="20402"/>
    <x v="3"/>
  </r>
  <r>
    <x v="26"/>
    <x v="0"/>
    <n v="7105"/>
    <x v="3"/>
  </r>
  <r>
    <x v="13"/>
    <x v="0"/>
    <n v="150208"/>
    <x v="3"/>
  </r>
  <r>
    <x v="14"/>
    <x v="0"/>
    <n v="252206"/>
    <x v="3"/>
  </r>
  <r>
    <x v="15"/>
    <x v="0"/>
    <n v="897630"/>
    <x v="3"/>
  </r>
  <r>
    <x v="16"/>
    <x v="0"/>
    <n v="216249"/>
    <x v="3"/>
  </r>
  <r>
    <x v="17"/>
    <x v="0"/>
    <n v="1122699"/>
    <x v="3"/>
  </r>
  <r>
    <x v="18"/>
    <x v="0"/>
    <n v="111888"/>
    <x v="3"/>
  </r>
  <r>
    <x v="20"/>
    <x v="0"/>
    <n v="79570"/>
    <x v="3"/>
  </r>
  <r>
    <x v="21"/>
    <x v="0"/>
    <n v="5988"/>
    <x v="3"/>
  </r>
  <r>
    <x v="22"/>
    <x v="0"/>
    <n v="8706"/>
    <x v="3"/>
  </r>
  <r>
    <x v="23"/>
    <x v="0"/>
    <n v="338981"/>
    <x v="3"/>
  </r>
  <r>
    <x v="24"/>
    <x v="0"/>
    <n v="570444"/>
    <x v="3"/>
  </r>
  <r>
    <x v="25"/>
    <x v="0"/>
    <n v="564624"/>
    <x v="3"/>
  </r>
  <r>
    <x v="0"/>
    <x v="0"/>
    <n v="10309"/>
    <x v="3"/>
  </r>
  <r>
    <x v="1"/>
    <x v="0"/>
    <n v="422734"/>
    <x v="3"/>
  </r>
  <r>
    <x v="2"/>
    <x v="0"/>
    <n v="203290"/>
    <x v="3"/>
  </r>
  <r>
    <x v="3"/>
    <x v="0"/>
    <n v="1828"/>
    <x v="3"/>
  </r>
  <r>
    <x v="4"/>
    <x v="0"/>
    <n v="25679"/>
    <x v="3"/>
  </r>
  <r>
    <x v="5"/>
    <x v="0"/>
    <n v="167193"/>
    <x v="3"/>
  </r>
  <r>
    <x v="6"/>
    <x v="0"/>
    <n v="688732"/>
    <x v="3"/>
  </r>
  <r>
    <x v="7"/>
    <x v="0"/>
    <n v="151234"/>
    <x v="3"/>
  </r>
  <r>
    <x v="8"/>
    <x v="0"/>
    <n v="224023"/>
    <x v="3"/>
  </r>
  <r>
    <x v="9"/>
    <x v="0"/>
    <n v="608129"/>
    <x v="3"/>
  </r>
  <r>
    <x v="10"/>
    <x v="0"/>
    <n v="231808"/>
    <x v="3"/>
  </r>
  <r>
    <x v="11"/>
    <x v="0"/>
    <n v="268284"/>
    <x v="3"/>
  </r>
  <r>
    <x v="12"/>
    <x v="0"/>
    <n v="10138"/>
    <x v="3"/>
  </r>
  <r>
    <x v="26"/>
    <x v="0"/>
    <n v="3415"/>
    <x v="3"/>
  </r>
  <r>
    <x v="13"/>
    <x v="0"/>
    <n v="102116"/>
    <x v="3"/>
  </r>
  <r>
    <x v="14"/>
    <x v="0"/>
    <n v="145184"/>
    <x v="3"/>
  </r>
  <r>
    <x v="15"/>
    <x v="0"/>
    <n v="618737"/>
    <x v="3"/>
  </r>
  <r>
    <x v="16"/>
    <x v="0"/>
    <n v="128231"/>
    <x v="3"/>
  </r>
  <r>
    <x v="17"/>
    <x v="0"/>
    <n v="902757"/>
    <x v="3"/>
  </r>
  <r>
    <x v="18"/>
    <x v="0"/>
    <n v="78557"/>
    <x v="3"/>
  </r>
  <r>
    <x v="20"/>
    <x v="0"/>
    <n v="76426"/>
    <x v="3"/>
  </r>
  <r>
    <x v="21"/>
    <x v="0"/>
    <n v="3576"/>
    <x v="3"/>
  </r>
  <r>
    <x v="22"/>
    <x v="0"/>
    <n v="6039"/>
    <x v="3"/>
  </r>
  <r>
    <x v="23"/>
    <x v="0"/>
    <n v="330405"/>
    <x v="3"/>
  </r>
  <r>
    <x v="24"/>
    <x v="0"/>
    <n v="367278"/>
    <x v="3"/>
  </r>
  <r>
    <x v="25"/>
    <x v="0"/>
    <n v="376346"/>
    <x v="3"/>
  </r>
  <r>
    <x v="0"/>
    <x v="0"/>
    <n v="9801"/>
    <x v="3"/>
  </r>
  <r>
    <x v="1"/>
    <x v="0"/>
    <n v="408987"/>
    <x v="3"/>
  </r>
  <r>
    <x v="2"/>
    <x v="0"/>
    <n v="174478"/>
    <x v="3"/>
  </r>
  <r>
    <x v="3"/>
    <x v="0"/>
    <n v="1179"/>
    <x v="3"/>
  </r>
  <r>
    <x v="4"/>
    <x v="0"/>
    <n v="14202"/>
    <x v="3"/>
  </r>
  <r>
    <x v="5"/>
    <x v="0"/>
    <n v="121209"/>
    <x v="3"/>
  </r>
  <r>
    <x v="6"/>
    <x v="0"/>
    <n v="412583"/>
    <x v="3"/>
  </r>
  <r>
    <x v="7"/>
    <x v="0"/>
    <n v="83018"/>
    <x v="3"/>
  </r>
  <r>
    <x v="8"/>
    <x v="0"/>
    <n v="129093"/>
    <x v="3"/>
  </r>
  <r>
    <x v="9"/>
    <x v="0"/>
    <n v="437523"/>
    <x v="3"/>
  </r>
  <r>
    <x v="10"/>
    <x v="0"/>
    <n v="140041"/>
    <x v="3"/>
  </r>
  <r>
    <x v="11"/>
    <x v="0"/>
    <n v="185083"/>
    <x v="3"/>
  </r>
  <r>
    <x v="12"/>
    <x v="0"/>
    <n v="7230"/>
    <x v="3"/>
  </r>
  <r>
    <x v="26"/>
    <x v="0"/>
    <n v="887"/>
    <x v="3"/>
  </r>
  <r>
    <x v="13"/>
    <x v="0"/>
    <n v="58074"/>
    <x v="3"/>
  </r>
  <r>
    <x v="14"/>
    <x v="0"/>
    <n v="40472"/>
    <x v="3"/>
  </r>
  <r>
    <x v="15"/>
    <x v="0"/>
    <n v="354666"/>
    <x v="3"/>
  </r>
  <r>
    <x v="16"/>
    <x v="0"/>
    <n v="75832"/>
    <x v="3"/>
  </r>
  <r>
    <x v="17"/>
    <x v="0"/>
    <n v="481273"/>
    <x v="3"/>
  </r>
  <r>
    <x v="18"/>
    <x v="0"/>
    <n v="78559"/>
    <x v="3"/>
  </r>
  <r>
    <x v="20"/>
    <x v="0"/>
    <n v="49883"/>
    <x v="3"/>
  </r>
  <r>
    <x v="21"/>
    <x v="0"/>
    <n v="3820"/>
    <x v="3"/>
  </r>
  <r>
    <x v="22"/>
    <x v="0"/>
    <n v="3165"/>
    <x v="3"/>
  </r>
  <r>
    <x v="23"/>
    <x v="0"/>
    <n v="233999"/>
    <x v="3"/>
  </r>
  <r>
    <x v="24"/>
    <x v="0"/>
    <n v="200872"/>
    <x v="3"/>
  </r>
  <r>
    <x v="25"/>
    <x v="0"/>
    <n v="225934"/>
    <x v="3"/>
  </r>
  <r>
    <x v="0"/>
    <x v="0"/>
    <n v="1968"/>
    <x v="3"/>
  </r>
  <r>
    <x v="1"/>
    <x v="0"/>
    <n v="88531"/>
    <x v="3"/>
  </r>
  <r>
    <x v="2"/>
    <x v="0"/>
    <n v="61254"/>
    <x v="3"/>
  </r>
  <r>
    <x v="3"/>
    <x v="0"/>
    <n v="479"/>
    <x v="3"/>
  </r>
  <r>
    <x v="4"/>
    <x v="0"/>
    <n v="12360"/>
    <x v="3"/>
  </r>
  <r>
    <x v="5"/>
    <x v="0"/>
    <n v="74640"/>
    <x v="3"/>
  </r>
  <r>
    <x v="6"/>
    <x v="0"/>
    <n v="266913"/>
    <x v="3"/>
  </r>
  <r>
    <x v="7"/>
    <x v="0"/>
    <n v="47859"/>
    <x v="3"/>
  </r>
  <r>
    <x v="8"/>
    <x v="0"/>
    <n v="84878"/>
    <x v="3"/>
  </r>
  <r>
    <x v="9"/>
    <x v="0"/>
    <n v="146592"/>
    <x v="3"/>
  </r>
  <r>
    <x v="10"/>
    <x v="0"/>
    <n v="67069"/>
    <x v="3"/>
  </r>
  <r>
    <x v="11"/>
    <x v="0"/>
    <n v="85269"/>
    <x v="3"/>
  </r>
  <r>
    <x v="12"/>
    <x v="0"/>
    <n v="4056"/>
    <x v="3"/>
  </r>
  <r>
    <x v="26"/>
    <x v="0"/>
    <n v="299"/>
    <x v="3"/>
  </r>
  <r>
    <x v="13"/>
    <x v="0"/>
    <n v="47219"/>
    <x v="3"/>
  </r>
  <r>
    <x v="14"/>
    <x v="0"/>
    <n v="26628"/>
    <x v="3"/>
  </r>
  <r>
    <x v="15"/>
    <x v="0"/>
    <n v="254238"/>
    <x v="3"/>
  </r>
  <r>
    <x v="16"/>
    <x v="0"/>
    <n v="37075"/>
    <x v="3"/>
  </r>
  <r>
    <x v="17"/>
    <x v="0"/>
    <n v="262467"/>
    <x v="3"/>
  </r>
  <r>
    <x v="18"/>
    <x v="0"/>
    <n v="38318"/>
    <x v="3"/>
  </r>
  <r>
    <x v="20"/>
    <x v="0"/>
    <n v="36868"/>
    <x v="3"/>
  </r>
  <r>
    <x v="21"/>
    <x v="0"/>
    <n v="2111"/>
    <x v="3"/>
  </r>
  <r>
    <x v="22"/>
    <x v="0"/>
    <n v="1274"/>
    <x v="3"/>
  </r>
  <r>
    <x v="23"/>
    <x v="0"/>
    <n v="70160"/>
    <x v="3"/>
  </r>
  <r>
    <x v="24"/>
    <x v="0"/>
    <n v="158232"/>
    <x v="3"/>
  </r>
  <r>
    <x v="25"/>
    <x v="0"/>
    <n v="211698"/>
    <x v="3"/>
  </r>
  <r>
    <x v="0"/>
    <x v="0"/>
    <n v="12653"/>
    <x v="3"/>
  </r>
  <r>
    <x v="1"/>
    <x v="0"/>
    <n v="106189"/>
    <x v="3"/>
  </r>
  <r>
    <x v="2"/>
    <x v="0"/>
    <n v="69075"/>
    <x v="3"/>
  </r>
  <r>
    <x v="3"/>
    <x v="0"/>
    <n v="1362"/>
    <x v="3"/>
  </r>
  <r>
    <x v="4"/>
    <x v="0"/>
    <n v="12378"/>
    <x v="3"/>
  </r>
  <r>
    <x v="5"/>
    <x v="0"/>
    <n v="106987"/>
    <x v="3"/>
  </r>
  <r>
    <x v="6"/>
    <x v="0"/>
    <n v="407177"/>
    <x v="3"/>
  </r>
  <r>
    <x v="7"/>
    <x v="0"/>
    <n v="82697"/>
    <x v="3"/>
  </r>
  <r>
    <x v="8"/>
    <x v="0"/>
    <n v="130882"/>
    <x v="3"/>
  </r>
  <r>
    <x v="9"/>
    <x v="0"/>
    <n v="275177"/>
    <x v="3"/>
  </r>
  <r>
    <x v="10"/>
    <x v="0"/>
    <n v="99349"/>
    <x v="3"/>
  </r>
  <r>
    <x v="11"/>
    <x v="0"/>
    <n v="87342"/>
    <x v="3"/>
  </r>
  <r>
    <x v="12"/>
    <x v="0"/>
    <n v="6408"/>
    <x v="3"/>
  </r>
  <r>
    <x v="26"/>
    <x v="0"/>
    <n v="9139"/>
    <x v="3"/>
  </r>
  <r>
    <x v="13"/>
    <x v="0"/>
    <n v="78296"/>
    <x v="3"/>
  </r>
  <r>
    <x v="14"/>
    <x v="0"/>
    <n v="56914"/>
    <x v="3"/>
  </r>
  <r>
    <x v="15"/>
    <x v="0"/>
    <n v="358442"/>
    <x v="3"/>
  </r>
  <r>
    <x v="16"/>
    <x v="0"/>
    <n v="65654"/>
    <x v="3"/>
  </r>
  <r>
    <x v="17"/>
    <x v="0"/>
    <n v="379206"/>
    <x v="3"/>
  </r>
  <r>
    <x v="18"/>
    <x v="0"/>
    <n v="45231"/>
    <x v="3"/>
  </r>
  <r>
    <x v="20"/>
    <x v="0"/>
    <n v="46342"/>
    <x v="3"/>
  </r>
  <r>
    <x v="21"/>
    <x v="0"/>
    <n v="3878"/>
    <x v="3"/>
  </r>
  <r>
    <x v="22"/>
    <x v="0"/>
    <n v="1033"/>
    <x v="3"/>
  </r>
  <r>
    <x v="23"/>
    <x v="0"/>
    <n v="108549"/>
    <x v="3"/>
  </r>
  <r>
    <x v="24"/>
    <x v="0"/>
    <n v="162752"/>
    <x v="3"/>
  </r>
  <r>
    <x v="25"/>
    <x v="0"/>
    <n v="270023"/>
    <x v="3"/>
  </r>
  <r>
    <x v="0"/>
    <x v="0"/>
    <n v="5306"/>
    <x v="3"/>
  </r>
  <r>
    <x v="1"/>
    <x v="0"/>
    <n v="120895"/>
    <x v="3"/>
  </r>
  <r>
    <x v="2"/>
    <x v="0"/>
    <n v="67350"/>
    <x v="3"/>
  </r>
  <r>
    <x v="4"/>
    <x v="0"/>
    <n v="14232"/>
    <x v="3"/>
  </r>
  <r>
    <x v="5"/>
    <x v="0"/>
    <n v="105462"/>
    <x v="3"/>
  </r>
  <r>
    <x v="6"/>
    <x v="0"/>
    <n v="467870"/>
    <x v="3"/>
  </r>
  <r>
    <x v="7"/>
    <x v="0"/>
    <n v="72436"/>
    <x v="3"/>
  </r>
  <r>
    <x v="8"/>
    <x v="0"/>
    <n v="115999"/>
    <x v="3"/>
  </r>
  <r>
    <x v="9"/>
    <x v="0"/>
    <n v="223206"/>
    <x v="3"/>
  </r>
  <r>
    <x v="10"/>
    <x v="0"/>
    <n v="101490"/>
    <x v="3"/>
  </r>
  <r>
    <x v="11"/>
    <x v="0"/>
    <n v="95147"/>
    <x v="3"/>
  </r>
  <r>
    <x v="12"/>
    <x v="0"/>
    <n v="7664"/>
    <x v="3"/>
  </r>
  <r>
    <x v="26"/>
    <x v="0"/>
    <n v="15291"/>
    <x v="3"/>
  </r>
  <r>
    <x v="13"/>
    <x v="0"/>
    <n v="85204"/>
    <x v="3"/>
  </r>
  <r>
    <x v="14"/>
    <x v="0"/>
    <n v="71978"/>
    <x v="3"/>
  </r>
  <r>
    <x v="15"/>
    <x v="0"/>
    <n v="386862"/>
    <x v="3"/>
  </r>
  <r>
    <x v="16"/>
    <x v="0"/>
    <n v="71726"/>
    <x v="3"/>
  </r>
  <r>
    <x v="17"/>
    <x v="0"/>
    <n v="383152"/>
    <x v="3"/>
  </r>
  <r>
    <x v="18"/>
    <x v="0"/>
    <n v="37820"/>
    <x v="3"/>
  </r>
  <r>
    <x v="20"/>
    <x v="0"/>
    <n v="48838"/>
    <x v="3"/>
  </r>
  <r>
    <x v="21"/>
    <x v="0"/>
    <n v="2469"/>
    <x v="3"/>
  </r>
  <r>
    <x v="22"/>
    <x v="0"/>
    <n v="3625"/>
    <x v="3"/>
  </r>
  <r>
    <x v="23"/>
    <x v="0"/>
    <n v="138049"/>
    <x v="3"/>
  </r>
  <r>
    <x v="24"/>
    <x v="0"/>
    <n v="217668"/>
    <x v="3"/>
  </r>
  <r>
    <x v="25"/>
    <x v="0"/>
    <n v="254791"/>
    <x v="3"/>
  </r>
  <r>
    <x v="0"/>
    <x v="0"/>
    <n v="6180"/>
    <x v="3"/>
  </r>
  <r>
    <x v="1"/>
    <x v="0"/>
    <n v="134389"/>
    <x v="3"/>
  </r>
  <r>
    <x v="2"/>
    <x v="0"/>
    <n v="69561"/>
    <x v="3"/>
  </r>
  <r>
    <x v="3"/>
    <x v="0"/>
    <n v="479"/>
    <x v="3"/>
  </r>
  <r>
    <x v="4"/>
    <x v="0"/>
    <n v="5318"/>
    <x v="3"/>
  </r>
  <r>
    <x v="5"/>
    <x v="0"/>
    <n v="93925"/>
    <x v="3"/>
  </r>
  <r>
    <x v="6"/>
    <x v="0"/>
    <n v="328775"/>
    <x v="3"/>
  </r>
  <r>
    <x v="7"/>
    <x v="0"/>
    <n v="133747"/>
    <x v="3"/>
  </r>
  <r>
    <x v="8"/>
    <x v="0"/>
    <n v="99806"/>
    <x v="3"/>
  </r>
  <r>
    <x v="9"/>
    <x v="0"/>
    <n v="318119"/>
    <x v="3"/>
  </r>
  <r>
    <x v="10"/>
    <x v="0"/>
    <n v="115804"/>
    <x v="3"/>
  </r>
  <r>
    <x v="11"/>
    <x v="0"/>
    <n v="98776"/>
    <x v="3"/>
  </r>
  <r>
    <x v="12"/>
    <x v="0"/>
    <n v="7820"/>
    <x v="3"/>
  </r>
  <r>
    <x v="26"/>
    <x v="0"/>
    <n v="13595"/>
    <x v="3"/>
  </r>
  <r>
    <x v="13"/>
    <x v="0"/>
    <n v="99546"/>
    <x v="3"/>
  </r>
  <r>
    <x v="14"/>
    <x v="0"/>
    <n v="74911"/>
    <x v="3"/>
  </r>
  <r>
    <x v="15"/>
    <x v="0"/>
    <n v="411975"/>
    <x v="3"/>
  </r>
  <r>
    <x v="16"/>
    <x v="0"/>
    <n v="69577"/>
    <x v="3"/>
  </r>
  <r>
    <x v="17"/>
    <x v="0"/>
    <n v="419781"/>
    <x v="3"/>
  </r>
  <r>
    <x v="18"/>
    <x v="0"/>
    <n v="40671"/>
    <x v="3"/>
  </r>
  <r>
    <x v="19"/>
    <x v="0"/>
    <n v="574"/>
    <x v="3"/>
  </r>
  <r>
    <x v="20"/>
    <x v="0"/>
    <n v="47149"/>
    <x v="3"/>
  </r>
  <r>
    <x v="21"/>
    <x v="0"/>
    <n v="3234"/>
    <x v="3"/>
  </r>
  <r>
    <x v="22"/>
    <x v="0"/>
    <n v="1020"/>
    <x v="3"/>
  </r>
  <r>
    <x v="23"/>
    <x v="0"/>
    <n v="94313"/>
    <x v="3"/>
  </r>
  <r>
    <x v="24"/>
    <x v="0"/>
    <n v="144525"/>
    <x v="3"/>
  </r>
  <r>
    <x v="25"/>
    <x v="0"/>
    <n v="229915"/>
    <x v="3"/>
  </r>
  <r>
    <x v="0"/>
    <x v="0"/>
    <n v="5601"/>
    <x v="3"/>
  </r>
  <r>
    <x v="1"/>
    <x v="0"/>
    <n v="157365"/>
    <x v="3"/>
  </r>
  <r>
    <x v="2"/>
    <x v="0"/>
    <n v="105832"/>
    <x v="3"/>
  </r>
  <r>
    <x v="3"/>
    <x v="0"/>
    <n v="1362"/>
    <x v="3"/>
  </r>
  <r>
    <x v="4"/>
    <x v="0"/>
    <n v="10655"/>
    <x v="3"/>
  </r>
  <r>
    <x v="5"/>
    <x v="0"/>
    <n v="100304"/>
    <x v="3"/>
  </r>
  <r>
    <x v="6"/>
    <x v="0"/>
    <n v="355729"/>
    <x v="3"/>
  </r>
  <r>
    <x v="7"/>
    <x v="0"/>
    <n v="116355"/>
    <x v="3"/>
  </r>
  <r>
    <x v="8"/>
    <x v="0"/>
    <n v="139921"/>
    <x v="3"/>
  </r>
  <r>
    <x v="9"/>
    <x v="0"/>
    <n v="367323"/>
    <x v="3"/>
  </r>
  <r>
    <x v="10"/>
    <x v="0"/>
    <n v="134785"/>
    <x v="3"/>
  </r>
  <r>
    <x v="11"/>
    <x v="0"/>
    <n v="140624"/>
    <x v="3"/>
  </r>
  <r>
    <x v="12"/>
    <x v="0"/>
    <n v="10644"/>
    <x v="3"/>
  </r>
  <r>
    <x v="26"/>
    <x v="0"/>
    <n v="21113"/>
    <x v="3"/>
  </r>
  <r>
    <x v="13"/>
    <x v="0"/>
    <n v="98786"/>
    <x v="3"/>
  </r>
  <r>
    <x v="14"/>
    <x v="0"/>
    <n v="112475"/>
    <x v="3"/>
  </r>
  <r>
    <x v="15"/>
    <x v="0"/>
    <n v="519216"/>
    <x v="3"/>
  </r>
  <r>
    <x v="16"/>
    <x v="0"/>
    <n v="99861"/>
    <x v="3"/>
  </r>
  <r>
    <x v="17"/>
    <x v="0"/>
    <n v="568449"/>
    <x v="3"/>
  </r>
  <r>
    <x v="18"/>
    <x v="0"/>
    <n v="47270"/>
    <x v="3"/>
  </r>
  <r>
    <x v="20"/>
    <x v="0"/>
    <n v="57165"/>
    <x v="3"/>
  </r>
  <r>
    <x v="21"/>
    <x v="0"/>
    <n v="4412"/>
    <x v="3"/>
  </r>
  <r>
    <x v="22"/>
    <x v="0"/>
    <n v="4639"/>
    <x v="3"/>
  </r>
  <r>
    <x v="23"/>
    <x v="0"/>
    <n v="143095"/>
    <x v="3"/>
  </r>
  <r>
    <x v="24"/>
    <x v="0"/>
    <n v="236191"/>
    <x v="3"/>
  </r>
  <r>
    <x v="25"/>
    <x v="0"/>
    <n v="412685"/>
    <x v="3"/>
  </r>
  <r>
    <x v="0"/>
    <x v="0"/>
    <n v="3314"/>
    <x v="3"/>
  </r>
  <r>
    <x v="1"/>
    <x v="0"/>
    <n v="120958"/>
    <x v="3"/>
  </r>
  <r>
    <x v="2"/>
    <x v="0"/>
    <n v="62712"/>
    <x v="3"/>
  </r>
  <r>
    <x v="3"/>
    <x v="0"/>
    <n v="788"/>
    <x v="3"/>
  </r>
  <r>
    <x v="4"/>
    <x v="0"/>
    <n v="15367"/>
    <x v="3"/>
  </r>
  <r>
    <x v="5"/>
    <x v="0"/>
    <n v="106264"/>
    <x v="3"/>
  </r>
  <r>
    <x v="6"/>
    <x v="0"/>
    <n v="280999"/>
    <x v="3"/>
  </r>
  <r>
    <x v="7"/>
    <x v="0"/>
    <n v="107798"/>
    <x v="3"/>
  </r>
  <r>
    <x v="8"/>
    <x v="0"/>
    <n v="102505"/>
    <x v="3"/>
  </r>
  <r>
    <x v="9"/>
    <x v="0"/>
    <n v="381883"/>
    <x v="3"/>
  </r>
  <r>
    <x v="10"/>
    <x v="0"/>
    <n v="133406"/>
    <x v="3"/>
  </r>
  <r>
    <x v="11"/>
    <x v="0"/>
    <n v="138518"/>
    <x v="3"/>
  </r>
  <r>
    <x v="12"/>
    <x v="0"/>
    <n v="13260"/>
    <x v="3"/>
  </r>
  <r>
    <x v="26"/>
    <x v="0"/>
    <n v="16759"/>
    <x v="3"/>
  </r>
  <r>
    <x v="13"/>
    <x v="0"/>
    <n v="65170"/>
    <x v="3"/>
  </r>
  <r>
    <x v="14"/>
    <x v="0"/>
    <n v="78447"/>
    <x v="3"/>
  </r>
  <r>
    <x v="15"/>
    <x v="0"/>
    <n v="441463"/>
    <x v="3"/>
  </r>
  <r>
    <x v="16"/>
    <x v="0"/>
    <n v="83536"/>
    <x v="3"/>
  </r>
  <r>
    <x v="17"/>
    <x v="0"/>
    <n v="394410"/>
    <x v="3"/>
  </r>
  <r>
    <x v="18"/>
    <x v="0"/>
    <n v="66822"/>
    <x v="3"/>
  </r>
  <r>
    <x v="20"/>
    <x v="0"/>
    <n v="42533"/>
    <x v="3"/>
  </r>
  <r>
    <x v="22"/>
    <x v="0"/>
    <n v="2997"/>
    <x v="3"/>
  </r>
  <r>
    <x v="23"/>
    <x v="0"/>
    <n v="123548"/>
    <x v="3"/>
  </r>
  <r>
    <x v="24"/>
    <x v="0"/>
    <n v="203912"/>
    <x v="3"/>
  </r>
  <r>
    <x v="25"/>
    <x v="0"/>
    <n v="296422"/>
    <x v="3"/>
  </r>
  <r>
    <x v="0"/>
    <x v="0"/>
    <n v="3315"/>
    <x v="3"/>
  </r>
  <r>
    <x v="1"/>
    <x v="0"/>
    <n v="119547"/>
    <x v="3"/>
  </r>
  <r>
    <x v="2"/>
    <x v="0"/>
    <n v="64474"/>
    <x v="3"/>
  </r>
  <r>
    <x v="3"/>
    <x v="0"/>
    <n v="435"/>
    <x v="3"/>
  </r>
  <r>
    <x v="4"/>
    <x v="0"/>
    <n v="18122"/>
    <x v="3"/>
  </r>
  <r>
    <x v="5"/>
    <x v="0"/>
    <n v="89424"/>
    <x v="3"/>
  </r>
  <r>
    <x v="6"/>
    <x v="0"/>
    <n v="243047"/>
    <x v="3"/>
  </r>
  <r>
    <x v="7"/>
    <x v="0"/>
    <n v="68299"/>
    <x v="3"/>
  </r>
  <r>
    <x v="8"/>
    <x v="0"/>
    <n v="71274"/>
    <x v="3"/>
  </r>
  <r>
    <x v="9"/>
    <x v="0"/>
    <n v="261795"/>
    <x v="3"/>
  </r>
  <r>
    <x v="10"/>
    <x v="0"/>
    <n v="169603"/>
    <x v="3"/>
  </r>
  <r>
    <x v="11"/>
    <x v="0"/>
    <n v="99457"/>
    <x v="3"/>
  </r>
  <r>
    <x v="12"/>
    <x v="0"/>
    <n v="11344"/>
    <x v="3"/>
  </r>
  <r>
    <x v="26"/>
    <x v="0"/>
    <n v="11894"/>
    <x v="3"/>
  </r>
  <r>
    <x v="13"/>
    <x v="0"/>
    <n v="59981"/>
    <x v="3"/>
  </r>
  <r>
    <x v="14"/>
    <x v="0"/>
    <n v="63256"/>
    <x v="3"/>
  </r>
  <r>
    <x v="15"/>
    <x v="0"/>
    <n v="334111"/>
    <x v="3"/>
  </r>
  <r>
    <x v="16"/>
    <x v="0"/>
    <n v="57216"/>
    <x v="3"/>
  </r>
  <r>
    <x v="17"/>
    <x v="0"/>
    <n v="347093"/>
    <x v="3"/>
  </r>
  <r>
    <x v="18"/>
    <x v="0"/>
    <n v="45158"/>
    <x v="3"/>
  </r>
  <r>
    <x v="20"/>
    <x v="0"/>
    <n v="48609"/>
    <x v="3"/>
  </r>
  <r>
    <x v="21"/>
    <x v="0"/>
    <n v="10954"/>
    <x v="3"/>
  </r>
  <r>
    <x v="22"/>
    <x v="0"/>
    <n v="1783"/>
    <x v="3"/>
  </r>
  <r>
    <x v="23"/>
    <x v="0"/>
    <n v="90237"/>
    <x v="3"/>
  </r>
  <r>
    <x v="24"/>
    <x v="0"/>
    <n v="142322"/>
    <x v="3"/>
  </r>
  <r>
    <x v="25"/>
    <x v="0"/>
    <n v="224923"/>
    <x v="3"/>
  </r>
  <r>
    <x v="0"/>
    <x v="0"/>
    <n v="2841.55"/>
    <x v="3"/>
  </r>
  <r>
    <x v="1"/>
    <x v="0"/>
    <n v="84275.87"/>
    <x v="3"/>
  </r>
  <r>
    <x v="2"/>
    <x v="0"/>
    <n v="59530.91"/>
    <x v="3"/>
  </r>
  <r>
    <x v="3"/>
    <x v="0"/>
    <n v="744"/>
    <x v="3"/>
  </r>
  <r>
    <x v="4"/>
    <x v="0"/>
    <n v="8532.6"/>
    <x v="3"/>
  </r>
  <r>
    <x v="5"/>
    <x v="0"/>
    <n v="73948.899999999994"/>
    <x v="3"/>
  </r>
  <r>
    <x v="6"/>
    <x v="0"/>
    <n v="189371.02"/>
    <x v="3"/>
  </r>
  <r>
    <x v="7"/>
    <x v="0"/>
    <n v="44972.21"/>
    <x v="3"/>
  </r>
  <r>
    <x v="8"/>
    <x v="0"/>
    <n v="67126.929999999993"/>
    <x v="3"/>
  </r>
  <r>
    <x v="9"/>
    <x v="0"/>
    <n v="206294.96"/>
    <x v="3"/>
  </r>
  <r>
    <x v="10"/>
    <x v="0"/>
    <n v="97813.27"/>
    <x v="3"/>
  </r>
  <r>
    <x v="11"/>
    <x v="0"/>
    <n v="98083"/>
    <x v="3"/>
  </r>
  <r>
    <x v="12"/>
    <x v="0"/>
    <n v="12206"/>
    <x v="3"/>
  </r>
  <r>
    <x v="26"/>
    <x v="0"/>
    <n v="5238.45"/>
    <x v="3"/>
  </r>
  <r>
    <x v="13"/>
    <x v="0"/>
    <n v="38828.089999999997"/>
    <x v="3"/>
  </r>
  <r>
    <x v="14"/>
    <x v="0"/>
    <n v="63265.03"/>
    <x v="3"/>
  </r>
  <r>
    <x v="15"/>
    <x v="0"/>
    <n v="263216.86"/>
    <x v="3"/>
  </r>
  <r>
    <x v="16"/>
    <x v="0"/>
    <n v="51087.78"/>
    <x v="3"/>
  </r>
  <r>
    <x v="17"/>
    <x v="0"/>
    <n v="276988.5"/>
    <x v="3"/>
  </r>
  <r>
    <x v="18"/>
    <x v="0"/>
    <n v="28974.59"/>
    <x v="3"/>
  </r>
  <r>
    <x v="20"/>
    <x v="0"/>
    <n v="31823.63"/>
    <x v="3"/>
  </r>
  <r>
    <x v="21"/>
    <x v="0"/>
    <n v="3522.31"/>
    <x v="3"/>
  </r>
  <r>
    <x v="22"/>
    <x v="0"/>
    <n v="1110"/>
    <x v="3"/>
  </r>
  <r>
    <x v="23"/>
    <x v="0"/>
    <n v="67505.440000000002"/>
    <x v="3"/>
  </r>
  <r>
    <x v="24"/>
    <x v="0"/>
    <n v="136180.81"/>
    <x v="3"/>
  </r>
  <r>
    <x v="25"/>
    <x v="0"/>
    <n v="141142.94"/>
    <x v="3"/>
  </r>
  <r>
    <x v="0"/>
    <x v="0"/>
    <n v="8203"/>
    <x v="3"/>
  </r>
  <r>
    <x v="1"/>
    <x v="0"/>
    <n v="92660"/>
    <x v="3"/>
  </r>
  <r>
    <x v="2"/>
    <x v="0"/>
    <n v="134735"/>
    <x v="3"/>
  </r>
  <r>
    <x v="4"/>
    <x v="0"/>
    <n v="3581"/>
    <x v="3"/>
  </r>
  <r>
    <x v="5"/>
    <x v="0"/>
    <n v="57058"/>
    <x v="3"/>
  </r>
  <r>
    <x v="6"/>
    <x v="0"/>
    <n v="248750"/>
    <x v="3"/>
  </r>
  <r>
    <x v="7"/>
    <x v="0"/>
    <n v="69728"/>
    <x v="3"/>
  </r>
  <r>
    <x v="8"/>
    <x v="0"/>
    <n v="69203"/>
    <x v="3"/>
  </r>
  <r>
    <x v="9"/>
    <x v="0"/>
    <n v="217560"/>
    <x v="3"/>
  </r>
  <r>
    <x v="10"/>
    <x v="0"/>
    <n v="135530"/>
    <x v="3"/>
  </r>
  <r>
    <x v="11"/>
    <x v="0"/>
    <n v="121136"/>
    <x v="3"/>
  </r>
  <r>
    <x v="12"/>
    <x v="0"/>
    <n v="12214"/>
    <x v="3"/>
  </r>
  <r>
    <x v="26"/>
    <x v="0"/>
    <n v="5693"/>
    <x v="3"/>
  </r>
  <r>
    <x v="13"/>
    <x v="0"/>
    <n v="32564"/>
    <x v="3"/>
  </r>
  <r>
    <x v="14"/>
    <x v="0"/>
    <n v="48392"/>
    <x v="3"/>
  </r>
  <r>
    <x v="15"/>
    <x v="0"/>
    <n v="296724"/>
    <x v="3"/>
  </r>
  <r>
    <x v="16"/>
    <x v="0"/>
    <n v="60529"/>
    <x v="3"/>
  </r>
  <r>
    <x v="17"/>
    <x v="0"/>
    <n v="312852"/>
    <x v="3"/>
  </r>
  <r>
    <x v="18"/>
    <x v="0"/>
    <n v="24339"/>
    <x v="3"/>
  </r>
  <r>
    <x v="20"/>
    <x v="0"/>
    <n v="39882"/>
    <x v="3"/>
  </r>
  <r>
    <x v="21"/>
    <x v="0"/>
    <n v="1175"/>
    <x v="3"/>
  </r>
  <r>
    <x v="22"/>
    <x v="0"/>
    <n v="2991"/>
    <x v="3"/>
  </r>
  <r>
    <x v="23"/>
    <x v="0"/>
    <n v="146437"/>
    <x v="3"/>
  </r>
  <r>
    <x v="24"/>
    <x v="0"/>
    <n v="145622"/>
    <x v="3"/>
  </r>
  <r>
    <x v="25"/>
    <x v="0"/>
    <n v="219633"/>
    <x v="3"/>
  </r>
  <r>
    <x v="0"/>
    <x v="0"/>
    <n v="10854"/>
    <x v="3"/>
  </r>
  <r>
    <x v="1"/>
    <x v="0"/>
    <n v="120953"/>
    <x v="3"/>
  </r>
  <r>
    <x v="2"/>
    <x v="0"/>
    <n v="89508"/>
    <x v="3"/>
  </r>
  <r>
    <x v="3"/>
    <x v="0"/>
    <n v="870"/>
    <x v="3"/>
  </r>
  <r>
    <x v="4"/>
    <x v="0"/>
    <n v="6765"/>
    <x v="3"/>
  </r>
  <r>
    <x v="5"/>
    <x v="0"/>
    <n v="58956"/>
    <x v="3"/>
  </r>
  <r>
    <x v="6"/>
    <x v="0"/>
    <n v="371186"/>
    <x v="3"/>
  </r>
  <r>
    <x v="7"/>
    <x v="0"/>
    <n v="86102"/>
    <x v="3"/>
  </r>
  <r>
    <x v="8"/>
    <x v="0"/>
    <n v="96426"/>
    <x v="3"/>
  </r>
  <r>
    <x v="9"/>
    <x v="0"/>
    <n v="220122"/>
    <x v="3"/>
  </r>
  <r>
    <x v="10"/>
    <x v="0"/>
    <n v="91438"/>
    <x v="3"/>
  </r>
  <r>
    <x v="11"/>
    <x v="0"/>
    <n v="92511"/>
    <x v="3"/>
  </r>
  <r>
    <x v="12"/>
    <x v="0"/>
    <n v="4630"/>
    <x v="3"/>
  </r>
  <r>
    <x v="26"/>
    <x v="0"/>
    <n v="7943"/>
    <x v="3"/>
  </r>
  <r>
    <x v="13"/>
    <x v="0"/>
    <n v="64807"/>
    <x v="3"/>
  </r>
  <r>
    <x v="14"/>
    <x v="0"/>
    <n v="55889"/>
    <x v="3"/>
  </r>
  <r>
    <x v="15"/>
    <x v="0"/>
    <n v="372500"/>
    <x v="3"/>
  </r>
  <r>
    <x v="16"/>
    <x v="0"/>
    <n v="62079"/>
    <x v="3"/>
  </r>
  <r>
    <x v="17"/>
    <x v="0"/>
    <n v="381735"/>
    <x v="3"/>
  </r>
  <r>
    <x v="18"/>
    <x v="0"/>
    <n v="31265"/>
    <x v="3"/>
  </r>
  <r>
    <x v="20"/>
    <x v="0"/>
    <n v="44703"/>
    <x v="3"/>
  </r>
  <r>
    <x v="21"/>
    <x v="0"/>
    <n v="4255"/>
    <x v="3"/>
  </r>
  <r>
    <x v="22"/>
    <x v="0"/>
    <n v="1553"/>
    <x v="3"/>
  </r>
  <r>
    <x v="23"/>
    <x v="0"/>
    <n v="81837"/>
    <x v="3"/>
  </r>
  <r>
    <x v="24"/>
    <x v="0"/>
    <n v="197813"/>
    <x v="3"/>
  </r>
  <r>
    <x v="25"/>
    <x v="0"/>
    <n v="203876"/>
    <x v="3"/>
  </r>
  <r>
    <x v="0"/>
    <x v="0"/>
    <n v="7744"/>
    <x v="3"/>
  </r>
  <r>
    <x v="1"/>
    <x v="0"/>
    <n v="157211"/>
    <x v="3"/>
  </r>
  <r>
    <x v="2"/>
    <x v="0"/>
    <n v="100435"/>
    <x v="3"/>
  </r>
  <r>
    <x v="3"/>
    <x v="0"/>
    <n v="309"/>
    <x v="3"/>
  </r>
  <r>
    <x v="4"/>
    <x v="0"/>
    <n v="6025"/>
    <x v="3"/>
  </r>
  <r>
    <x v="5"/>
    <x v="0"/>
    <n v="95512"/>
    <x v="3"/>
  </r>
  <r>
    <x v="6"/>
    <x v="0"/>
    <n v="394184"/>
    <x v="3"/>
  </r>
  <r>
    <x v="7"/>
    <x v="0"/>
    <n v="101110"/>
    <x v="3"/>
  </r>
  <r>
    <x v="8"/>
    <x v="0"/>
    <n v="138177"/>
    <x v="3"/>
  </r>
  <r>
    <x v="9"/>
    <x v="0"/>
    <n v="435845"/>
    <x v="3"/>
  </r>
  <r>
    <x v="10"/>
    <x v="0"/>
    <n v="168436"/>
    <x v="3"/>
  </r>
  <r>
    <x v="11"/>
    <x v="0"/>
    <n v="152900"/>
    <x v="3"/>
  </r>
  <r>
    <x v="12"/>
    <x v="0"/>
    <n v="6098"/>
    <x v="3"/>
  </r>
  <r>
    <x v="26"/>
    <x v="0"/>
    <n v="14306"/>
    <x v="3"/>
  </r>
  <r>
    <x v="13"/>
    <x v="0"/>
    <n v="52423"/>
    <x v="3"/>
  </r>
  <r>
    <x v="14"/>
    <x v="0"/>
    <n v="61712"/>
    <x v="3"/>
  </r>
  <r>
    <x v="15"/>
    <x v="0"/>
    <n v="391731"/>
    <x v="3"/>
  </r>
  <r>
    <x v="16"/>
    <x v="0"/>
    <n v="73037"/>
    <x v="3"/>
  </r>
  <r>
    <x v="17"/>
    <x v="0"/>
    <n v="427785"/>
    <x v="3"/>
  </r>
  <r>
    <x v="18"/>
    <x v="0"/>
    <n v="47146"/>
    <x v="3"/>
  </r>
  <r>
    <x v="20"/>
    <x v="0"/>
    <n v="51528"/>
    <x v="3"/>
  </r>
  <r>
    <x v="21"/>
    <x v="0"/>
    <n v="3994"/>
    <x v="3"/>
  </r>
  <r>
    <x v="22"/>
    <x v="0"/>
    <n v="823"/>
    <x v="3"/>
  </r>
  <r>
    <x v="23"/>
    <x v="0"/>
    <n v="92853"/>
    <x v="3"/>
  </r>
  <r>
    <x v="24"/>
    <x v="0"/>
    <n v="500950"/>
    <x v="3"/>
  </r>
  <r>
    <x v="25"/>
    <x v="0"/>
    <n v="242025"/>
    <x v="3"/>
  </r>
  <r>
    <x v="0"/>
    <x v="0"/>
    <n v="14375"/>
    <x v="3"/>
  </r>
  <r>
    <x v="1"/>
    <x v="0"/>
    <n v="231849"/>
    <x v="3"/>
  </r>
  <r>
    <x v="2"/>
    <x v="0"/>
    <n v="128233"/>
    <x v="3"/>
  </r>
  <r>
    <x v="3"/>
    <x v="0"/>
    <n v="1740"/>
    <x v="3"/>
  </r>
  <r>
    <x v="4"/>
    <x v="0"/>
    <n v="11880"/>
    <x v="3"/>
  </r>
  <r>
    <x v="5"/>
    <x v="0"/>
    <n v="133602"/>
    <x v="3"/>
  </r>
  <r>
    <x v="6"/>
    <x v="0"/>
    <n v="646951"/>
    <x v="3"/>
  </r>
  <r>
    <x v="7"/>
    <x v="0"/>
    <n v="163816"/>
    <x v="3"/>
  </r>
  <r>
    <x v="8"/>
    <x v="0"/>
    <n v="225819"/>
    <x v="3"/>
  </r>
  <r>
    <x v="9"/>
    <x v="0"/>
    <n v="543762"/>
    <x v="3"/>
  </r>
  <r>
    <x v="10"/>
    <x v="0"/>
    <n v="172653"/>
    <x v="3"/>
  </r>
  <r>
    <x v="11"/>
    <x v="0"/>
    <n v="184296"/>
    <x v="3"/>
  </r>
  <r>
    <x v="12"/>
    <x v="0"/>
    <n v="905"/>
    <x v="3"/>
  </r>
  <r>
    <x v="26"/>
    <x v="0"/>
    <n v="10665"/>
    <x v="3"/>
  </r>
  <r>
    <x v="13"/>
    <x v="0"/>
    <n v="103793"/>
    <x v="3"/>
  </r>
  <r>
    <x v="14"/>
    <x v="0"/>
    <n v="116045"/>
    <x v="3"/>
  </r>
  <r>
    <x v="15"/>
    <x v="0"/>
    <n v="480643"/>
    <x v="3"/>
  </r>
  <r>
    <x v="16"/>
    <x v="0"/>
    <n v="116471"/>
    <x v="3"/>
  </r>
  <r>
    <x v="17"/>
    <x v="0"/>
    <n v="866122"/>
    <x v="3"/>
  </r>
  <r>
    <x v="18"/>
    <x v="0"/>
    <n v="71634"/>
    <x v="3"/>
  </r>
  <r>
    <x v="20"/>
    <x v="0"/>
    <n v="62850"/>
    <x v="3"/>
  </r>
  <r>
    <x v="21"/>
    <x v="0"/>
    <n v="5110"/>
    <x v="3"/>
  </r>
  <r>
    <x v="22"/>
    <x v="0"/>
    <n v="3922"/>
    <x v="3"/>
  </r>
  <r>
    <x v="23"/>
    <x v="0"/>
    <n v="138332"/>
    <x v="3"/>
  </r>
  <r>
    <x v="24"/>
    <x v="0"/>
    <n v="388693"/>
    <x v="3"/>
  </r>
  <r>
    <x v="25"/>
    <x v="0"/>
    <n v="338554"/>
    <x v="3"/>
  </r>
  <r>
    <x v="0"/>
    <x v="0"/>
    <n v="9563.98"/>
    <x v="3"/>
  </r>
  <r>
    <x v="1"/>
    <x v="0"/>
    <n v="209681"/>
    <x v="3"/>
  </r>
  <r>
    <x v="2"/>
    <x v="0"/>
    <n v="121618"/>
    <x v="3"/>
  </r>
  <r>
    <x v="3"/>
    <x v="0"/>
    <n v="2232"/>
    <x v="3"/>
  </r>
  <r>
    <x v="4"/>
    <x v="0"/>
    <n v="8474.5499999999993"/>
    <x v="3"/>
  </r>
  <r>
    <x v="5"/>
    <x v="0"/>
    <n v="134757"/>
    <x v="3"/>
  </r>
  <r>
    <x v="6"/>
    <x v="0"/>
    <n v="496487"/>
    <x v="3"/>
  </r>
  <r>
    <x v="7"/>
    <x v="0"/>
    <n v="132293"/>
    <x v="3"/>
  </r>
  <r>
    <x v="8"/>
    <x v="0"/>
    <n v="204868"/>
    <x v="3"/>
  </r>
  <r>
    <x v="9"/>
    <x v="0"/>
    <n v="417718"/>
    <x v="3"/>
  </r>
  <r>
    <x v="10"/>
    <x v="0"/>
    <n v="122595"/>
    <x v="3"/>
  </r>
  <r>
    <x v="11"/>
    <x v="0"/>
    <n v="154873"/>
    <x v="3"/>
  </r>
  <r>
    <x v="12"/>
    <x v="0"/>
    <n v="5822"/>
    <x v="3"/>
  </r>
  <r>
    <x v="26"/>
    <x v="0"/>
    <n v="3331"/>
    <x v="3"/>
  </r>
  <r>
    <x v="13"/>
    <x v="0"/>
    <n v="103679"/>
    <x v="3"/>
  </r>
  <r>
    <x v="14"/>
    <x v="0"/>
    <n v="94954"/>
    <x v="3"/>
  </r>
  <r>
    <x v="15"/>
    <x v="0"/>
    <n v="425912"/>
    <x v="3"/>
  </r>
  <r>
    <x v="16"/>
    <x v="0"/>
    <n v="111173"/>
    <x v="3"/>
  </r>
  <r>
    <x v="17"/>
    <x v="0"/>
    <n v="726860"/>
    <x v="3"/>
  </r>
  <r>
    <x v="18"/>
    <x v="0"/>
    <n v="80441"/>
    <x v="3"/>
  </r>
  <r>
    <x v="20"/>
    <x v="0"/>
    <n v="62570"/>
    <x v="3"/>
  </r>
  <r>
    <x v="21"/>
    <x v="0"/>
    <n v="5609"/>
    <x v="3"/>
  </r>
  <r>
    <x v="22"/>
    <x v="0"/>
    <n v="1620"/>
    <x v="3"/>
  </r>
  <r>
    <x v="23"/>
    <x v="0"/>
    <n v="126803"/>
    <x v="3"/>
  </r>
  <r>
    <x v="24"/>
    <x v="0"/>
    <n v="326114"/>
    <x v="3"/>
  </r>
  <r>
    <x v="25"/>
    <x v="0"/>
    <n v="314703"/>
    <x v="3"/>
  </r>
  <r>
    <x v="0"/>
    <x v="0"/>
    <n v="9704"/>
    <x v="3"/>
  </r>
  <r>
    <x v="1"/>
    <x v="0"/>
    <n v="166420"/>
    <x v="3"/>
  </r>
  <r>
    <x v="2"/>
    <x v="0"/>
    <n v="66282"/>
    <x v="3"/>
  </r>
  <r>
    <x v="3"/>
    <x v="0"/>
    <n v="744"/>
    <x v="3"/>
  </r>
  <r>
    <x v="4"/>
    <x v="0"/>
    <n v="5345"/>
    <x v="3"/>
  </r>
  <r>
    <x v="5"/>
    <x v="0"/>
    <n v="90030"/>
    <x v="3"/>
  </r>
  <r>
    <x v="6"/>
    <x v="0"/>
    <n v="347894"/>
    <x v="3"/>
  </r>
  <r>
    <x v="7"/>
    <x v="0"/>
    <n v="87406"/>
    <x v="3"/>
  </r>
  <r>
    <x v="8"/>
    <x v="0"/>
    <n v="116333"/>
    <x v="3"/>
  </r>
  <r>
    <x v="9"/>
    <x v="0"/>
    <n v="389685"/>
    <x v="3"/>
  </r>
  <r>
    <x v="10"/>
    <x v="0"/>
    <n v="99146"/>
    <x v="3"/>
  </r>
  <r>
    <x v="11"/>
    <x v="0"/>
    <n v="119466"/>
    <x v="3"/>
  </r>
  <r>
    <x v="12"/>
    <x v="0"/>
    <n v="6326"/>
    <x v="3"/>
  </r>
  <r>
    <x v="26"/>
    <x v="0"/>
    <n v="3295"/>
    <x v="3"/>
  </r>
  <r>
    <x v="13"/>
    <x v="0"/>
    <n v="40676"/>
    <x v="3"/>
  </r>
  <r>
    <x v="14"/>
    <x v="0"/>
    <n v="56052"/>
    <x v="3"/>
  </r>
  <r>
    <x v="15"/>
    <x v="0"/>
    <n v="241614"/>
    <x v="3"/>
  </r>
  <r>
    <x v="16"/>
    <x v="0"/>
    <n v="56780"/>
    <x v="3"/>
  </r>
  <r>
    <x v="17"/>
    <x v="0"/>
    <n v="355467"/>
    <x v="3"/>
  </r>
  <r>
    <x v="18"/>
    <x v="0"/>
    <n v="76676"/>
    <x v="3"/>
  </r>
  <r>
    <x v="20"/>
    <x v="0"/>
    <n v="51317"/>
    <x v="3"/>
  </r>
  <r>
    <x v="21"/>
    <x v="0"/>
    <n v="5542"/>
    <x v="3"/>
  </r>
  <r>
    <x v="22"/>
    <x v="0"/>
    <n v="709"/>
    <x v="3"/>
  </r>
  <r>
    <x v="23"/>
    <x v="0"/>
    <n v="102068"/>
    <x v="3"/>
  </r>
  <r>
    <x v="24"/>
    <x v="0"/>
    <n v="177578"/>
    <x v="3"/>
  </r>
  <r>
    <x v="25"/>
    <x v="0"/>
    <n v="226101"/>
    <x v="3"/>
  </r>
  <r>
    <x v="0"/>
    <x v="0"/>
    <n v="8454"/>
    <x v="3"/>
  </r>
  <r>
    <x v="1"/>
    <x v="0"/>
    <n v="110109.34"/>
    <x v="3"/>
  </r>
  <r>
    <x v="2"/>
    <x v="0"/>
    <n v="52085.46"/>
    <x v="3"/>
  </r>
  <r>
    <x v="4"/>
    <x v="0"/>
    <n v="5606.84"/>
    <x v="3"/>
  </r>
  <r>
    <x v="5"/>
    <x v="0"/>
    <n v="92194"/>
    <x v="3"/>
  </r>
  <r>
    <x v="6"/>
    <x v="0"/>
    <n v="256327"/>
    <x v="3"/>
  </r>
  <r>
    <x v="7"/>
    <x v="0"/>
    <n v="56524"/>
    <x v="3"/>
  </r>
  <r>
    <x v="8"/>
    <x v="0"/>
    <n v="96223"/>
    <x v="3"/>
  </r>
  <r>
    <x v="9"/>
    <x v="0"/>
    <n v="217973.88"/>
    <x v="3"/>
  </r>
  <r>
    <x v="10"/>
    <x v="0"/>
    <n v="70713.899999999994"/>
    <x v="3"/>
  </r>
  <r>
    <x v="11"/>
    <x v="0"/>
    <n v="83975"/>
    <x v="3"/>
  </r>
  <r>
    <x v="12"/>
    <x v="0"/>
    <n v="4928"/>
    <x v="3"/>
  </r>
  <r>
    <x v="26"/>
    <x v="0"/>
    <n v="590"/>
    <x v="3"/>
  </r>
  <r>
    <x v="13"/>
    <x v="0"/>
    <n v="29971.759999999998"/>
    <x v="3"/>
  </r>
  <r>
    <x v="14"/>
    <x v="0"/>
    <n v="39842"/>
    <x v="3"/>
  </r>
  <r>
    <x v="15"/>
    <x v="0"/>
    <n v="158399"/>
    <x v="3"/>
  </r>
  <r>
    <x v="16"/>
    <x v="0"/>
    <n v="37735.360000000001"/>
    <x v="3"/>
  </r>
  <r>
    <x v="17"/>
    <x v="0"/>
    <n v="184150.33"/>
    <x v="3"/>
  </r>
  <r>
    <x v="18"/>
    <x v="0"/>
    <n v="35341.72"/>
    <x v="3"/>
  </r>
  <r>
    <x v="20"/>
    <x v="0"/>
    <n v="32043.09"/>
    <x v="3"/>
  </r>
  <r>
    <x v="21"/>
    <x v="0"/>
    <n v="1080.54"/>
    <x v="3"/>
  </r>
  <r>
    <x v="22"/>
    <x v="0"/>
    <n v="861.52"/>
    <x v="3"/>
  </r>
  <r>
    <x v="23"/>
    <x v="0"/>
    <n v="83981.58"/>
    <x v="3"/>
  </r>
  <r>
    <x v="24"/>
    <x v="0"/>
    <n v="144279.57999999999"/>
    <x v="3"/>
  </r>
  <r>
    <x v="25"/>
    <x v="0"/>
    <n v="167078.95000000001"/>
    <x v="3"/>
  </r>
  <r>
    <x v="0"/>
    <x v="0"/>
    <n v="3368.99"/>
    <x v="3"/>
  </r>
  <r>
    <x v="1"/>
    <x v="0"/>
    <n v="70525.789999999994"/>
    <x v="3"/>
  </r>
  <r>
    <x v="2"/>
    <x v="0"/>
    <n v="38686.68"/>
    <x v="3"/>
  </r>
  <r>
    <x v="3"/>
    <x v="0"/>
    <n v="574"/>
    <x v="3"/>
  </r>
  <r>
    <x v="4"/>
    <x v="0"/>
    <n v="3303"/>
    <x v="3"/>
  </r>
  <r>
    <x v="5"/>
    <x v="0"/>
    <n v="84366.44"/>
    <x v="3"/>
  </r>
  <r>
    <x v="6"/>
    <x v="0"/>
    <n v="213886.4"/>
    <x v="3"/>
  </r>
  <r>
    <x v="7"/>
    <x v="0"/>
    <n v="44423.13"/>
    <x v="3"/>
  </r>
  <r>
    <x v="8"/>
    <x v="0"/>
    <n v="91036.98"/>
    <x v="3"/>
  </r>
  <r>
    <x v="9"/>
    <x v="0"/>
    <n v="116690.43"/>
    <x v="3"/>
  </r>
  <r>
    <x v="10"/>
    <x v="0"/>
    <n v="58210.29"/>
    <x v="3"/>
  </r>
  <r>
    <x v="11"/>
    <x v="0"/>
    <n v="67229"/>
    <x v="3"/>
  </r>
  <r>
    <x v="12"/>
    <x v="0"/>
    <n v="6612"/>
    <x v="3"/>
  </r>
  <r>
    <x v="26"/>
    <x v="0"/>
    <n v="681"/>
    <x v="3"/>
  </r>
  <r>
    <x v="13"/>
    <x v="0"/>
    <n v="40706.400000000001"/>
    <x v="3"/>
  </r>
  <r>
    <x v="14"/>
    <x v="0"/>
    <n v="23198.69"/>
    <x v="3"/>
  </r>
  <r>
    <x v="15"/>
    <x v="0"/>
    <n v="157981.79999999999"/>
    <x v="3"/>
  </r>
  <r>
    <x v="16"/>
    <x v="0"/>
    <n v="36195.4"/>
    <x v="3"/>
  </r>
  <r>
    <x v="17"/>
    <x v="0"/>
    <n v="184983.49"/>
    <x v="3"/>
  </r>
  <r>
    <x v="18"/>
    <x v="0"/>
    <n v="25911.26"/>
    <x v="3"/>
  </r>
  <r>
    <x v="20"/>
    <x v="0"/>
    <n v="25988.25"/>
    <x v="3"/>
  </r>
  <r>
    <x v="21"/>
    <x v="0"/>
    <n v="1256.9000000000001"/>
    <x v="3"/>
  </r>
  <r>
    <x v="22"/>
    <x v="0"/>
    <n v="642"/>
    <x v="3"/>
  </r>
  <r>
    <x v="23"/>
    <x v="0"/>
    <n v="65272.35"/>
    <x v="3"/>
  </r>
  <r>
    <x v="24"/>
    <x v="0"/>
    <n v="146535.49"/>
    <x v="3"/>
  </r>
  <r>
    <x v="25"/>
    <x v="0"/>
    <n v="189718.95"/>
    <x v="3"/>
  </r>
  <r>
    <x v="0"/>
    <x v="0"/>
    <n v="7244"/>
    <x v="3"/>
  </r>
  <r>
    <x v="1"/>
    <x v="0"/>
    <n v="101016"/>
    <x v="3"/>
  </r>
  <r>
    <x v="2"/>
    <x v="0"/>
    <n v="49604"/>
    <x v="3"/>
  </r>
  <r>
    <x v="4"/>
    <x v="0"/>
    <n v="2691"/>
    <x v="3"/>
  </r>
  <r>
    <x v="5"/>
    <x v="0"/>
    <n v="73005"/>
    <x v="3"/>
  </r>
  <r>
    <x v="6"/>
    <x v="0"/>
    <n v="249260"/>
    <x v="3"/>
  </r>
  <r>
    <x v="7"/>
    <x v="0"/>
    <n v="51775"/>
    <x v="3"/>
  </r>
  <r>
    <x v="8"/>
    <x v="0"/>
    <n v="65864"/>
    <x v="3"/>
  </r>
  <r>
    <x v="9"/>
    <x v="0"/>
    <n v="132996"/>
    <x v="3"/>
  </r>
  <r>
    <x v="10"/>
    <x v="0"/>
    <n v="62308"/>
    <x v="3"/>
  </r>
  <r>
    <x v="11"/>
    <x v="0"/>
    <n v="71194"/>
    <x v="3"/>
  </r>
  <r>
    <x v="12"/>
    <x v="0"/>
    <n v="1984"/>
    <x v="3"/>
  </r>
  <r>
    <x v="26"/>
    <x v="0"/>
    <n v="625"/>
    <x v="3"/>
  </r>
  <r>
    <x v="13"/>
    <x v="0"/>
    <n v="37122"/>
    <x v="3"/>
  </r>
  <r>
    <x v="14"/>
    <x v="0"/>
    <n v="34479"/>
    <x v="3"/>
  </r>
  <r>
    <x v="15"/>
    <x v="0"/>
    <n v="186879"/>
    <x v="3"/>
  </r>
  <r>
    <x v="16"/>
    <x v="0"/>
    <n v="33726"/>
    <x v="3"/>
  </r>
  <r>
    <x v="17"/>
    <x v="0"/>
    <n v="213120"/>
    <x v="3"/>
  </r>
  <r>
    <x v="18"/>
    <x v="0"/>
    <n v="29811"/>
    <x v="3"/>
  </r>
  <r>
    <x v="20"/>
    <x v="0"/>
    <n v="42231"/>
    <x v="3"/>
  </r>
  <r>
    <x v="21"/>
    <x v="0"/>
    <n v="3309"/>
    <x v="3"/>
  </r>
  <r>
    <x v="22"/>
    <x v="0"/>
    <n v="4356"/>
    <x v="3"/>
  </r>
  <r>
    <x v="23"/>
    <x v="0"/>
    <n v="62520"/>
    <x v="3"/>
  </r>
  <r>
    <x v="24"/>
    <x v="0"/>
    <n v="154137"/>
    <x v="3"/>
  </r>
  <r>
    <x v="25"/>
    <x v="0"/>
    <n v="144977"/>
    <x v="3"/>
  </r>
  <r>
    <x v="0"/>
    <x v="0"/>
    <n v="6043"/>
    <x v="3"/>
  </r>
  <r>
    <x v="1"/>
    <x v="0"/>
    <n v="89879"/>
    <x v="3"/>
  </r>
  <r>
    <x v="2"/>
    <x v="0"/>
    <n v="43990"/>
    <x v="3"/>
  </r>
  <r>
    <x v="3"/>
    <x v="0"/>
    <n v="435"/>
    <x v="3"/>
  </r>
  <r>
    <x v="4"/>
    <x v="0"/>
    <n v="6299"/>
    <x v="3"/>
  </r>
  <r>
    <x v="5"/>
    <x v="0"/>
    <n v="101792"/>
    <x v="3"/>
  </r>
  <r>
    <x v="6"/>
    <x v="0"/>
    <n v="229983"/>
    <x v="3"/>
  </r>
  <r>
    <x v="7"/>
    <x v="0"/>
    <n v="63943"/>
    <x v="3"/>
  </r>
  <r>
    <x v="8"/>
    <x v="0"/>
    <n v="75822"/>
    <x v="3"/>
  </r>
  <r>
    <x v="9"/>
    <x v="0"/>
    <n v="200759"/>
    <x v="3"/>
  </r>
  <r>
    <x v="10"/>
    <x v="0"/>
    <n v="70075"/>
    <x v="3"/>
  </r>
  <r>
    <x v="11"/>
    <x v="0"/>
    <n v="66892"/>
    <x v="3"/>
  </r>
  <r>
    <x v="12"/>
    <x v="0"/>
    <n v="5336"/>
    <x v="3"/>
  </r>
  <r>
    <x v="13"/>
    <x v="0"/>
    <n v="66957"/>
    <x v="3"/>
  </r>
  <r>
    <x v="14"/>
    <x v="0"/>
    <n v="19299"/>
    <x v="3"/>
  </r>
  <r>
    <x v="15"/>
    <x v="0"/>
    <n v="178227"/>
    <x v="3"/>
  </r>
  <r>
    <x v="16"/>
    <x v="0"/>
    <n v="34665"/>
    <x v="3"/>
  </r>
  <r>
    <x v="17"/>
    <x v="0"/>
    <n v="233366"/>
    <x v="3"/>
  </r>
  <r>
    <x v="18"/>
    <x v="0"/>
    <n v="36447"/>
    <x v="3"/>
  </r>
  <r>
    <x v="20"/>
    <x v="0"/>
    <n v="33467"/>
    <x v="3"/>
  </r>
  <r>
    <x v="21"/>
    <x v="0"/>
    <n v="1947"/>
    <x v="3"/>
  </r>
  <r>
    <x v="22"/>
    <x v="0"/>
    <n v="2895"/>
    <x v="3"/>
  </r>
  <r>
    <x v="23"/>
    <x v="0"/>
    <n v="68202"/>
    <x v="3"/>
  </r>
  <r>
    <x v="24"/>
    <x v="0"/>
    <n v="127659"/>
    <x v="3"/>
  </r>
  <r>
    <x v="25"/>
    <x v="0"/>
    <n v="135112"/>
    <x v="3"/>
  </r>
  <r>
    <x v="0"/>
    <x v="0"/>
    <n v="6666"/>
    <x v="3"/>
  </r>
  <r>
    <x v="1"/>
    <x v="0"/>
    <n v="109035.1"/>
    <x v="3"/>
  </r>
  <r>
    <x v="2"/>
    <x v="0"/>
    <n v="61553.3"/>
    <x v="3"/>
  </r>
  <r>
    <x v="3"/>
    <x v="0"/>
    <n v="574"/>
    <x v="3"/>
  </r>
  <r>
    <x v="4"/>
    <x v="0"/>
    <n v="2344"/>
    <x v="3"/>
  </r>
  <r>
    <x v="5"/>
    <x v="0"/>
    <n v="103538"/>
    <x v="3"/>
  </r>
  <r>
    <x v="6"/>
    <x v="0"/>
    <n v="370503.6"/>
    <x v="3"/>
  </r>
  <r>
    <x v="7"/>
    <x v="0"/>
    <n v="99057.4"/>
    <x v="3"/>
  </r>
  <r>
    <x v="8"/>
    <x v="0"/>
    <n v="112911"/>
    <x v="3"/>
  </r>
  <r>
    <x v="9"/>
    <x v="0"/>
    <n v="202469.5"/>
    <x v="3"/>
  </r>
  <r>
    <x v="10"/>
    <x v="0"/>
    <n v="94908.5"/>
    <x v="3"/>
  </r>
  <r>
    <x v="11"/>
    <x v="0"/>
    <n v="85482"/>
    <x v="3"/>
  </r>
  <r>
    <x v="12"/>
    <x v="0"/>
    <n v="6358"/>
    <x v="3"/>
  </r>
  <r>
    <x v="26"/>
    <x v="0"/>
    <n v="265"/>
    <x v="3"/>
  </r>
  <r>
    <x v="13"/>
    <x v="0"/>
    <n v="76161"/>
    <x v="3"/>
  </r>
  <r>
    <x v="14"/>
    <x v="0"/>
    <n v="31033.5"/>
    <x v="3"/>
  </r>
  <r>
    <x v="15"/>
    <x v="0"/>
    <n v="276722.59999999998"/>
    <x v="3"/>
  </r>
  <r>
    <x v="16"/>
    <x v="0"/>
    <n v="51493"/>
    <x v="3"/>
  </r>
  <r>
    <x v="17"/>
    <x v="0"/>
    <n v="379925"/>
    <x v="3"/>
  </r>
  <r>
    <x v="18"/>
    <x v="0"/>
    <n v="39748.5"/>
    <x v="3"/>
  </r>
  <r>
    <x v="20"/>
    <x v="0"/>
    <n v="41911.4"/>
    <x v="3"/>
  </r>
  <r>
    <x v="21"/>
    <x v="0"/>
    <n v="1336.4"/>
    <x v="3"/>
  </r>
  <r>
    <x v="22"/>
    <x v="0"/>
    <n v="3702.2"/>
    <x v="3"/>
  </r>
  <r>
    <x v="23"/>
    <x v="0"/>
    <n v="84170.2"/>
    <x v="3"/>
  </r>
  <r>
    <x v="24"/>
    <x v="0"/>
    <n v="170132.7"/>
    <x v="3"/>
  </r>
  <r>
    <x v="25"/>
    <x v="0"/>
    <n v="222885.9"/>
    <x v="3"/>
  </r>
  <r>
    <x v="0"/>
    <x v="0"/>
    <n v="5929.96"/>
    <x v="3"/>
  </r>
  <r>
    <x v="1"/>
    <x v="0"/>
    <n v="93037.16"/>
    <x v="3"/>
  </r>
  <r>
    <x v="2"/>
    <x v="0"/>
    <n v="56312.49"/>
    <x v="3"/>
  </r>
  <r>
    <x v="3"/>
    <x v="0"/>
    <n v="2018"/>
    <x v="3"/>
  </r>
  <r>
    <x v="4"/>
    <x v="0"/>
    <n v="7242.71"/>
    <x v="3"/>
  </r>
  <r>
    <x v="5"/>
    <x v="0"/>
    <n v="104404.48"/>
    <x v="3"/>
  </r>
  <r>
    <x v="6"/>
    <x v="0"/>
    <n v="309134.33"/>
    <x v="3"/>
  </r>
  <r>
    <x v="7"/>
    <x v="0"/>
    <n v="75113.14"/>
    <x v="3"/>
  </r>
  <r>
    <x v="8"/>
    <x v="0"/>
    <n v="109404.04"/>
    <x v="3"/>
  </r>
  <r>
    <x v="9"/>
    <x v="0"/>
    <n v="173260.48"/>
    <x v="3"/>
  </r>
  <r>
    <x v="10"/>
    <x v="0"/>
    <n v="58806.79"/>
    <x v="3"/>
  </r>
  <r>
    <x v="11"/>
    <x v="0"/>
    <n v="66559"/>
    <x v="3"/>
  </r>
  <r>
    <x v="12"/>
    <x v="0"/>
    <n v="2988"/>
    <x v="3"/>
  </r>
  <r>
    <x v="26"/>
    <x v="0"/>
    <n v="722.89"/>
    <x v="3"/>
  </r>
  <r>
    <x v="13"/>
    <x v="0"/>
    <n v="54390.55"/>
    <x v="3"/>
  </r>
  <r>
    <x v="14"/>
    <x v="0"/>
    <n v="22135.96"/>
    <x v="3"/>
  </r>
  <r>
    <x v="15"/>
    <x v="0"/>
    <n v="253441.6"/>
    <x v="3"/>
  </r>
  <r>
    <x v="16"/>
    <x v="0"/>
    <n v="54506.04"/>
    <x v="3"/>
  </r>
  <r>
    <x v="17"/>
    <x v="0"/>
    <n v="299531.27"/>
    <x v="3"/>
  </r>
  <r>
    <x v="18"/>
    <x v="0"/>
    <n v="47290.66"/>
    <x v="3"/>
  </r>
  <r>
    <x v="20"/>
    <x v="0"/>
    <n v="42276.07"/>
    <x v="3"/>
  </r>
  <r>
    <x v="22"/>
    <x v="0"/>
    <n v="2075.08"/>
    <x v="3"/>
  </r>
  <r>
    <x v="23"/>
    <x v="0"/>
    <n v="96237.4"/>
    <x v="3"/>
  </r>
  <r>
    <x v="24"/>
    <x v="0"/>
    <n v="167193.67000000001"/>
    <x v="3"/>
  </r>
  <r>
    <x v="25"/>
    <x v="0"/>
    <n v="189733.03"/>
    <x v="3"/>
  </r>
  <r>
    <x v="0"/>
    <x v="0"/>
    <n v="3571"/>
    <x v="3"/>
  </r>
  <r>
    <x v="1"/>
    <x v="0"/>
    <n v="78825"/>
    <x v="3"/>
  </r>
  <r>
    <x v="2"/>
    <x v="0"/>
    <n v="50985"/>
    <x v="3"/>
  </r>
  <r>
    <x v="4"/>
    <x v="0"/>
    <n v="2450"/>
    <x v="3"/>
  </r>
  <r>
    <x v="5"/>
    <x v="0"/>
    <n v="80826"/>
    <x v="3"/>
  </r>
  <r>
    <x v="6"/>
    <x v="0"/>
    <n v="321946"/>
    <x v="3"/>
  </r>
  <r>
    <x v="7"/>
    <x v="0"/>
    <n v="53252"/>
    <x v="3"/>
  </r>
  <r>
    <x v="8"/>
    <x v="0"/>
    <n v="82337"/>
    <x v="3"/>
  </r>
  <r>
    <x v="9"/>
    <x v="0"/>
    <n v="177769"/>
    <x v="3"/>
  </r>
  <r>
    <x v="10"/>
    <x v="0"/>
    <n v="59329"/>
    <x v="3"/>
  </r>
  <r>
    <x v="11"/>
    <x v="0"/>
    <n v="74694"/>
    <x v="3"/>
  </r>
  <r>
    <x v="12"/>
    <x v="0"/>
    <n v="3980"/>
    <x v="3"/>
  </r>
  <r>
    <x v="26"/>
    <x v="0"/>
    <n v="1430"/>
    <x v="3"/>
  </r>
  <r>
    <x v="13"/>
    <x v="0"/>
    <n v="34180"/>
    <x v="3"/>
  </r>
  <r>
    <x v="14"/>
    <x v="0"/>
    <n v="12149"/>
    <x v="3"/>
  </r>
  <r>
    <x v="15"/>
    <x v="0"/>
    <n v="164075"/>
    <x v="3"/>
  </r>
  <r>
    <x v="16"/>
    <x v="0"/>
    <n v="30636"/>
    <x v="3"/>
  </r>
  <r>
    <x v="17"/>
    <x v="0"/>
    <n v="239067"/>
    <x v="3"/>
  </r>
  <r>
    <x v="18"/>
    <x v="0"/>
    <n v="40919"/>
    <x v="3"/>
  </r>
  <r>
    <x v="20"/>
    <x v="0"/>
    <n v="38930"/>
    <x v="3"/>
  </r>
  <r>
    <x v="21"/>
    <x v="0"/>
    <n v="1155"/>
    <x v="3"/>
  </r>
  <r>
    <x v="22"/>
    <x v="0"/>
    <n v="1611"/>
    <x v="3"/>
  </r>
  <r>
    <x v="23"/>
    <x v="0"/>
    <n v="76822"/>
    <x v="3"/>
  </r>
  <r>
    <x v="24"/>
    <x v="0"/>
    <n v="144581"/>
    <x v="3"/>
  </r>
  <r>
    <x v="25"/>
    <x v="0"/>
    <n v="173484"/>
    <x v="3"/>
  </r>
  <r>
    <x v="0"/>
    <x v="0"/>
    <n v="3934"/>
    <x v="3"/>
  </r>
  <r>
    <x v="1"/>
    <x v="0"/>
    <n v="77140"/>
    <x v="3"/>
  </r>
  <r>
    <x v="2"/>
    <x v="0"/>
    <n v="66511"/>
    <x v="3"/>
  </r>
  <r>
    <x v="4"/>
    <x v="0"/>
    <n v="620"/>
    <x v="3"/>
  </r>
  <r>
    <x v="5"/>
    <x v="0"/>
    <n v="92274"/>
    <x v="3"/>
  </r>
  <r>
    <x v="6"/>
    <x v="0"/>
    <n v="320003"/>
    <x v="3"/>
  </r>
  <r>
    <x v="7"/>
    <x v="0"/>
    <n v="59756"/>
    <x v="3"/>
  </r>
  <r>
    <x v="8"/>
    <x v="0"/>
    <n v="96040"/>
    <x v="3"/>
  </r>
  <r>
    <x v="9"/>
    <x v="0"/>
    <n v="80880"/>
    <x v="3"/>
  </r>
  <r>
    <x v="10"/>
    <x v="0"/>
    <n v="70962"/>
    <x v="3"/>
  </r>
  <r>
    <x v="11"/>
    <x v="0"/>
    <n v="50208"/>
    <x v="3"/>
  </r>
  <r>
    <x v="12"/>
    <x v="0"/>
    <n v="3916"/>
    <x v="3"/>
  </r>
  <r>
    <x v="26"/>
    <x v="0"/>
    <n v="795"/>
    <x v="3"/>
  </r>
  <r>
    <x v="13"/>
    <x v="0"/>
    <n v="24775"/>
    <x v="3"/>
  </r>
  <r>
    <x v="14"/>
    <x v="0"/>
    <n v="10246"/>
    <x v="3"/>
  </r>
  <r>
    <x v="15"/>
    <x v="0"/>
    <n v="144606"/>
    <x v="3"/>
  </r>
  <r>
    <x v="16"/>
    <x v="0"/>
    <n v="22011"/>
    <x v="3"/>
  </r>
  <r>
    <x v="17"/>
    <x v="0"/>
    <n v="235459"/>
    <x v="3"/>
  </r>
  <r>
    <x v="18"/>
    <x v="0"/>
    <n v="30529"/>
    <x v="3"/>
  </r>
  <r>
    <x v="20"/>
    <x v="0"/>
    <n v="29367"/>
    <x v="3"/>
  </r>
  <r>
    <x v="21"/>
    <x v="0"/>
    <n v="4953"/>
    <x v="3"/>
  </r>
  <r>
    <x v="22"/>
    <x v="0"/>
    <n v="1897"/>
    <x v="3"/>
  </r>
  <r>
    <x v="23"/>
    <x v="0"/>
    <n v="95617"/>
    <x v="3"/>
  </r>
  <r>
    <x v="24"/>
    <x v="0"/>
    <n v="136098"/>
    <x v="3"/>
  </r>
  <r>
    <x v="25"/>
    <x v="0"/>
    <n v="238141"/>
    <x v="3"/>
  </r>
  <r>
    <x v="0"/>
    <x v="0"/>
    <n v="4260"/>
    <x v="3"/>
  </r>
  <r>
    <x v="1"/>
    <x v="0"/>
    <n v="86779"/>
    <x v="3"/>
  </r>
  <r>
    <x v="2"/>
    <x v="0"/>
    <n v="61466"/>
    <x v="3"/>
  </r>
  <r>
    <x v="4"/>
    <x v="0"/>
    <n v="5547"/>
    <x v="3"/>
  </r>
  <r>
    <x v="5"/>
    <x v="0"/>
    <n v="74691"/>
    <x v="3"/>
  </r>
  <r>
    <x v="6"/>
    <x v="0"/>
    <n v="351996"/>
    <x v="3"/>
  </r>
  <r>
    <x v="7"/>
    <x v="0"/>
    <n v="57443"/>
    <x v="3"/>
  </r>
  <r>
    <x v="8"/>
    <x v="0"/>
    <n v="59767"/>
    <x v="3"/>
  </r>
  <r>
    <x v="9"/>
    <x v="0"/>
    <n v="83843"/>
    <x v="3"/>
  </r>
  <r>
    <x v="10"/>
    <x v="0"/>
    <n v="63077"/>
    <x v="3"/>
  </r>
  <r>
    <x v="11"/>
    <x v="0"/>
    <n v="54551"/>
    <x v="3"/>
  </r>
  <r>
    <x v="12"/>
    <x v="0"/>
    <n v="8834"/>
    <x v="3"/>
  </r>
  <r>
    <x v="26"/>
    <x v="0"/>
    <n v="625"/>
    <x v="3"/>
  </r>
  <r>
    <x v="13"/>
    <x v="0"/>
    <n v="38630"/>
    <x v="3"/>
  </r>
  <r>
    <x v="14"/>
    <x v="0"/>
    <n v="30534"/>
    <x v="3"/>
  </r>
  <r>
    <x v="15"/>
    <x v="0"/>
    <n v="169816"/>
    <x v="3"/>
  </r>
  <r>
    <x v="16"/>
    <x v="0"/>
    <n v="21860"/>
    <x v="3"/>
  </r>
  <r>
    <x v="17"/>
    <x v="0"/>
    <n v="315621"/>
    <x v="3"/>
  </r>
  <r>
    <x v="18"/>
    <x v="0"/>
    <n v="35399"/>
    <x v="3"/>
  </r>
  <r>
    <x v="20"/>
    <x v="0"/>
    <n v="31203"/>
    <x v="3"/>
  </r>
  <r>
    <x v="22"/>
    <x v="0"/>
    <n v="1426"/>
    <x v="3"/>
  </r>
  <r>
    <x v="23"/>
    <x v="0"/>
    <n v="69276"/>
    <x v="3"/>
  </r>
  <r>
    <x v="24"/>
    <x v="0"/>
    <n v="107317"/>
    <x v="3"/>
  </r>
  <r>
    <x v="25"/>
    <x v="0"/>
    <n v="144521"/>
    <x v="3"/>
  </r>
  <r>
    <x v="0"/>
    <x v="0"/>
    <n v="5527.97"/>
    <x v="3"/>
  </r>
  <r>
    <x v="1"/>
    <x v="0"/>
    <n v="98271.92"/>
    <x v="3"/>
  </r>
  <r>
    <x v="2"/>
    <x v="0"/>
    <n v="83474.039999999994"/>
    <x v="3"/>
  </r>
  <r>
    <x v="4"/>
    <x v="0"/>
    <n v="1590"/>
    <x v="3"/>
  </r>
  <r>
    <x v="5"/>
    <x v="0"/>
    <n v="86771.24"/>
    <x v="3"/>
  </r>
  <r>
    <x v="6"/>
    <x v="0"/>
    <n v="278497.39"/>
    <x v="3"/>
  </r>
  <r>
    <x v="7"/>
    <x v="0"/>
    <n v="37573.29"/>
    <x v="3"/>
  </r>
  <r>
    <x v="8"/>
    <x v="0"/>
    <n v="60592.71"/>
    <x v="3"/>
  </r>
  <r>
    <x v="9"/>
    <x v="0"/>
    <n v="116037.5"/>
    <x v="3"/>
  </r>
  <r>
    <x v="10"/>
    <x v="0"/>
    <n v="76515.289999999994"/>
    <x v="3"/>
  </r>
  <r>
    <x v="11"/>
    <x v="0"/>
    <n v="60243"/>
    <x v="3"/>
  </r>
  <r>
    <x v="12"/>
    <x v="0"/>
    <n v="2076"/>
    <x v="3"/>
  </r>
  <r>
    <x v="13"/>
    <x v="0"/>
    <n v="67070.41"/>
    <x v="3"/>
  </r>
  <r>
    <x v="14"/>
    <x v="0"/>
    <n v="26461.45"/>
    <x v="3"/>
  </r>
  <r>
    <x v="15"/>
    <x v="0"/>
    <n v="213859"/>
    <x v="3"/>
  </r>
  <r>
    <x v="16"/>
    <x v="0"/>
    <n v="27627.06"/>
    <x v="3"/>
  </r>
  <r>
    <x v="17"/>
    <x v="0"/>
    <n v="285304.87"/>
    <x v="3"/>
  </r>
  <r>
    <x v="18"/>
    <x v="0"/>
    <n v="35953.040000000001"/>
    <x v="3"/>
  </r>
  <r>
    <x v="20"/>
    <x v="0"/>
    <n v="28491.53"/>
    <x v="3"/>
  </r>
  <r>
    <x v="22"/>
    <x v="0"/>
    <n v="1228.2"/>
    <x v="3"/>
  </r>
  <r>
    <x v="23"/>
    <x v="0"/>
    <n v="66822.17"/>
    <x v="3"/>
  </r>
  <r>
    <x v="24"/>
    <x v="0"/>
    <n v="144373.04999999999"/>
    <x v="3"/>
  </r>
  <r>
    <x v="25"/>
    <x v="0"/>
    <n v="220869.34"/>
    <x v="3"/>
  </r>
  <r>
    <x v="0"/>
    <x v="0"/>
    <n v="7495.96"/>
    <x v="3"/>
  </r>
  <r>
    <x v="1"/>
    <x v="0"/>
    <n v="107173.69"/>
    <x v="3"/>
  </r>
  <r>
    <x v="2"/>
    <x v="0"/>
    <n v="120754.84"/>
    <x v="3"/>
  </r>
  <r>
    <x v="4"/>
    <x v="0"/>
    <n v="2061"/>
    <x v="3"/>
  </r>
  <r>
    <x v="5"/>
    <x v="0"/>
    <n v="136810.81"/>
    <x v="3"/>
  </r>
  <r>
    <x v="6"/>
    <x v="0"/>
    <n v="393166.54"/>
    <x v="3"/>
  </r>
  <r>
    <x v="7"/>
    <x v="0"/>
    <n v="91647.16"/>
    <x v="3"/>
  </r>
  <r>
    <x v="8"/>
    <x v="0"/>
    <n v="109888.58"/>
    <x v="3"/>
  </r>
  <r>
    <x v="9"/>
    <x v="0"/>
    <n v="250907.97"/>
    <x v="3"/>
  </r>
  <r>
    <x v="10"/>
    <x v="0"/>
    <n v="93316.9"/>
    <x v="3"/>
  </r>
  <r>
    <x v="11"/>
    <x v="0"/>
    <n v="107077"/>
    <x v="3"/>
  </r>
  <r>
    <x v="12"/>
    <x v="0"/>
    <n v="11640"/>
    <x v="3"/>
  </r>
  <r>
    <x v="26"/>
    <x v="0"/>
    <n v="715"/>
    <x v="3"/>
  </r>
  <r>
    <x v="13"/>
    <x v="0"/>
    <n v="83399.17"/>
    <x v="3"/>
  </r>
  <r>
    <x v="14"/>
    <x v="0"/>
    <n v="44961.1"/>
    <x v="3"/>
  </r>
  <r>
    <x v="15"/>
    <x v="0"/>
    <n v="287266"/>
    <x v="3"/>
  </r>
  <r>
    <x v="16"/>
    <x v="0"/>
    <n v="61777.2"/>
    <x v="3"/>
  </r>
  <r>
    <x v="17"/>
    <x v="0"/>
    <n v="339354.08"/>
    <x v="3"/>
  </r>
  <r>
    <x v="18"/>
    <x v="0"/>
    <n v="53145.08"/>
    <x v="3"/>
  </r>
  <r>
    <x v="20"/>
    <x v="0"/>
    <n v="53581.79"/>
    <x v="3"/>
  </r>
  <r>
    <x v="21"/>
    <x v="0"/>
    <n v="5387.8"/>
    <x v="3"/>
  </r>
  <r>
    <x v="22"/>
    <x v="0"/>
    <n v="5363.56"/>
    <x v="3"/>
  </r>
  <r>
    <x v="23"/>
    <x v="0"/>
    <n v="137508.20000000001"/>
    <x v="3"/>
  </r>
  <r>
    <x v="24"/>
    <x v="0"/>
    <n v="208681.4"/>
    <x v="3"/>
  </r>
  <r>
    <x v="25"/>
    <x v="0"/>
    <n v="303342.19"/>
    <x v="3"/>
  </r>
  <r>
    <x v="0"/>
    <x v="0"/>
    <n v="5839"/>
    <x v="3"/>
  </r>
  <r>
    <x v="1"/>
    <x v="0"/>
    <n v="136170"/>
    <x v="3"/>
  </r>
  <r>
    <x v="2"/>
    <x v="0"/>
    <n v="100423"/>
    <x v="3"/>
  </r>
  <r>
    <x v="3"/>
    <x v="0"/>
    <n v="574"/>
    <x v="3"/>
  </r>
  <r>
    <x v="4"/>
    <x v="0"/>
    <n v="163"/>
    <x v="3"/>
  </r>
  <r>
    <x v="5"/>
    <x v="0"/>
    <n v="97863"/>
    <x v="3"/>
  </r>
  <r>
    <x v="6"/>
    <x v="0"/>
    <n v="317855"/>
    <x v="3"/>
  </r>
  <r>
    <x v="7"/>
    <x v="0"/>
    <n v="75298"/>
    <x v="3"/>
  </r>
  <r>
    <x v="8"/>
    <x v="0"/>
    <n v="95106"/>
    <x v="3"/>
  </r>
  <r>
    <x v="9"/>
    <x v="0"/>
    <n v="286064"/>
    <x v="3"/>
  </r>
  <r>
    <x v="10"/>
    <x v="0"/>
    <n v="116619"/>
    <x v="3"/>
  </r>
  <r>
    <x v="11"/>
    <x v="0"/>
    <n v="121411"/>
    <x v="3"/>
  </r>
  <r>
    <x v="12"/>
    <x v="0"/>
    <n v="9520"/>
    <x v="3"/>
  </r>
  <r>
    <x v="13"/>
    <x v="0"/>
    <n v="60994"/>
    <x v="3"/>
  </r>
  <r>
    <x v="14"/>
    <x v="0"/>
    <n v="32953"/>
    <x v="3"/>
  </r>
  <r>
    <x v="15"/>
    <x v="0"/>
    <n v="304855"/>
    <x v="3"/>
  </r>
  <r>
    <x v="16"/>
    <x v="0"/>
    <n v="76400"/>
    <x v="3"/>
  </r>
  <r>
    <x v="17"/>
    <x v="0"/>
    <n v="398149"/>
    <x v="3"/>
  </r>
  <r>
    <x v="18"/>
    <x v="0"/>
    <n v="59895"/>
    <x v="3"/>
  </r>
  <r>
    <x v="20"/>
    <x v="0"/>
    <n v="54782"/>
    <x v="3"/>
  </r>
  <r>
    <x v="21"/>
    <x v="0"/>
    <n v="3743"/>
    <x v="3"/>
  </r>
  <r>
    <x v="22"/>
    <x v="0"/>
    <n v="4095"/>
    <x v="3"/>
  </r>
  <r>
    <x v="23"/>
    <x v="0"/>
    <n v="128017"/>
    <x v="3"/>
  </r>
  <r>
    <x v="24"/>
    <x v="0"/>
    <n v="214558"/>
    <x v="3"/>
  </r>
  <r>
    <x v="25"/>
    <x v="0"/>
    <n v="235400"/>
    <x v="3"/>
  </r>
  <r>
    <x v="0"/>
    <x v="0"/>
    <n v="2357"/>
    <x v="3"/>
  </r>
  <r>
    <x v="1"/>
    <x v="0"/>
    <n v="67254"/>
    <x v="3"/>
  </r>
  <r>
    <x v="2"/>
    <x v="0"/>
    <n v="57924"/>
    <x v="3"/>
  </r>
  <r>
    <x v="4"/>
    <x v="0"/>
    <n v="2310"/>
    <x v="3"/>
  </r>
  <r>
    <x v="5"/>
    <x v="0"/>
    <n v="83466"/>
    <x v="3"/>
  </r>
  <r>
    <x v="6"/>
    <x v="0"/>
    <n v="233493"/>
    <x v="3"/>
  </r>
  <r>
    <x v="7"/>
    <x v="0"/>
    <n v="35717"/>
    <x v="3"/>
  </r>
  <r>
    <x v="8"/>
    <x v="0"/>
    <n v="72057"/>
    <x v="3"/>
  </r>
  <r>
    <x v="9"/>
    <x v="0"/>
    <n v="189148"/>
    <x v="3"/>
  </r>
  <r>
    <x v="10"/>
    <x v="0"/>
    <n v="54293"/>
    <x v="3"/>
  </r>
  <r>
    <x v="11"/>
    <x v="0"/>
    <n v="52801"/>
    <x v="3"/>
  </r>
  <r>
    <x v="12"/>
    <x v="0"/>
    <n v="3192"/>
    <x v="3"/>
  </r>
  <r>
    <x v="13"/>
    <x v="0"/>
    <n v="15507"/>
    <x v="3"/>
  </r>
  <r>
    <x v="14"/>
    <x v="0"/>
    <n v="16796"/>
    <x v="3"/>
  </r>
  <r>
    <x v="15"/>
    <x v="0"/>
    <n v="195708"/>
    <x v="3"/>
  </r>
  <r>
    <x v="16"/>
    <x v="0"/>
    <n v="36283"/>
    <x v="3"/>
  </r>
  <r>
    <x v="17"/>
    <x v="0"/>
    <n v="217658"/>
    <x v="3"/>
  </r>
  <r>
    <x v="18"/>
    <x v="0"/>
    <n v="38154"/>
    <x v="3"/>
  </r>
  <r>
    <x v="20"/>
    <x v="0"/>
    <n v="30205"/>
    <x v="3"/>
  </r>
  <r>
    <x v="21"/>
    <x v="0"/>
    <n v="2151"/>
    <x v="3"/>
  </r>
  <r>
    <x v="22"/>
    <x v="0"/>
    <n v="426"/>
    <x v="3"/>
  </r>
  <r>
    <x v="23"/>
    <x v="0"/>
    <n v="103868"/>
    <x v="3"/>
  </r>
  <r>
    <x v="24"/>
    <x v="0"/>
    <n v="134145"/>
    <x v="3"/>
  </r>
  <r>
    <x v="25"/>
    <x v="0"/>
    <n v="18526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FEA11-F568-40B7-8633-5CF7659B4E49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C32" firstHeaderRow="1" firstDataRow="2" firstDataCol="1" rowPageCount="1" colPageCount="1"/>
  <pivotFields count="4">
    <pivotField axis="axisRow" showAll="0">
      <items count="28">
        <item x="9"/>
        <item x="6"/>
        <item x="10"/>
        <item x="25"/>
        <item x="1"/>
        <item x="4"/>
        <item x="3"/>
        <item x="14"/>
        <item x="2"/>
        <item x="7"/>
        <item x="23"/>
        <item x="5"/>
        <item x="21"/>
        <item x="15"/>
        <item x="13"/>
        <item x="17"/>
        <item x="19"/>
        <item x="8"/>
        <item x="26"/>
        <item x="18"/>
        <item x="20"/>
        <item x="11"/>
        <item x="24"/>
        <item x="16"/>
        <item x="12"/>
        <item x="22"/>
        <item x="0"/>
        <item t="default"/>
      </items>
    </pivotField>
    <pivotField axis="axisCol" showAll="0">
      <items count="2">
        <item x="0"/>
        <item t="default"/>
      </items>
    </pivotField>
    <pivotField dataField="1" showAll="0"/>
    <pivotField axis="axisPage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1"/>
  </colFields>
  <colItems count="2">
    <i>
      <x/>
    </i>
    <i t="grand">
      <x/>
    </i>
  </colItems>
  <pageFields count="1">
    <pageField fld="3" hier="-1"/>
  </pageFields>
  <dataFields count="1">
    <dataField name="Сумма по полю Значение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topLeftCell="A18" workbookViewId="0">
      <selection activeCell="J45" sqref="J45"/>
    </sheetView>
  </sheetViews>
  <sheetFormatPr defaultRowHeight="15" x14ac:dyDescent="0.25"/>
  <cols>
    <col min="2" max="2" width="19.7109375" customWidth="1"/>
    <col min="3" max="3" width="12.140625" style="2" bestFit="1" customWidth="1"/>
    <col min="4" max="4" width="14" style="2" bestFit="1" customWidth="1"/>
    <col min="5" max="5" width="12.7109375" style="2" customWidth="1"/>
    <col min="6" max="6" width="17.85546875" style="2" customWidth="1"/>
    <col min="7" max="7" width="16.42578125" style="2" customWidth="1"/>
    <col min="9" max="9" width="9.140625" customWidth="1"/>
    <col min="10" max="10" width="19.7109375" customWidth="1"/>
    <col min="11" max="11" width="12.42578125" bestFit="1" customWidth="1"/>
    <col min="12" max="12" width="14" bestFit="1" customWidth="1"/>
    <col min="13" max="13" width="11.5703125" bestFit="1" customWidth="1"/>
    <col min="14" max="14" width="14.7109375" bestFit="1" customWidth="1"/>
    <col min="15" max="15" width="11.42578125" bestFit="1" customWidth="1"/>
  </cols>
  <sheetData>
    <row r="1" spans="1:17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4"/>
    </row>
    <row r="2" spans="1:17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4"/>
    </row>
    <row r="3" spans="1:17" x14ac:dyDescent="0.25">
      <c r="A3" s="10" t="s">
        <v>29</v>
      </c>
      <c r="B3" s="10" t="s">
        <v>30</v>
      </c>
      <c r="C3" s="10" t="s">
        <v>31</v>
      </c>
      <c r="D3" s="10" t="s">
        <v>34</v>
      </c>
      <c r="E3" s="10" t="s">
        <v>32</v>
      </c>
      <c r="F3" s="10" t="s">
        <v>33</v>
      </c>
      <c r="G3" s="10" t="s">
        <v>35</v>
      </c>
      <c r="H3" s="25"/>
      <c r="I3" s="10" t="s">
        <v>29</v>
      </c>
      <c r="J3" s="10" t="s">
        <v>30</v>
      </c>
      <c r="K3" s="10" t="s">
        <v>31</v>
      </c>
      <c r="L3" s="10" t="s">
        <v>34</v>
      </c>
      <c r="M3" s="10" t="s">
        <v>32</v>
      </c>
      <c r="N3" s="10" t="s">
        <v>33</v>
      </c>
      <c r="O3" s="10" t="s">
        <v>35</v>
      </c>
      <c r="P3" s="25"/>
      <c r="Q3" s="24"/>
    </row>
    <row r="4" spans="1:17" ht="15.75" x14ac:dyDescent="0.25">
      <c r="A4" s="7">
        <v>1</v>
      </c>
      <c r="B4" s="7" t="s">
        <v>36</v>
      </c>
      <c r="C4" s="6">
        <v>3</v>
      </c>
      <c r="D4" s="6">
        <v>4</v>
      </c>
      <c r="E4" s="6">
        <v>4</v>
      </c>
      <c r="F4" s="6">
        <v>3</v>
      </c>
      <c r="G4" s="6"/>
      <c r="H4" s="25"/>
      <c r="L4">
        <v>4</v>
      </c>
      <c r="P4" s="25"/>
      <c r="Q4" s="24"/>
    </row>
    <row r="5" spans="1:17" ht="15.75" x14ac:dyDescent="0.25">
      <c r="A5" s="7">
        <v>2</v>
      </c>
      <c r="B5" s="7" t="s">
        <v>37</v>
      </c>
      <c r="C5" s="6">
        <v>5</v>
      </c>
      <c r="D5" s="6">
        <v>5</v>
      </c>
      <c r="E5" s="6">
        <v>5</v>
      </c>
      <c r="F5" s="6">
        <v>5</v>
      </c>
      <c r="G5" s="6">
        <v>500</v>
      </c>
      <c r="H5" s="25"/>
      <c r="I5" s="10" t="s">
        <v>29</v>
      </c>
      <c r="J5" s="10" t="s">
        <v>30</v>
      </c>
      <c r="K5" s="10" t="s">
        <v>31</v>
      </c>
      <c r="L5" s="10" t="s">
        <v>34</v>
      </c>
      <c r="M5" s="10" t="s">
        <v>32</v>
      </c>
      <c r="N5" s="10" t="s">
        <v>33</v>
      </c>
      <c r="O5" s="10" t="s">
        <v>35</v>
      </c>
      <c r="P5" s="25"/>
      <c r="Q5" s="24"/>
    </row>
    <row r="6" spans="1:17" ht="15.75" x14ac:dyDescent="0.25">
      <c r="A6" s="7">
        <v>3</v>
      </c>
      <c r="B6" s="7" t="s">
        <v>38</v>
      </c>
      <c r="C6" s="6">
        <v>5</v>
      </c>
      <c r="D6" s="6">
        <v>5</v>
      </c>
      <c r="E6" s="6">
        <v>3</v>
      </c>
      <c r="F6" s="6">
        <v>3</v>
      </c>
      <c r="G6" s="6"/>
      <c r="H6" s="25"/>
      <c r="K6">
        <v>3</v>
      </c>
      <c r="P6" s="25"/>
      <c r="Q6" s="24"/>
    </row>
    <row r="7" spans="1:17" ht="15.75" x14ac:dyDescent="0.25">
      <c r="A7" s="7">
        <v>4</v>
      </c>
      <c r="B7" s="7" t="s">
        <v>39</v>
      </c>
      <c r="C7" s="6">
        <v>4</v>
      </c>
      <c r="D7" s="6">
        <v>4</v>
      </c>
      <c r="E7" s="6">
        <v>5</v>
      </c>
      <c r="F7" s="6">
        <v>5</v>
      </c>
      <c r="G7" s="6">
        <v>350</v>
      </c>
      <c r="H7" s="25"/>
      <c r="L7">
        <v>3</v>
      </c>
      <c r="P7" s="25"/>
      <c r="Q7" s="24"/>
    </row>
    <row r="8" spans="1:17" ht="15.75" x14ac:dyDescent="0.25">
      <c r="A8" s="7">
        <v>5</v>
      </c>
      <c r="B8" s="7" t="s">
        <v>40</v>
      </c>
      <c r="C8" s="6">
        <v>4</v>
      </c>
      <c r="D8" s="6">
        <v>4</v>
      </c>
      <c r="E8" s="6">
        <v>5</v>
      </c>
      <c r="F8" s="6">
        <v>5</v>
      </c>
      <c r="G8" s="6">
        <v>350</v>
      </c>
      <c r="H8" s="25"/>
      <c r="M8">
        <v>3</v>
      </c>
      <c r="P8" s="25"/>
      <c r="Q8" s="24"/>
    </row>
    <row r="9" spans="1:17" ht="15.75" x14ac:dyDescent="0.25">
      <c r="A9" s="7">
        <v>6</v>
      </c>
      <c r="B9" s="7" t="s">
        <v>41</v>
      </c>
      <c r="C9" s="6">
        <v>5</v>
      </c>
      <c r="D9" s="6">
        <v>4</v>
      </c>
      <c r="E9" s="6">
        <v>4</v>
      </c>
      <c r="F9" s="6">
        <v>4</v>
      </c>
      <c r="G9" s="6">
        <v>300</v>
      </c>
      <c r="H9" s="25"/>
      <c r="N9">
        <v>3</v>
      </c>
      <c r="P9" s="25"/>
      <c r="Q9" s="24"/>
    </row>
    <row r="10" spans="1:17" ht="15.75" x14ac:dyDescent="0.25">
      <c r="A10" s="7">
        <v>7</v>
      </c>
      <c r="B10" s="7" t="s">
        <v>42</v>
      </c>
      <c r="C10" s="6">
        <v>5</v>
      </c>
      <c r="D10" s="6">
        <v>5</v>
      </c>
      <c r="E10" s="6">
        <v>5</v>
      </c>
      <c r="F10" s="6">
        <v>4</v>
      </c>
      <c r="G10" s="6">
        <v>400</v>
      </c>
      <c r="H10" s="25"/>
      <c r="I10" s="10" t="s">
        <v>29</v>
      </c>
      <c r="J10" s="10" t="s">
        <v>30</v>
      </c>
      <c r="K10" s="10" t="s">
        <v>31</v>
      </c>
      <c r="L10" s="10" t="s">
        <v>34</v>
      </c>
      <c r="M10" s="10" t="s">
        <v>32</v>
      </c>
      <c r="N10" s="10" t="s">
        <v>33</v>
      </c>
      <c r="O10" s="10" t="s">
        <v>35</v>
      </c>
      <c r="P10" s="25"/>
      <c r="Q10" s="24"/>
    </row>
    <row r="11" spans="1:17" ht="15.75" x14ac:dyDescent="0.25">
      <c r="A11" s="7">
        <v>8</v>
      </c>
      <c r="B11" s="7" t="s">
        <v>43</v>
      </c>
      <c r="C11" s="6">
        <v>3</v>
      </c>
      <c r="D11" s="6">
        <v>3</v>
      </c>
      <c r="E11" s="6">
        <v>4</v>
      </c>
      <c r="F11" s="6">
        <v>3</v>
      </c>
      <c r="G11" s="6"/>
      <c r="H11" s="25"/>
      <c r="L11">
        <v>2</v>
      </c>
      <c r="P11" s="25"/>
      <c r="Q11" s="24"/>
    </row>
    <row r="12" spans="1:17" ht="15.75" x14ac:dyDescent="0.25">
      <c r="A12" s="7">
        <v>9</v>
      </c>
      <c r="B12" s="7" t="s">
        <v>44</v>
      </c>
      <c r="C12" s="6">
        <v>5</v>
      </c>
      <c r="D12" s="6">
        <v>5</v>
      </c>
      <c r="E12" s="6">
        <v>5</v>
      </c>
      <c r="F12" s="6">
        <v>5</v>
      </c>
      <c r="G12" s="6">
        <v>500</v>
      </c>
      <c r="H12" s="25"/>
      <c r="I12" s="10" t="s">
        <v>29</v>
      </c>
      <c r="J12" s="10" t="s">
        <v>30</v>
      </c>
      <c r="K12" s="10" t="s">
        <v>31</v>
      </c>
      <c r="L12" s="10" t="s">
        <v>34</v>
      </c>
      <c r="M12" s="10" t="s">
        <v>32</v>
      </c>
      <c r="N12" s="10" t="s">
        <v>33</v>
      </c>
      <c r="O12" s="10" t="s">
        <v>35</v>
      </c>
      <c r="P12" s="25"/>
      <c r="Q12" s="24"/>
    </row>
    <row r="13" spans="1:17" ht="15.75" x14ac:dyDescent="0.25">
      <c r="A13" s="7">
        <v>10</v>
      </c>
      <c r="B13" s="7" t="s">
        <v>45</v>
      </c>
      <c r="C13" s="6">
        <v>5</v>
      </c>
      <c r="D13" s="6">
        <v>4</v>
      </c>
      <c r="E13" s="6">
        <v>4</v>
      </c>
      <c r="F13" s="6">
        <v>3</v>
      </c>
      <c r="G13" s="6"/>
      <c r="H13" s="25"/>
      <c r="L13">
        <v>4</v>
      </c>
      <c r="M13">
        <v>5</v>
      </c>
      <c r="P13" s="25"/>
      <c r="Q13" s="24"/>
    </row>
    <row r="14" spans="1:17" ht="15.75" x14ac:dyDescent="0.25">
      <c r="A14" s="7">
        <v>11</v>
      </c>
      <c r="B14" s="7" t="s">
        <v>46</v>
      </c>
      <c r="C14" s="6">
        <v>4</v>
      </c>
      <c r="D14" s="6">
        <v>4</v>
      </c>
      <c r="E14" s="6">
        <v>4</v>
      </c>
      <c r="F14" s="6">
        <v>4</v>
      </c>
      <c r="G14" s="6">
        <v>250</v>
      </c>
      <c r="H14" s="25"/>
      <c r="P14" s="25"/>
      <c r="Q14" s="24"/>
    </row>
    <row r="15" spans="1:17" ht="15.75" x14ac:dyDescent="0.25">
      <c r="A15" s="7">
        <v>13</v>
      </c>
      <c r="B15" s="7" t="s">
        <v>47</v>
      </c>
      <c r="C15" s="6">
        <v>5</v>
      </c>
      <c r="D15" s="6">
        <v>5</v>
      </c>
      <c r="E15" s="6">
        <v>5</v>
      </c>
      <c r="F15" s="6">
        <v>4</v>
      </c>
      <c r="G15" s="6">
        <v>400</v>
      </c>
      <c r="H15" s="25"/>
      <c r="P15" s="25"/>
      <c r="Q15" s="24"/>
    </row>
    <row r="16" spans="1:17" ht="15.75" x14ac:dyDescent="0.25">
      <c r="A16" s="7">
        <v>14</v>
      </c>
      <c r="B16" s="7" t="s">
        <v>48</v>
      </c>
      <c r="C16" s="6">
        <v>5</v>
      </c>
      <c r="D16" s="6">
        <v>4</v>
      </c>
      <c r="E16" s="6">
        <v>4</v>
      </c>
      <c r="F16" s="6">
        <v>4</v>
      </c>
      <c r="G16" s="6">
        <v>300</v>
      </c>
      <c r="H16" s="25"/>
      <c r="P16" s="25"/>
      <c r="Q16" s="24"/>
    </row>
    <row r="17" spans="1:17" ht="15.75" x14ac:dyDescent="0.25">
      <c r="A17" s="7">
        <v>15</v>
      </c>
      <c r="B17" s="7" t="s">
        <v>49</v>
      </c>
      <c r="C17" s="6">
        <v>4</v>
      </c>
      <c r="D17" s="6">
        <v>4</v>
      </c>
      <c r="E17" s="6">
        <v>5</v>
      </c>
      <c r="F17" s="6">
        <v>4</v>
      </c>
      <c r="G17" s="6">
        <v>300</v>
      </c>
      <c r="H17" s="25"/>
      <c r="P17" s="25"/>
      <c r="Q17" s="24"/>
    </row>
    <row r="18" spans="1:17" ht="15.75" x14ac:dyDescent="0.25">
      <c r="A18" s="7">
        <v>16</v>
      </c>
      <c r="B18" s="7" t="s">
        <v>50</v>
      </c>
      <c r="C18" s="6">
        <v>5</v>
      </c>
      <c r="D18" s="6">
        <v>3</v>
      </c>
      <c r="E18" s="6">
        <v>3</v>
      </c>
      <c r="F18" s="6">
        <v>5</v>
      </c>
      <c r="G18" s="6"/>
      <c r="H18" s="25"/>
      <c r="P18" s="25"/>
      <c r="Q18" s="24"/>
    </row>
    <row r="19" spans="1:17" ht="15.75" x14ac:dyDescent="0.25">
      <c r="A19" s="7">
        <v>17</v>
      </c>
      <c r="B19" s="7" t="s">
        <v>51</v>
      </c>
      <c r="C19" s="6">
        <v>4</v>
      </c>
      <c r="D19" s="6">
        <v>4</v>
      </c>
      <c r="E19" s="6">
        <v>4</v>
      </c>
      <c r="F19" s="6">
        <v>4</v>
      </c>
      <c r="G19" s="6">
        <v>250</v>
      </c>
      <c r="H19" s="25"/>
      <c r="P19" s="25"/>
      <c r="Q19" s="24"/>
    </row>
    <row r="20" spans="1:17" ht="15.75" x14ac:dyDescent="0.25">
      <c r="A20" s="7">
        <v>18</v>
      </c>
      <c r="B20" s="7" t="s">
        <v>52</v>
      </c>
      <c r="C20" s="6">
        <v>3</v>
      </c>
      <c r="D20" s="6">
        <v>4</v>
      </c>
      <c r="E20" s="6">
        <v>3</v>
      </c>
      <c r="F20" s="6">
        <v>5</v>
      </c>
      <c r="G20" s="6"/>
      <c r="H20" s="25"/>
      <c r="P20" s="25"/>
      <c r="Q20" s="24"/>
    </row>
    <row r="21" spans="1:17" ht="15.75" x14ac:dyDescent="0.25">
      <c r="A21" s="7">
        <v>19</v>
      </c>
      <c r="B21" s="7" t="s">
        <v>53</v>
      </c>
      <c r="C21" s="6">
        <v>5</v>
      </c>
      <c r="D21" s="6">
        <v>4</v>
      </c>
      <c r="E21" s="6">
        <v>3</v>
      </c>
      <c r="F21" s="6">
        <v>5</v>
      </c>
      <c r="G21" s="6">
        <v>300</v>
      </c>
      <c r="H21" s="25"/>
      <c r="P21" s="25"/>
      <c r="Q21" s="24"/>
    </row>
    <row r="22" spans="1:17" ht="15.75" x14ac:dyDescent="0.25">
      <c r="A22" s="7">
        <v>20</v>
      </c>
      <c r="B22" s="7" t="s">
        <v>54</v>
      </c>
      <c r="C22" s="6">
        <v>5</v>
      </c>
      <c r="D22" s="6">
        <v>5</v>
      </c>
      <c r="E22" s="6">
        <v>4</v>
      </c>
      <c r="F22" s="6">
        <v>4</v>
      </c>
      <c r="G22" s="6">
        <v>350</v>
      </c>
      <c r="H22" s="25"/>
      <c r="P22" s="25"/>
      <c r="Q22" s="24"/>
    </row>
    <row r="23" spans="1:17" ht="15.75" x14ac:dyDescent="0.25">
      <c r="A23" s="7">
        <v>21</v>
      </c>
      <c r="B23" s="7" t="s">
        <v>55</v>
      </c>
      <c r="C23" s="6">
        <v>5</v>
      </c>
      <c r="D23" s="6">
        <v>3</v>
      </c>
      <c r="E23" s="6">
        <v>3</v>
      </c>
      <c r="F23" s="6">
        <v>3</v>
      </c>
      <c r="G23" s="6"/>
      <c r="H23" s="25"/>
      <c r="P23" s="25"/>
      <c r="Q23" s="24"/>
    </row>
    <row r="24" spans="1:17" ht="15.75" x14ac:dyDescent="0.25">
      <c r="A24" s="7">
        <v>22</v>
      </c>
      <c r="B24" s="7" t="s">
        <v>56</v>
      </c>
      <c r="C24" s="6">
        <v>3</v>
      </c>
      <c r="D24" s="6">
        <v>5</v>
      </c>
      <c r="E24" s="6">
        <v>3</v>
      </c>
      <c r="F24" s="6">
        <v>4</v>
      </c>
      <c r="G24" s="6"/>
      <c r="H24" s="25"/>
      <c r="P24" s="25"/>
      <c r="Q24" s="24"/>
    </row>
    <row r="25" spans="1:17" ht="15.75" x14ac:dyDescent="0.25">
      <c r="A25" s="7">
        <v>23</v>
      </c>
      <c r="B25" s="7" t="s">
        <v>57</v>
      </c>
      <c r="C25" s="6">
        <v>3</v>
      </c>
      <c r="D25" s="6">
        <v>2</v>
      </c>
      <c r="E25" s="6">
        <v>3</v>
      </c>
      <c r="F25" s="6">
        <v>4</v>
      </c>
      <c r="G25" s="6"/>
      <c r="H25" s="25"/>
      <c r="P25" s="25"/>
      <c r="Q25" s="24"/>
    </row>
    <row r="26" spans="1:17" ht="15.75" x14ac:dyDescent="0.25">
      <c r="A26" s="7">
        <v>24</v>
      </c>
      <c r="B26" s="7" t="s">
        <v>58</v>
      </c>
      <c r="C26" s="6">
        <v>5</v>
      </c>
      <c r="D26" s="6">
        <v>4</v>
      </c>
      <c r="E26" s="6">
        <v>4</v>
      </c>
      <c r="F26" s="6">
        <v>3</v>
      </c>
      <c r="G26" s="6"/>
      <c r="H26" s="25"/>
      <c r="P26" s="25"/>
      <c r="Q26" s="24"/>
    </row>
    <row r="27" spans="1:17" ht="15.75" x14ac:dyDescent="0.25">
      <c r="A27" s="7">
        <v>26</v>
      </c>
      <c r="B27" s="7" t="s">
        <v>59</v>
      </c>
      <c r="C27" s="6">
        <v>4</v>
      </c>
      <c r="D27" s="6">
        <v>5</v>
      </c>
      <c r="E27" s="6">
        <v>5</v>
      </c>
      <c r="F27" s="6">
        <v>4</v>
      </c>
      <c r="G27" s="6">
        <v>350</v>
      </c>
      <c r="H27" s="25"/>
      <c r="P27" s="25"/>
      <c r="Q27" s="24"/>
    </row>
    <row r="28" spans="1:17" ht="15.75" x14ac:dyDescent="0.25">
      <c r="A28" s="7">
        <v>27</v>
      </c>
      <c r="B28" s="7" t="s">
        <v>60</v>
      </c>
      <c r="C28" s="6">
        <v>5</v>
      </c>
      <c r="D28" s="6">
        <v>4</v>
      </c>
      <c r="E28" s="6">
        <v>5</v>
      </c>
      <c r="F28" s="6">
        <v>5</v>
      </c>
      <c r="G28" s="6">
        <v>400</v>
      </c>
      <c r="H28" s="25"/>
      <c r="P28" s="25"/>
      <c r="Q28" s="24"/>
    </row>
    <row r="29" spans="1:17" ht="15.75" x14ac:dyDescent="0.25">
      <c r="A29" s="7">
        <v>28</v>
      </c>
      <c r="B29" s="7" t="s">
        <v>61</v>
      </c>
      <c r="C29" s="6">
        <v>5</v>
      </c>
      <c r="D29" s="6">
        <v>3</v>
      </c>
      <c r="E29" s="6">
        <v>5</v>
      </c>
      <c r="F29" s="6">
        <v>3</v>
      </c>
      <c r="G29" s="6"/>
      <c r="H29" s="25"/>
      <c r="P29" s="25"/>
      <c r="Q29" s="24"/>
    </row>
    <row r="30" spans="1:17" ht="15.75" x14ac:dyDescent="0.25">
      <c r="A30" s="7">
        <v>29</v>
      </c>
      <c r="B30" s="7" t="s">
        <v>62</v>
      </c>
      <c r="C30" s="6">
        <v>4</v>
      </c>
      <c r="D30" s="6">
        <v>4</v>
      </c>
      <c r="E30" s="6">
        <v>4</v>
      </c>
      <c r="F30" s="6">
        <v>4</v>
      </c>
      <c r="G30" s="6">
        <v>250</v>
      </c>
      <c r="H30" s="25"/>
      <c r="P30" s="25"/>
      <c r="Q30" s="24"/>
    </row>
    <row r="31" spans="1:17" ht="15.75" x14ac:dyDescent="0.25">
      <c r="A31" s="7">
        <v>30</v>
      </c>
      <c r="B31" s="7" t="s">
        <v>63</v>
      </c>
      <c r="C31" s="6">
        <v>4</v>
      </c>
      <c r="D31" s="6">
        <v>4</v>
      </c>
      <c r="E31" s="6">
        <v>3</v>
      </c>
      <c r="F31" s="6">
        <v>3</v>
      </c>
      <c r="G31" s="6"/>
      <c r="H31" s="25"/>
      <c r="P31" s="25"/>
      <c r="Q31" s="24"/>
    </row>
    <row r="32" spans="1:17" ht="15.75" x14ac:dyDescent="0.25">
      <c r="A32" s="7">
        <v>31</v>
      </c>
      <c r="B32" s="7" t="s">
        <v>64</v>
      </c>
      <c r="C32" s="6">
        <v>4</v>
      </c>
      <c r="D32" s="6">
        <v>4</v>
      </c>
      <c r="E32" s="6">
        <v>4</v>
      </c>
      <c r="F32" s="6">
        <v>5</v>
      </c>
      <c r="G32" s="6">
        <v>300</v>
      </c>
      <c r="H32" s="25"/>
      <c r="P32" s="25"/>
      <c r="Q32" s="24"/>
    </row>
    <row r="33" spans="1:19" ht="15.75" x14ac:dyDescent="0.25">
      <c r="A33" s="7">
        <v>32</v>
      </c>
      <c r="B33" s="7" t="s">
        <v>65</v>
      </c>
      <c r="C33" s="6">
        <v>3</v>
      </c>
      <c r="D33" s="6">
        <v>4</v>
      </c>
      <c r="E33" s="6">
        <v>5</v>
      </c>
      <c r="F33" s="6">
        <v>4</v>
      </c>
      <c r="G33" s="6"/>
      <c r="H33" s="25"/>
      <c r="P33" s="25"/>
      <c r="Q33" s="24"/>
    </row>
    <row r="34" spans="1:19" x14ac:dyDescent="0.25">
      <c r="A34" s="26"/>
      <c r="B34" s="26"/>
      <c r="C34" s="26"/>
      <c r="D34" s="26"/>
      <c r="E34" s="26"/>
      <c r="F34" s="26"/>
      <c r="G34" s="26"/>
      <c r="H34" s="25"/>
      <c r="I34" s="25"/>
      <c r="J34" s="25"/>
      <c r="K34" s="25"/>
      <c r="L34" s="25"/>
      <c r="M34" s="25"/>
      <c r="N34" s="25"/>
      <c r="O34" s="25"/>
      <c r="P34" s="25"/>
      <c r="Q34" s="24"/>
    </row>
    <row r="35" spans="1:19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</row>
    <row r="36" spans="1:19" ht="18.75" x14ac:dyDescent="0.25">
      <c r="A36" s="21" t="s">
        <v>66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12"/>
    </row>
    <row r="37" spans="1:19" x14ac:dyDescent="0.25">
      <c r="A37" s="22" t="s">
        <v>67</v>
      </c>
      <c r="B37" s="22"/>
      <c r="C37" s="22"/>
      <c r="D37" s="11"/>
      <c r="E37" s="13"/>
      <c r="F37" s="13"/>
      <c r="G37" s="13"/>
      <c r="H37" s="11"/>
      <c r="I37" s="12"/>
      <c r="J37" s="12"/>
      <c r="K37" s="12"/>
      <c r="L37" s="11"/>
      <c r="M37" s="11"/>
      <c r="N37" s="11"/>
      <c r="O37" s="11"/>
      <c r="P37" s="11"/>
      <c r="Q37" s="12"/>
    </row>
    <row r="38" spans="1:19" x14ac:dyDescent="0.25">
      <c r="A38" s="28">
        <f>DAVERAGE(A3:G33,"Стипендия ",L3:L4)</f>
        <v>304.54545454545456</v>
      </c>
      <c r="B38" s="28"/>
      <c r="C38" s="28"/>
      <c r="D38" s="13"/>
      <c r="E38" s="13"/>
      <c r="F38" s="13"/>
      <c r="G38" s="13"/>
      <c r="H38" s="13"/>
      <c r="I38" s="12"/>
      <c r="J38" s="12"/>
      <c r="K38" s="12"/>
      <c r="L38" s="13"/>
      <c r="M38" s="13"/>
      <c r="N38" s="13"/>
      <c r="O38" s="13"/>
      <c r="P38" s="13"/>
      <c r="Q38" s="12"/>
    </row>
    <row r="39" spans="1:19" x14ac:dyDescent="0.25">
      <c r="A39" s="11"/>
      <c r="B39" s="11"/>
      <c r="C39" s="11"/>
      <c r="D39" s="11"/>
      <c r="E39" s="11"/>
      <c r="F39" s="11"/>
      <c r="G39" s="11"/>
      <c r="H39" s="11"/>
      <c r="I39" s="12"/>
      <c r="J39" s="12"/>
      <c r="K39" s="12"/>
      <c r="L39" s="11"/>
      <c r="M39" s="11"/>
      <c r="N39" s="11"/>
      <c r="O39" s="11"/>
      <c r="P39" s="11"/>
      <c r="Q39" s="12"/>
    </row>
    <row r="40" spans="1:19" x14ac:dyDescent="0.25">
      <c r="A40" s="22" t="s">
        <v>68</v>
      </c>
      <c r="B40" s="22"/>
      <c r="C40" s="22"/>
      <c r="D40" s="13"/>
      <c r="E40" s="13"/>
      <c r="F40" s="13"/>
      <c r="G40" s="13"/>
      <c r="H40" s="12"/>
      <c r="I40" s="12"/>
      <c r="J40" s="12"/>
      <c r="K40" s="12"/>
      <c r="L40" s="12"/>
      <c r="M40" s="12"/>
      <c r="N40" s="12"/>
      <c r="O40" s="12"/>
      <c r="P40" s="12"/>
      <c r="Q40" s="12"/>
      <c r="S40" s="14"/>
    </row>
    <row r="41" spans="1:19" x14ac:dyDescent="0.25">
      <c r="A41" s="28">
        <f>DCOUNTA(A3:G33,"Фамилия",K5:N9)</f>
        <v>14</v>
      </c>
      <c r="B41" s="28"/>
      <c r="C41" s="28"/>
      <c r="D41" s="13"/>
      <c r="E41" s="13"/>
      <c r="F41" s="13"/>
      <c r="G41" s="13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1:19" x14ac:dyDescent="0.25">
      <c r="A42" s="12"/>
      <c r="B42" s="12"/>
      <c r="C42" s="13"/>
      <c r="D42" s="13"/>
      <c r="E42" s="13"/>
      <c r="F42" s="13"/>
      <c r="G42" s="13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1:19" x14ac:dyDescent="0.25">
      <c r="A43" s="23" t="s">
        <v>69</v>
      </c>
      <c r="B43" s="23"/>
      <c r="C43" s="23"/>
      <c r="D43" s="13"/>
      <c r="E43" s="13"/>
      <c r="F43" s="13"/>
      <c r="G43" s="13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1:19" x14ac:dyDescent="0.25">
      <c r="A44" s="10" t="s">
        <v>29</v>
      </c>
      <c r="B44" s="10" t="s">
        <v>30</v>
      </c>
      <c r="C44" s="10" t="s">
        <v>31</v>
      </c>
      <c r="D44" s="10" t="s">
        <v>34</v>
      </c>
      <c r="E44" s="10" t="s">
        <v>32</v>
      </c>
      <c r="F44" s="10" t="s">
        <v>33</v>
      </c>
      <c r="G44" s="13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1:19" x14ac:dyDescent="0.25">
      <c r="A45" s="6">
        <f>DGET(A3:G33,"№",L10:L11)</f>
        <v>23</v>
      </c>
      <c r="B45" s="14" t="str">
        <f>DGET(A3:G33,"Фамилия",L10:L11)</f>
        <v xml:space="preserve">Руденко </v>
      </c>
      <c r="C45" s="6">
        <f>DGET(A3:G33,"Математика",L10:L11)</f>
        <v>3</v>
      </c>
      <c r="D45" s="6">
        <f>DGET(A3:G33,"Информатика",L10:L11)</f>
        <v>2</v>
      </c>
      <c r="E45" s="6">
        <f>DGET(A3:G33,"Философия",L10:L11)</f>
        <v>3</v>
      </c>
      <c r="F45" s="6">
        <f>DGET(A3:G33,"Культурология",L10:L11)</f>
        <v>4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1:19" x14ac:dyDescent="0.25">
      <c r="A46" s="12"/>
      <c r="B46" s="12"/>
      <c r="C46" s="13"/>
      <c r="D46" s="13"/>
      <c r="E46" s="13"/>
      <c r="F46" s="13"/>
      <c r="G46" s="13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spans="1:19" x14ac:dyDescent="0.25">
      <c r="A47" s="22" t="s">
        <v>70</v>
      </c>
      <c r="B47" s="22"/>
      <c r="C47" s="22"/>
      <c r="D47" s="13"/>
      <c r="E47" s="13"/>
      <c r="F47" s="13"/>
      <c r="G47" s="13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spans="1:19" x14ac:dyDescent="0.25">
      <c r="A48" s="23">
        <f>DMAX(A3:G33,"Стипендия ",L3:L4)</f>
        <v>400</v>
      </c>
      <c r="B48" s="23"/>
      <c r="C48" s="23"/>
      <c r="D48" s="13"/>
      <c r="E48" s="13"/>
      <c r="F48" s="13"/>
      <c r="G48" s="13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1:17" x14ac:dyDescent="0.25">
      <c r="A49" s="12"/>
      <c r="B49" s="12"/>
      <c r="C49" s="13"/>
      <c r="D49" s="13"/>
      <c r="E49" s="13"/>
      <c r="F49" s="13"/>
      <c r="G49" s="13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spans="1:17" x14ac:dyDescent="0.25">
      <c r="A50" s="27" t="s">
        <v>71</v>
      </c>
      <c r="B50" s="27"/>
      <c r="C50" s="27"/>
      <c r="D50" s="13"/>
      <c r="E50" s="13"/>
      <c r="F50" s="13"/>
      <c r="G50" s="13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spans="1:17" x14ac:dyDescent="0.25">
      <c r="A51" s="23">
        <f>DSUM(A3:G33,"Стипендия ",L12:M13)</f>
        <v>1400</v>
      </c>
      <c r="B51" s="23"/>
      <c r="C51" s="23"/>
      <c r="D51" s="13"/>
      <c r="E51" s="13"/>
      <c r="F51" s="13"/>
      <c r="G51" s="13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spans="1:17" x14ac:dyDescent="0.25">
      <c r="A52" s="12"/>
      <c r="B52" s="12"/>
      <c r="C52" s="13"/>
      <c r="D52" s="13"/>
      <c r="E52" s="13"/>
      <c r="F52" s="13"/>
      <c r="G52" s="13"/>
      <c r="H52" s="12"/>
      <c r="I52" s="12"/>
      <c r="J52" s="12"/>
      <c r="K52" s="12"/>
      <c r="L52" s="12"/>
      <c r="M52" s="12"/>
      <c r="N52" s="12"/>
      <c r="O52" s="12"/>
      <c r="P52" s="12"/>
      <c r="Q52" s="12"/>
    </row>
  </sheetData>
  <mergeCells count="17">
    <mergeCell ref="A51:C51"/>
    <mergeCell ref="A37:C37"/>
    <mergeCell ref="A47:C47"/>
    <mergeCell ref="A50:C50"/>
    <mergeCell ref="A38:C38"/>
    <mergeCell ref="A41:C41"/>
    <mergeCell ref="A48:C48"/>
    <mergeCell ref="A36:P36"/>
    <mergeCell ref="A40:C40"/>
    <mergeCell ref="A43:C43"/>
    <mergeCell ref="Q1:Q35"/>
    <mergeCell ref="A35:P35"/>
    <mergeCell ref="A1:P2"/>
    <mergeCell ref="H3:H34"/>
    <mergeCell ref="P3:P34"/>
    <mergeCell ref="I34:O34"/>
    <mergeCell ref="A34:G3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6423-9754-4A10-B2E6-2246195814FC}">
  <dimension ref="A1:C4804"/>
  <sheetViews>
    <sheetView workbookViewId="0">
      <selection activeCell="F1279" sqref="F1279"/>
    </sheetView>
  </sheetViews>
  <sheetFormatPr defaultRowHeight="15" outlineLevelRow="1" x14ac:dyDescent="0.25"/>
  <cols>
    <col min="1" max="1" width="40.7109375" bestFit="1" customWidth="1"/>
    <col min="2" max="2" width="7.42578125" bestFit="1" customWidth="1"/>
    <col min="3" max="3" width="41.5703125" customWidth="1"/>
  </cols>
  <sheetData>
    <row r="1" spans="1:3" x14ac:dyDescent="0.25">
      <c r="A1" s="15" t="s">
        <v>73</v>
      </c>
      <c r="B1" s="15"/>
      <c r="C1" s="15" t="s">
        <v>1</v>
      </c>
    </row>
    <row r="2" spans="1:3" hidden="1" outlineLevel="1" x14ac:dyDescent="0.25">
      <c r="B2" t="s">
        <v>72</v>
      </c>
      <c r="C2" s="9">
        <f>Альфа!$B$2</f>
        <v>14902</v>
      </c>
    </row>
    <row r="3" spans="1:3" hidden="1" outlineLevel="1" collapsed="1" x14ac:dyDescent="0.25">
      <c r="C3" s="9">
        <f>Альфа!$B$28</f>
        <v>23182</v>
      </c>
    </row>
    <row r="4" spans="1:3" hidden="1" outlineLevel="1" collapsed="1" x14ac:dyDescent="0.25">
      <c r="C4" s="9">
        <f>Альфа!$B$54</f>
        <v>15475</v>
      </c>
    </row>
    <row r="5" spans="1:3" hidden="1" outlineLevel="1" collapsed="1" x14ac:dyDescent="0.25">
      <c r="C5" s="9">
        <f>Альфа!$B$80</f>
        <v>14470</v>
      </c>
    </row>
    <row r="6" spans="1:3" hidden="1" outlineLevel="1" collapsed="1" x14ac:dyDescent="0.25">
      <c r="C6" s="9">
        <f>Альфа!$B$106</f>
        <v>10881</v>
      </c>
    </row>
    <row r="7" spans="1:3" hidden="1" outlineLevel="1" collapsed="1" x14ac:dyDescent="0.25">
      <c r="C7" s="9">
        <f>Альфа!$B$133</f>
        <v>17343</v>
      </c>
    </row>
    <row r="8" spans="1:3" hidden="1" outlineLevel="1" collapsed="1" x14ac:dyDescent="0.25">
      <c r="C8" s="9">
        <f>Альфа!$B$160</f>
        <v>15420</v>
      </c>
    </row>
    <row r="9" spans="1:3" hidden="1" outlineLevel="1" collapsed="1" x14ac:dyDescent="0.25">
      <c r="C9" s="9">
        <f>Альфа!$B$186</f>
        <v>10522</v>
      </c>
    </row>
    <row r="10" spans="1:3" hidden="1" outlineLevel="1" collapsed="1" x14ac:dyDescent="0.25">
      <c r="C10" s="9">
        <f>Альфа!$B$212</f>
        <v>12621</v>
      </c>
    </row>
    <row r="11" spans="1:3" hidden="1" outlineLevel="1" collapsed="1" x14ac:dyDescent="0.25">
      <c r="C11" s="9">
        <f>Альфа!$B$238</f>
        <v>10299</v>
      </c>
    </row>
    <row r="12" spans="1:3" hidden="1" outlineLevel="1" collapsed="1" x14ac:dyDescent="0.25">
      <c r="C12" s="9">
        <f>Альфа!$B$265</f>
        <v>10607</v>
      </c>
    </row>
    <row r="13" spans="1:3" hidden="1" outlineLevel="1" collapsed="1" x14ac:dyDescent="0.25">
      <c r="C13" s="9">
        <f>Альфа!$B$291</f>
        <v>16610</v>
      </c>
    </row>
    <row r="14" spans="1:3" hidden="1" outlineLevel="1" collapsed="1" x14ac:dyDescent="0.25">
      <c r="C14" s="9">
        <f>Альфа!$B$317</f>
        <v>13833</v>
      </c>
    </row>
    <row r="15" spans="1:3" hidden="1" outlineLevel="1" collapsed="1" x14ac:dyDescent="0.25">
      <c r="C15" s="9">
        <f>Альфа!$B$343</f>
        <v>13628</v>
      </c>
    </row>
    <row r="16" spans="1:3" hidden="1" outlineLevel="1" collapsed="1" x14ac:dyDescent="0.25">
      <c r="C16" s="9">
        <f>Альфа!$B$369</f>
        <v>8316</v>
      </c>
    </row>
    <row r="17" spans="3:3" hidden="1" outlineLevel="1" collapsed="1" x14ac:dyDescent="0.25">
      <c r="C17" s="9">
        <f>Альфа!$B$396</f>
        <v>9156.36</v>
      </c>
    </row>
    <row r="18" spans="3:3" hidden="1" outlineLevel="1" collapsed="1" x14ac:dyDescent="0.25">
      <c r="C18" s="9">
        <f>Альфа!$B$422</f>
        <v>12194.75</v>
      </c>
    </row>
    <row r="19" spans="3:3" hidden="1" outlineLevel="1" collapsed="1" x14ac:dyDescent="0.25">
      <c r="C19" s="9">
        <f>Альфа!$B$447</f>
        <v>11282.79</v>
      </c>
    </row>
    <row r="20" spans="3:3" hidden="1" outlineLevel="1" collapsed="1" x14ac:dyDescent="0.25">
      <c r="C20" s="9">
        <f>Альфа!$B$472</f>
        <v>7597.54</v>
      </c>
    </row>
    <row r="21" spans="3:3" hidden="1" outlineLevel="1" collapsed="1" x14ac:dyDescent="0.25">
      <c r="C21" s="9">
        <f>Альфа!$B$498</f>
        <v>18839.04</v>
      </c>
    </row>
    <row r="22" spans="3:3" hidden="1" outlineLevel="1" collapsed="1" x14ac:dyDescent="0.25">
      <c r="C22" s="9">
        <f>Альфа!$B$523</f>
        <v>10591.54</v>
      </c>
    </row>
    <row r="23" spans="3:3" hidden="1" outlineLevel="1" collapsed="1" x14ac:dyDescent="0.25">
      <c r="C23" s="9">
        <f>Альфа!$B$548</f>
        <v>8426</v>
      </c>
    </row>
    <row r="24" spans="3:3" hidden="1" outlineLevel="1" collapsed="1" x14ac:dyDescent="0.25">
      <c r="C24" s="9">
        <f>Альфа!$B$572</f>
        <v>5242.43</v>
      </c>
    </row>
    <row r="25" spans="3:3" hidden="1" outlineLevel="1" collapsed="1" x14ac:dyDescent="0.25">
      <c r="C25" s="9">
        <f>Альфа!$B$598</f>
        <v>8424.9500000000007</v>
      </c>
    </row>
    <row r="26" spans="3:3" hidden="1" outlineLevel="1" collapsed="1" x14ac:dyDescent="0.25">
      <c r="C26" s="9">
        <f>Альфа!$B$622</f>
        <v>8435.98</v>
      </c>
    </row>
    <row r="27" spans="3:3" hidden="1" outlineLevel="1" collapsed="1" x14ac:dyDescent="0.25">
      <c r="C27" s="9">
        <f>Альфа!$B$647</f>
        <v>13151.95</v>
      </c>
    </row>
    <row r="28" spans="3:3" hidden="1" outlineLevel="1" collapsed="1" x14ac:dyDescent="0.25">
      <c r="C28" s="9">
        <f>Альфа!$B$672</f>
        <v>16477.939999999999</v>
      </c>
    </row>
    <row r="29" spans="3:3" hidden="1" outlineLevel="1" collapsed="1" x14ac:dyDescent="0.25">
      <c r="C29" s="9">
        <f>Альфа!$B$697</f>
        <v>3230.97</v>
      </c>
    </row>
    <row r="30" spans="3:3" hidden="1" outlineLevel="1" collapsed="1" x14ac:dyDescent="0.25">
      <c r="C30" s="9">
        <f>Альфа!$B$723</f>
        <v>8339.94</v>
      </c>
    </row>
    <row r="31" spans="3:3" hidden="1" outlineLevel="1" collapsed="1" x14ac:dyDescent="0.25">
      <c r="C31" s="9">
        <f>Альфа!$B$746</f>
        <v>7776.95</v>
      </c>
    </row>
    <row r="32" spans="3:3" hidden="1" outlineLevel="1" collapsed="1" x14ac:dyDescent="0.25">
      <c r="C32" s="9">
        <f>Альфа!$B$772</f>
        <v>9018</v>
      </c>
    </row>
    <row r="33" spans="3:3" hidden="1" outlineLevel="1" collapsed="1" x14ac:dyDescent="0.25">
      <c r="C33" s="9">
        <f>Альфа!$B$795</f>
        <v>16160.98</v>
      </c>
    </row>
    <row r="34" spans="3:3" hidden="1" outlineLevel="1" collapsed="1" x14ac:dyDescent="0.25">
      <c r="C34" s="9">
        <f>Альфа!$B$820</f>
        <v>8384.99</v>
      </c>
    </row>
    <row r="35" spans="3:3" hidden="1" outlineLevel="1" collapsed="1" x14ac:dyDescent="0.25">
      <c r="C35" s="9">
        <f>Альфа!$B$844</f>
        <v>14994.98</v>
      </c>
    </row>
    <row r="36" spans="3:3" hidden="1" outlineLevel="1" collapsed="1" x14ac:dyDescent="0.25">
      <c r="C36" s="9">
        <f>Альфа!$B$869</f>
        <v>14513.99</v>
      </c>
    </row>
    <row r="37" spans="3:3" hidden="1" outlineLevel="1" collapsed="1" x14ac:dyDescent="0.25">
      <c r="C37" s="9">
        <f>Альфа!$B$894</f>
        <v>12629.99</v>
      </c>
    </row>
    <row r="38" spans="3:3" hidden="1" outlineLevel="1" collapsed="1" x14ac:dyDescent="0.25">
      <c r="C38" s="9">
        <f>Альфа!$B$919</f>
        <v>6728</v>
      </c>
    </row>
    <row r="39" spans="3:3" hidden="1" outlineLevel="1" collapsed="1" x14ac:dyDescent="0.25">
      <c r="C39" s="9">
        <f>Альфа!$B$944</f>
        <v>9848</v>
      </c>
    </row>
    <row r="40" spans="3:3" hidden="1" outlineLevel="1" collapsed="1" x14ac:dyDescent="0.25">
      <c r="C40" s="9">
        <f>Альфа!$B$969</f>
        <v>5874.99</v>
      </c>
    </row>
    <row r="41" spans="3:3" hidden="1" outlineLevel="1" collapsed="1" x14ac:dyDescent="0.25">
      <c r="C41" s="9">
        <f>Альфа!$B$994</f>
        <v>9448.9500000000007</v>
      </c>
    </row>
    <row r="42" spans="3:3" hidden="1" outlineLevel="1" collapsed="1" x14ac:dyDescent="0.25">
      <c r="C42" s="9">
        <f>Альфа!$B$1019</f>
        <v>11969.96</v>
      </c>
    </row>
    <row r="43" spans="3:3" hidden="1" outlineLevel="1" collapsed="1" x14ac:dyDescent="0.25">
      <c r="C43" s="9">
        <f>Альфа!$B$1044</f>
        <v>10476.99</v>
      </c>
    </row>
    <row r="44" spans="3:3" hidden="1" outlineLevel="1" collapsed="1" x14ac:dyDescent="0.25">
      <c r="C44" s="9">
        <f>Альфа!$B$1070</f>
        <v>9036.99</v>
      </c>
    </row>
    <row r="45" spans="3:3" hidden="1" outlineLevel="1" collapsed="1" x14ac:dyDescent="0.25">
      <c r="C45" s="9">
        <f>Альфа!$B$1095</f>
        <v>6779.97</v>
      </c>
    </row>
    <row r="46" spans="3:3" hidden="1" outlineLevel="1" collapsed="1" x14ac:dyDescent="0.25">
      <c r="C46" s="9">
        <f>Альфа!$B$1119</f>
        <v>7214.99</v>
      </c>
    </row>
    <row r="47" spans="3:3" hidden="1" outlineLevel="1" collapsed="1" x14ac:dyDescent="0.25">
      <c r="C47" s="9">
        <f>Альфа!$B$1145</f>
        <v>13855</v>
      </c>
    </row>
    <row r="48" spans="3:3" hidden="1" outlineLevel="1" collapsed="1" x14ac:dyDescent="0.25">
      <c r="C48" s="9">
        <f>Альфа!$B$1170</f>
        <v>10452.99</v>
      </c>
    </row>
    <row r="49" spans="2:3" hidden="1" outlineLevel="1" collapsed="1" x14ac:dyDescent="0.25">
      <c r="C49" s="9">
        <f>Альфа!$B$1196</f>
        <v>7850.96</v>
      </c>
    </row>
    <row r="50" spans="2:3" hidden="1" outlineLevel="1" collapsed="1" x14ac:dyDescent="0.25">
      <c r="C50" s="9">
        <f>Альфа!$B$1222</f>
        <v>7710.97</v>
      </c>
    </row>
    <row r="51" spans="2:3" hidden="1" outlineLevel="1" collapsed="1" x14ac:dyDescent="0.25">
      <c r="B51" t="s">
        <v>72</v>
      </c>
      <c r="C51" s="9">
        <f>Бета!$B$2</f>
        <v>2213</v>
      </c>
    </row>
    <row r="52" spans="2:3" hidden="1" outlineLevel="1" collapsed="1" x14ac:dyDescent="0.25">
      <c r="C52" s="9">
        <f>Бета!$B$24</f>
        <v>4074</v>
      </c>
    </row>
    <row r="53" spans="2:3" hidden="1" outlineLevel="1" collapsed="1" x14ac:dyDescent="0.25">
      <c r="C53" s="9">
        <f>Бета!$B$46</f>
        <v>5545</v>
      </c>
    </row>
    <row r="54" spans="2:3" hidden="1" outlineLevel="1" collapsed="1" x14ac:dyDescent="0.25">
      <c r="C54" s="9">
        <f>Бета!$B$68</f>
        <v>3270</v>
      </c>
    </row>
    <row r="55" spans="2:3" hidden="1" outlineLevel="1" collapsed="1" x14ac:dyDescent="0.25">
      <c r="C55" s="9">
        <f>Бета!$B$90</f>
        <v>5028</v>
      </c>
    </row>
    <row r="56" spans="2:3" hidden="1" outlineLevel="1" collapsed="1" x14ac:dyDescent="0.25">
      <c r="C56" s="9">
        <f>Бета!$B$112</f>
        <v>5031</v>
      </c>
    </row>
    <row r="57" spans="2:3" hidden="1" outlineLevel="1" collapsed="1" x14ac:dyDescent="0.25">
      <c r="C57" s="9">
        <f>Бета!$B$134</f>
        <v>4090</v>
      </c>
    </row>
    <row r="58" spans="2:3" hidden="1" outlineLevel="1" collapsed="1" x14ac:dyDescent="0.25">
      <c r="C58" s="9">
        <f>Бета!$B$156</f>
        <v>2040</v>
      </c>
    </row>
    <row r="59" spans="2:3" hidden="1" outlineLevel="1" collapsed="1" x14ac:dyDescent="0.25">
      <c r="C59" s="9">
        <f>Бета!$B$178</f>
        <v>3481</v>
      </c>
    </row>
    <row r="60" spans="2:3" hidden="1" outlineLevel="1" collapsed="1" x14ac:dyDescent="0.25">
      <c r="C60" s="9">
        <f>Бета!$B$200</f>
        <v>2528</v>
      </c>
    </row>
    <row r="61" spans="2:3" hidden="1" outlineLevel="1" collapsed="1" x14ac:dyDescent="0.25">
      <c r="C61" s="9">
        <f>Бета!$B$222</f>
        <v>1462</v>
      </c>
    </row>
    <row r="62" spans="2:3" hidden="1" outlineLevel="1" collapsed="1" x14ac:dyDescent="0.25">
      <c r="C62" s="9">
        <f>Бета!$B$244</f>
        <v>1809</v>
      </c>
    </row>
    <row r="63" spans="2:3" hidden="1" outlineLevel="1" collapsed="1" x14ac:dyDescent="0.25">
      <c r="C63" s="9">
        <f>Бета!$B$266</f>
        <v>4086</v>
      </c>
    </row>
    <row r="64" spans="2:3" hidden="1" outlineLevel="1" collapsed="1" x14ac:dyDescent="0.25">
      <c r="C64" s="9">
        <f>Бета!$B$287</f>
        <v>2273</v>
      </c>
    </row>
    <row r="65" spans="3:3" hidden="1" outlineLevel="1" collapsed="1" x14ac:dyDescent="0.25">
      <c r="C65" s="9">
        <f>Бета!$B$309</f>
        <v>1761</v>
      </c>
    </row>
    <row r="66" spans="3:3" hidden="1" outlineLevel="1" collapsed="1" x14ac:dyDescent="0.25">
      <c r="C66" s="9">
        <f>Бета!$B$331</f>
        <v>2744</v>
      </c>
    </row>
    <row r="67" spans="3:3" hidden="1" outlineLevel="1" collapsed="1" x14ac:dyDescent="0.25">
      <c r="C67" s="9">
        <f>Бета!$B$352</f>
        <v>1639</v>
      </c>
    </row>
    <row r="68" spans="3:3" hidden="1" outlineLevel="1" collapsed="1" x14ac:dyDescent="0.25">
      <c r="C68" s="9">
        <f>Бета!$B$373</f>
        <v>4912</v>
      </c>
    </row>
    <row r="69" spans="3:3" hidden="1" outlineLevel="1" collapsed="1" x14ac:dyDescent="0.25">
      <c r="C69" s="9">
        <f>Бета!$B$394</f>
        <v>1318</v>
      </c>
    </row>
    <row r="70" spans="3:3" hidden="1" outlineLevel="1" collapsed="1" x14ac:dyDescent="0.25">
      <c r="C70" s="9">
        <f>Бета!$B$415</f>
        <v>3015</v>
      </c>
    </row>
    <row r="71" spans="3:3" hidden="1" outlineLevel="1" collapsed="1" x14ac:dyDescent="0.25">
      <c r="C71" s="9">
        <f>Бета!$B$436</f>
        <v>3291</v>
      </c>
    </row>
    <row r="72" spans="3:3" hidden="1" outlineLevel="1" collapsed="1" x14ac:dyDescent="0.25">
      <c r="C72" s="9">
        <f>Бета!$B$457</f>
        <v>1536</v>
      </c>
    </row>
    <row r="73" spans="3:3" hidden="1" outlineLevel="1" collapsed="1" x14ac:dyDescent="0.25">
      <c r="C73" s="9">
        <f>Бета!$B$478</f>
        <v>1264</v>
      </c>
    </row>
    <row r="74" spans="3:3" hidden="1" outlineLevel="1" collapsed="1" x14ac:dyDescent="0.25">
      <c r="C74" s="9">
        <f>Бета!$B$499</f>
        <v>40</v>
      </c>
    </row>
    <row r="75" spans="3:3" hidden="1" outlineLevel="1" collapsed="1" x14ac:dyDescent="0.25">
      <c r="C75" s="9">
        <f>Бета!$B$520</f>
        <v>1040</v>
      </c>
    </row>
    <row r="76" spans="3:3" hidden="1" outlineLevel="1" collapsed="1" x14ac:dyDescent="0.25">
      <c r="C76" s="9">
        <f>Бета!$B$560</f>
        <v>988</v>
      </c>
    </row>
    <row r="77" spans="3:3" hidden="1" outlineLevel="1" collapsed="1" x14ac:dyDescent="0.25">
      <c r="C77" s="9">
        <f>Бета!$B$580</f>
        <v>52</v>
      </c>
    </row>
    <row r="78" spans="3:3" hidden="1" outlineLevel="1" collapsed="1" x14ac:dyDescent="0.25">
      <c r="C78" s="9">
        <f>Бета!$B$600</f>
        <v>832</v>
      </c>
    </row>
    <row r="79" spans="3:3" hidden="1" outlineLevel="1" collapsed="1" x14ac:dyDescent="0.25">
      <c r="C79" s="9">
        <f>Бета!$B$619</f>
        <v>208</v>
      </c>
    </row>
    <row r="80" spans="3:3" hidden="1" outlineLevel="1" collapsed="1" x14ac:dyDescent="0.25">
      <c r="C80" s="9">
        <f>Бета!$B$639</f>
        <v>416</v>
      </c>
    </row>
    <row r="81" spans="3:3" hidden="1" outlineLevel="1" collapsed="1" x14ac:dyDescent="0.25">
      <c r="C81" s="9">
        <f>Бета!$B$659</f>
        <v>416</v>
      </c>
    </row>
    <row r="82" spans="3:3" hidden="1" outlineLevel="1" collapsed="1" x14ac:dyDescent="0.25">
      <c r="C82" s="9">
        <f>Бета!$B$679</f>
        <v>468</v>
      </c>
    </row>
    <row r="83" spans="3:3" hidden="1" outlineLevel="1" collapsed="1" x14ac:dyDescent="0.25">
      <c r="C83" s="9">
        <f>Бета!$B$700</f>
        <v>520</v>
      </c>
    </row>
    <row r="84" spans="3:3" hidden="1" outlineLevel="1" collapsed="1" x14ac:dyDescent="0.25">
      <c r="C84" s="9">
        <f>Бета!$B$720</f>
        <v>832</v>
      </c>
    </row>
    <row r="85" spans="3:3" hidden="1" outlineLevel="1" collapsed="1" x14ac:dyDescent="0.25">
      <c r="C85" s="9">
        <f>Бета!$B$741</f>
        <v>208</v>
      </c>
    </row>
    <row r="86" spans="3:3" hidden="1" outlineLevel="1" collapsed="1" x14ac:dyDescent="0.25">
      <c r="C86" s="9">
        <f>Бета!$B$761</f>
        <v>780</v>
      </c>
    </row>
    <row r="87" spans="3:3" hidden="1" outlineLevel="1" collapsed="1" x14ac:dyDescent="0.25">
      <c r="C87" s="9">
        <f>Бета!$B$801</f>
        <v>624</v>
      </c>
    </row>
    <row r="88" spans="3:3" hidden="1" outlineLevel="1" collapsed="1" x14ac:dyDescent="0.25">
      <c r="C88" s="9">
        <f>Бета!$B$821</f>
        <v>780</v>
      </c>
    </row>
    <row r="89" spans="3:3" hidden="1" outlineLevel="1" collapsed="1" x14ac:dyDescent="0.25">
      <c r="C89" s="9">
        <f>Бета!$B$841</f>
        <v>416</v>
      </c>
    </row>
    <row r="90" spans="3:3" hidden="1" outlineLevel="1" collapsed="1" x14ac:dyDescent="0.25">
      <c r="C90" s="9">
        <f>Бета!$B$861</f>
        <v>728</v>
      </c>
    </row>
    <row r="91" spans="3:3" hidden="1" outlineLevel="1" collapsed="1" x14ac:dyDescent="0.25">
      <c r="C91" s="9">
        <f>Бета!$B$881</f>
        <v>416</v>
      </c>
    </row>
    <row r="92" spans="3:3" hidden="1" outlineLevel="1" collapsed="1" x14ac:dyDescent="0.25">
      <c r="C92" s="9">
        <f>Бета!$B$901</f>
        <v>260</v>
      </c>
    </row>
    <row r="93" spans="3:3" hidden="1" outlineLevel="1" collapsed="1" x14ac:dyDescent="0.25">
      <c r="C93" s="9">
        <f>Бета!$B$920</f>
        <v>520</v>
      </c>
    </row>
    <row r="94" spans="3:3" hidden="1" outlineLevel="1" collapsed="1" x14ac:dyDescent="0.25">
      <c r="C94" s="9">
        <f>Бета!$B$940</f>
        <v>364</v>
      </c>
    </row>
    <row r="95" spans="3:3" hidden="1" outlineLevel="1" collapsed="1" x14ac:dyDescent="0.25">
      <c r="C95" s="9">
        <f>Бета!$B$960</f>
        <v>572</v>
      </c>
    </row>
    <row r="96" spans="3:3" hidden="1" outlineLevel="1" collapsed="1" x14ac:dyDescent="0.25">
      <c r="C96" s="9">
        <f>Бета!$B$980</f>
        <v>780</v>
      </c>
    </row>
    <row r="97" spans="2:3" hidden="1" outlineLevel="1" collapsed="1" x14ac:dyDescent="0.25">
      <c r="C97" s="9">
        <f>Бета!$B$1000</f>
        <v>468</v>
      </c>
    </row>
    <row r="98" spans="2:3" hidden="1" outlineLevel="1" collapsed="1" x14ac:dyDescent="0.25">
      <c r="B98" t="s">
        <v>72</v>
      </c>
      <c r="C98" s="9">
        <f>Гамма!$B$2</f>
        <v>11892</v>
      </c>
    </row>
    <row r="99" spans="2:3" hidden="1" outlineLevel="1" collapsed="1" x14ac:dyDescent="0.25">
      <c r="C99" s="9">
        <f>Гамма!$B$28</f>
        <v>25924</v>
      </c>
    </row>
    <row r="100" spans="2:3" hidden="1" outlineLevel="1" collapsed="1" x14ac:dyDescent="0.25">
      <c r="C100" s="9">
        <f>Гамма!$B$55</f>
        <v>21459</v>
      </c>
    </row>
    <row r="101" spans="2:3" hidden="1" outlineLevel="1" collapsed="1" x14ac:dyDescent="0.25">
      <c r="C101" s="9">
        <f>Гамма!$B$82</f>
        <v>18460</v>
      </c>
    </row>
    <row r="102" spans="2:3" hidden="1" outlineLevel="1" collapsed="1" x14ac:dyDescent="0.25">
      <c r="C102" s="9">
        <f>Гамма!$B$108</f>
        <v>18234</v>
      </c>
    </row>
    <row r="103" spans="2:3" hidden="1" outlineLevel="1" collapsed="1" x14ac:dyDescent="0.25">
      <c r="C103" s="9">
        <f>Гамма!$B$134</f>
        <v>21617</v>
      </c>
    </row>
    <row r="104" spans="2:3" hidden="1" outlineLevel="1" collapsed="1" x14ac:dyDescent="0.25">
      <c r="C104" s="9">
        <f>Гамма!$B$160</f>
        <v>14145</v>
      </c>
    </row>
    <row r="105" spans="2:3" hidden="1" outlineLevel="1" collapsed="1" x14ac:dyDescent="0.25">
      <c r="C105" s="9">
        <f>Гамма!$B$187</f>
        <v>7842</v>
      </c>
    </row>
    <row r="106" spans="2:3" hidden="1" outlineLevel="1" collapsed="1" x14ac:dyDescent="0.25">
      <c r="C106" s="9">
        <f>Гамма!$B$214</f>
        <v>17894</v>
      </c>
    </row>
    <row r="107" spans="2:3" hidden="1" outlineLevel="1" collapsed="1" x14ac:dyDescent="0.25">
      <c r="C107" s="9">
        <f>Гамма!$B$240</f>
        <v>11567</v>
      </c>
    </row>
    <row r="108" spans="2:3" hidden="1" outlineLevel="1" collapsed="1" x14ac:dyDescent="0.25">
      <c r="C108" s="9">
        <f>Гамма!$B$266</f>
        <v>13927</v>
      </c>
    </row>
    <row r="109" spans="2:3" hidden="1" outlineLevel="1" collapsed="1" x14ac:dyDescent="0.25">
      <c r="C109" s="9">
        <f>Гамма!$B$292</f>
        <v>11137</v>
      </c>
    </row>
    <row r="110" spans="2:3" hidden="1" outlineLevel="1" collapsed="1" x14ac:dyDescent="0.25">
      <c r="C110" s="9">
        <f>Гамма!$B$318</f>
        <v>17763</v>
      </c>
    </row>
    <row r="111" spans="2:3" hidden="1" outlineLevel="1" collapsed="1" x14ac:dyDescent="0.25">
      <c r="C111" s="9">
        <f>Гамма!$B$344</f>
        <v>11817</v>
      </c>
    </row>
    <row r="112" spans="2:3" hidden="1" outlineLevel="1" collapsed="1" x14ac:dyDescent="0.25">
      <c r="C112" s="9">
        <f>Гамма!$B$369</f>
        <v>10589</v>
      </c>
    </row>
    <row r="113" spans="3:3" hidden="1" outlineLevel="1" collapsed="1" x14ac:dyDescent="0.25">
      <c r="C113" s="9">
        <f>Гамма!$B$395</f>
        <v>9122</v>
      </c>
    </row>
    <row r="114" spans="3:3" hidden="1" outlineLevel="1" collapsed="1" x14ac:dyDescent="0.25">
      <c r="C114" s="9">
        <f>Гамма!$B$422</f>
        <v>9102</v>
      </c>
    </row>
    <row r="115" spans="3:3" hidden="1" outlineLevel="1" collapsed="1" x14ac:dyDescent="0.25">
      <c r="C115" s="9">
        <f>Гамма!$B$449</f>
        <v>14948</v>
      </c>
    </row>
    <row r="116" spans="3:3" hidden="1" outlineLevel="1" collapsed="1" x14ac:dyDescent="0.25">
      <c r="C116" s="9">
        <f>Гамма!$B$475</f>
        <v>20954</v>
      </c>
    </row>
    <row r="117" spans="3:3" hidden="1" outlineLevel="1" collapsed="1" x14ac:dyDescent="0.25">
      <c r="C117" s="9">
        <f>Гамма!$B$501</f>
        <v>23704</v>
      </c>
    </row>
    <row r="118" spans="3:3" hidden="1" outlineLevel="1" collapsed="1" x14ac:dyDescent="0.25">
      <c r="C118" s="9">
        <f>Гамма!$B$527</f>
        <v>11500</v>
      </c>
    </row>
    <row r="119" spans="3:3" hidden="1" outlineLevel="1" collapsed="1" x14ac:dyDescent="0.25">
      <c r="C119" s="9">
        <f>Гамма!$B$553</f>
        <v>7062</v>
      </c>
    </row>
    <row r="120" spans="3:3" hidden="1" outlineLevel="1" collapsed="1" x14ac:dyDescent="0.25">
      <c r="C120" s="9">
        <f>Гамма!$B$578</f>
        <v>5128</v>
      </c>
    </row>
    <row r="121" spans="3:3" hidden="1" outlineLevel="1" collapsed="1" x14ac:dyDescent="0.25">
      <c r="C121" s="9">
        <f>Гамма!$B$604</f>
        <v>7157</v>
      </c>
    </row>
    <row r="122" spans="3:3" hidden="1" outlineLevel="1" collapsed="1" x14ac:dyDescent="0.25">
      <c r="C122" s="9">
        <f>Гамма!$B$630</f>
        <v>11353</v>
      </c>
    </row>
    <row r="123" spans="3:3" hidden="1" outlineLevel="1" collapsed="1" x14ac:dyDescent="0.25">
      <c r="C123" s="9">
        <f>Гамма!$B$656</f>
        <v>6444</v>
      </c>
    </row>
    <row r="124" spans="3:3" hidden="1" outlineLevel="1" collapsed="1" x14ac:dyDescent="0.25">
      <c r="C124" s="9">
        <f>Гамма!$B$682</f>
        <v>17504</v>
      </c>
    </row>
    <row r="125" spans="3:3" hidden="1" outlineLevel="1" collapsed="1" x14ac:dyDescent="0.25">
      <c r="C125" s="9">
        <f>Гамма!$B$708</f>
        <v>6222</v>
      </c>
    </row>
    <row r="126" spans="3:3" hidden="1" outlineLevel="1" collapsed="1" x14ac:dyDescent="0.25">
      <c r="C126" s="9">
        <f>Гамма!$B$734</f>
        <v>3927</v>
      </c>
    </row>
    <row r="127" spans="3:3" hidden="1" outlineLevel="1" collapsed="1" x14ac:dyDescent="0.25">
      <c r="C127" s="9">
        <f>Гамма!$B$758</f>
        <v>3536</v>
      </c>
    </row>
    <row r="128" spans="3:3" hidden="1" outlineLevel="1" collapsed="1" x14ac:dyDescent="0.25">
      <c r="C128" s="9">
        <f>Гамма!$B$783</f>
        <v>11087</v>
      </c>
    </row>
    <row r="129" spans="3:3" hidden="1" outlineLevel="1" collapsed="1" x14ac:dyDescent="0.25">
      <c r="C129" s="9">
        <f>Гамма!$B$808</f>
        <v>12698</v>
      </c>
    </row>
    <row r="130" spans="3:3" hidden="1" outlineLevel="1" collapsed="1" x14ac:dyDescent="0.25">
      <c r="C130" s="9">
        <f>Гамма!$B$834</f>
        <v>10121</v>
      </c>
    </row>
    <row r="131" spans="3:3" hidden="1" outlineLevel="1" collapsed="1" x14ac:dyDescent="0.25">
      <c r="C131" s="9">
        <f>Гамма!$B$860</f>
        <v>24897</v>
      </c>
    </row>
    <row r="132" spans="3:3" hidden="1" outlineLevel="1" collapsed="1" x14ac:dyDescent="0.25">
      <c r="C132" s="9">
        <f>Гамма!$B$886</f>
        <v>10214.32</v>
      </c>
    </row>
    <row r="133" spans="3:3" hidden="1" outlineLevel="1" collapsed="1" x14ac:dyDescent="0.25">
      <c r="C133" s="9">
        <f>Гамма!$B$912</f>
        <v>15447.64</v>
      </c>
    </row>
    <row r="134" spans="3:3" hidden="1" outlineLevel="1" collapsed="1" x14ac:dyDescent="0.25">
      <c r="C134" s="9">
        <f>Гамма!$B$938</f>
        <v>9112.61</v>
      </c>
    </row>
    <row r="135" spans="3:3" hidden="1" outlineLevel="1" collapsed="1" x14ac:dyDescent="0.25">
      <c r="C135" s="9">
        <f>Гамма!$B$963</f>
        <v>5222.3900000000003</v>
      </c>
    </row>
    <row r="136" spans="3:3" hidden="1" outlineLevel="1" collapsed="1" x14ac:dyDescent="0.25">
      <c r="C136" s="9">
        <f>Гамма!$B$989</f>
        <v>2928</v>
      </c>
    </row>
    <row r="137" spans="3:3" hidden="1" outlineLevel="1" collapsed="1" x14ac:dyDescent="0.25">
      <c r="C137" s="9">
        <f>Гамма!$B$1015</f>
        <v>4526.8100000000004</v>
      </c>
    </row>
    <row r="138" spans="3:3" hidden="1" outlineLevel="1" collapsed="1" x14ac:dyDescent="0.25">
      <c r="C138" s="9">
        <f>Гамма!$B$1040</f>
        <v>16224.33</v>
      </c>
    </row>
    <row r="139" spans="3:3" hidden="1" outlineLevel="1" collapsed="1" x14ac:dyDescent="0.25">
      <c r="C139" s="9">
        <f>Гамма!$B$1064</f>
        <v>9646.76</v>
      </c>
    </row>
    <row r="140" spans="3:3" hidden="1" outlineLevel="1" collapsed="1" x14ac:dyDescent="0.25">
      <c r="C140" s="9">
        <f>Гамма!$B$1089</f>
        <v>7441.66</v>
      </c>
    </row>
    <row r="141" spans="3:3" hidden="1" outlineLevel="1" collapsed="1" x14ac:dyDescent="0.25">
      <c r="C141" s="9">
        <f>Гамма!$B$1115</f>
        <v>6448.55</v>
      </c>
    </row>
    <row r="142" spans="3:3" hidden="1" outlineLevel="1" collapsed="1" x14ac:dyDescent="0.25">
      <c r="C142" s="9">
        <f>Гамма!$B$1138</f>
        <v>6722.77</v>
      </c>
    </row>
    <row r="143" spans="3:3" hidden="1" outlineLevel="1" collapsed="1" x14ac:dyDescent="0.25">
      <c r="C143" s="9">
        <f>Гамма!$B$1163</f>
        <v>7080.82</v>
      </c>
    </row>
    <row r="144" spans="3:3" hidden="1" outlineLevel="1" collapsed="1" x14ac:dyDescent="0.25">
      <c r="C144" s="9">
        <f>Гамма!$B$1188</f>
        <v>9147.69</v>
      </c>
    </row>
    <row r="145" spans="2:3" hidden="1" outlineLevel="1" collapsed="1" x14ac:dyDescent="0.25">
      <c r="C145" s="9">
        <f>Гамма!$B$1213</f>
        <v>10717.64</v>
      </c>
    </row>
    <row r="146" spans="2:3" hidden="1" outlineLevel="1" collapsed="1" x14ac:dyDescent="0.25">
      <c r="C146" s="9">
        <f>Гамма!$B$1238</f>
        <v>6320.81</v>
      </c>
    </row>
    <row r="147" spans="2:3" hidden="1" outlineLevel="1" collapsed="1" x14ac:dyDescent="0.25">
      <c r="B147" t="s">
        <v>72</v>
      </c>
      <c r="C147" s="9">
        <f>Дельта!$B$2</f>
        <v>16764</v>
      </c>
    </row>
    <row r="148" spans="2:3" hidden="1" outlineLevel="1" collapsed="1" x14ac:dyDescent="0.25">
      <c r="C148" s="9">
        <f>Дельта!$B$28</f>
        <v>17719</v>
      </c>
    </row>
    <row r="149" spans="2:3" hidden="1" outlineLevel="1" collapsed="1" x14ac:dyDescent="0.25">
      <c r="C149" s="9">
        <f>Дельта!$B$54</f>
        <v>17892</v>
      </c>
    </row>
    <row r="150" spans="2:3" hidden="1" outlineLevel="1" collapsed="1" x14ac:dyDescent="0.25">
      <c r="C150" s="9">
        <f>Дельта!$B$80</f>
        <v>12378</v>
      </c>
    </row>
    <row r="151" spans="2:3" hidden="1" outlineLevel="1" collapsed="1" x14ac:dyDescent="0.25">
      <c r="C151" s="9">
        <f>Дельта!$B$106</f>
        <v>19556</v>
      </c>
    </row>
    <row r="152" spans="2:3" hidden="1" outlineLevel="1" collapsed="1" x14ac:dyDescent="0.25">
      <c r="C152" s="9">
        <f>Дельта!$B$132</f>
        <v>25281</v>
      </c>
    </row>
    <row r="153" spans="2:3" hidden="1" outlineLevel="1" collapsed="1" x14ac:dyDescent="0.25">
      <c r="C153" s="9">
        <f>Дельта!$B$157</f>
        <v>14486</v>
      </c>
    </row>
    <row r="154" spans="2:3" hidden="1" outlineLevel="1" collapsed="1" x14ac:dyDescent="0.25">
      <c r="C154" s="9">
        <f>Дельта!$B$183</f>
        <v>16494</v>
      </c>
    </row>
    <row r="155" spans="2:3" hidden="1" outlineLevel="1" collapsed="1" x14ac:dyDescent="0.25">
      <c r="C155" s="9">
        <f>Дельта!$B$209</f>
        <v>11658</v>
      </c>
    </row>
    <row r="156" spans="2:3" hidden="1" outlineLevel="1" collapsed="1" x14ac:dyDescent="0.25">
      <c r="C156" s="9">
        <f>Дельта!$B$234</f>
        <v>8513</v>
      </c>
    </row>
    <row r="157" spans="2:3" hidden="1" outlineLevel="1" collapsed="1" x14ac:dyDescent="0.25">
      <c r="C157" s="9">
        <f>Дельта!$B$260</f>
        <v>13777</v>
      </c>
    </row>
    <row r="158" spans="2:3" hidden="1" outlineLevel="1" collapsed="1" x14ac:dyDescent="0.25">
      <c r="C158" s="9">
        <f>Дельта!$B$286</f>
        <v>18760</v>
      </c>
    </row>
    <row r="159" spans="2:3" hidden="1" outlineLevel="1" collapsed="1" x14ac:dyDescent="0.25">
      <c r="C159" s="9">
        <f>Дельта!$B$312</f>
        <v>25085</v>
      </c>
    </row>
    <row r="160" spans="2:3" hidden="1" outlineLevel="1" collapsed="1" x14ac:dyDescent="0.25">
      <c r="C160" s="9">
        <f>Дельта!$B$338</f>
        <v>14390</v>
      </c>
    </row>
    <row r="161" spans="3:3" hidden="1" outlineLevel="1" collapsed="1" x14ac:dyDescent="0.25">
      <c r="C161" s="9">
        <f>Дельта!$B$364</f>
        <v>13738</v>
      </c>
    </row>
    <row r="162" spans="3:3" hidden="1" outlineLevel="1" collapsed="1" x14ac:dyDescent="0.25">
      <c r="C162" s="9">
        <f>Дельта!$B$390</f>
        <v>11733</v>
      </c>
    </row>
    <row r="163" spans="3:3" hidden="1" outlineLevel="1" collapsed="1" x14ac:dyDescent="0.25">
      <c r="C163" s="9">
        <f>Дельта!$B$416</f>
        <v>6992</v>
      </c>
    </row>
    <row r="164" spans="3:3" hidden="1" outlineLevel="1" collapsed="1" x14ac:dyDescent="0.25">
      <c r="C164" s="9">
        <f>Дельта!$B$442</f>
        <v>9026</v>
      </c>
    </row>
    <row r="165" spans="3:3" hidden="1" outlineLevel="1" collapsed="1" x14ac:dyDescent="0.25">
      <c r="C165" s="9">
        <f>Дельта!$B$468</f>
        <v>10778</v>
      </c>
    </row>
    <row r="166" spans="3:3" hidden="1" outlineLevel="1" collapsed="1" x14ac:dyDescent="0.25">
      <c r="C166" s="9">
        <f>Дельта!$B$494</f>
        <v>16580</v>
      </c>
    </row>
    <row r="167" spans="3:3" hidden="1" outlineLevel="1" collapsed="1" x14ac:dyDescent="0.25">
      <c r="C167" s="9">
        <f>Дельта!$B$520</f>
        <v>10309</v>
      </c>
    </row>
    <row r="168" spans="3:3" hidden="1" outlineLevel="1" collapsed="1" x14ac:dyDescent="0.25">
      <c r="C168" s="9">
        <f>Дельта!$B$546</f>
        <v>9801</v>
      </c>
    </row>
    <row r="169" spans="3:3" hidden="1" outlineLevel="1" collapsed="1" x14ac:dyDescent="0.25">
      <c r="C169" s="9">
        <f>Дельта!$B$572</f>
        <v>1968</v>
      </c>
    </row>
    <row r="170" spans="3:3" hidden="1" outlineLevel="1" collapsed="1" x14ac:dyDescent="0.25">
      <c r="C170" s="9">
        <f>Дельта!$B$598</f>
        <v>12653</v>
      </c>
    </row>
    <row r="171" spans="3:3" hidden="1" outlineLevel="1" collapsed="1" x14ac:dyDescent="0.25">
      <c r="C171" s="9">
        <f>Дельта!$B$624</f>
        <v>5306</v>
      </c>
    </row>
    <row r="172" spans="3:3" hidden="1" outlineLevel="1" collapsed="1" x14ac:dyDescent="0.25">
      <c r="C172" s="9">
        <f>Дельта!$B$649</f>
        <v>6180</v>
      </c>
    </row>
    <row r="173" spans="3:3" hidden="1" outlineLevel="1" collapsed="1" x14ac:dyDescent="0.25">
      <c r="C173" s="9">
        <f>Дельта!$B$676</f>
        <v>5601</v>
      </c>
    </row>
    <row r="174" spans="3:3" hidden="1" outlineLevel="1" collapsed="1" x14ac:dyDescent="0.25">
      <c r="C174" s="9">
        <f>Дельта!$B$702</f>
        <v>3314</v>
      </c>
    </row>
    <row r="175" spans="3:3" hidden="1" outlineLevel="1" collapsed="1" x14ac:dyDescent="0.25">
      <c r="C175" s="9">
        <f>Дельта!$B$727</f>
        <v>3315</v>
      </c>
    </row>
    <row r="176" spans="3:3" hidden="1" outlineLevel="1" collapsed="1" x14ac:dyDescent="0.25">
      <c r="C176" s="9">
        <f>Дельта!$B$753</f>
        <v>2841.55</v>
      </c>
    </row>
    <row r="177" spans="3:3" hidden="1" outlineLevel="1" collapsed="1" x14ac:dyDescent="0.25">
      <c r="C177" s="9">
        <f>Дельта!$B$779</f>
        <v>8203</v>
      </c>
    </row>
    <row r="178" spans="3:3" hidden="1" outlineLevel="1" collapsed="1" x14ac:dyDescent="0.25">
      <c r="C178" s="9">
        <f>Дельта!$B$804</f>
        <v>10854</v>
      </c>
    </row>
    <row r="179" spans="3:3" hidden="1" outlineLevel="1" collapsed="1" x14ac:dyDescent="0.25">
      <c r="C179" s="9">
        <f>Дельта!$B$830</f>
        <v>7744</v>
      </c>
    </row>
    <row r="180" spans="3:3" hidden="1" outlineLevel="1" collapsed="1" x14ac:dyDescent="0.25">
      <c r="C180" s="9">
        <f>Дельта!$B$856</f>
        <v>14375</v>
      </c>
    </row>
    <row r="181" spans="3:3" hidden="1" outlineLevel="1" collapsed="1" x14ac:dyDescent="0.25">
      <c r="C181" s="9">
        <f>Дельта!$B$882</f>
        <v>9563.98</v>
      </c>
    </row>
    <row r="182" spans="3:3" hidden="1" outlineLevel="1" collapsed="1" x14ac:dyDescent="0.25">
      <c r="C182" s="9">
        <f>Дельта!$B$908</f>
        <v>9704</v>
      </c>
    </row>
    <row r="183" spans="3:3" hidden="1" outlineLevel="1" collapsed="1" x14ac:dyDescent="0.25">
      <c r="C183" s="9">
        <f>Дельта!$B$934</f>
        <v>8454</v>
      </c>
    </row>
    <row r="184" spans="3:3" hidden="1" outlineLevel="1" collapsed="1" x14ac:dyDescent="0.25">
      <c r="C184" s="9">
        <f>Дельта!$B$959</f>
        <v>3368.99</v>
      </c>
    </row>
    <row r="185" spans="3:3" hidden="1" outlineLevel="1" collapsed="1" x14ac:dyDescent="0.25">
      <c r="C185" s="9">
        <f>Дельта!$B$985</f>
        <v>7244</v>
      </c>
    </row>
    <row r="186" spans="3:3" hidden="1" outlineLevel="1" collapsed="1" x14ac:dyDescent="0.25">
      <c r="C186" s="9">
        <f>Дельта!$B$1010</f>
        <v>6043</v>
      </c>
    </row>
    <row r="187" spans="3:3" hidden="1" outlineLevel="1" collapsed="1" x14ac:dyDescent="0.25">
      <c r="C187" s="9">
        <f>Дельта!$B$1035</f>
        <v>6666</v>
      </c>
    </row>
    <row r="188" spans="3:3" hidden="1" outlineLevel="1" collapsed="1" x14ac:dyDescent="0.25">
      <c r="C188" s="9">
        <f>Дельта!$B$1061</f>
        <v>5929.96</v>
      </c>
    </row>
    <row r="189" spans="3:3" hidden="1" outlineLevel="1" collapsed="1" x14ac:dyDescent="0.25">
      <c r="C189" s="9">
        <f>Дельта!$B$1086</f>
        <v>3571</v>
      </c>
    </row>
    <row r="190" spans="3:3" hidden="1" outlineLevel="1" collapsed="1" x14ac:dyDescent="0.25">
      <c r="C190" s="9">
        <f>Дельта!$B$1111</f>
        <v>3934</v>
      </c>
    </row>
    <row r="191" spans="3:3" hidden="1" outlineLevel="1" collapsed="1" x14ac:dyDescent="0.25">
      <c r="C191" s="9">
        <f>Дельта!$B$1136</f>
        <v>4260</v>
      </c>
    </row>
    <row r="192" spans="3:3" hidden="1" outlineLevel="1" collapsed="1" x14ac:dyDescent="0.25">
      <c r="C192" s="9">
        <f>Дельта!$B$1160</f>
        <v>5527.97</v>
      </c>
    </row>
    <row r="193" spans="1:3" hidden="1" outlineLevel="1" collapsed="1" x14ac:dyDescent="0.25">
      <c r="C193" s="9">
        <f>Дельта!$B$1183</f>
        <v>7495.96</v>
      </c>
    </row>
    <row r="194" spans="1:3" hidden="1" outlineLevel="1" collapsed="1" x14ac:dyDescent="0.25">
      <c r="C194" s="9">
        <f>Дельта!$B$1208</f>
        <v>5839</v>
      </c>
    </row>
    <row r="195" spans="1:3" hidden="1" outlineLevel="1" collapsed="1" x14ac:dyDescent="0.25">
      <c r="C195" s="9">
        <f>Дельта!$B$1233</f>
        <v>2357</v>
      </c>
    </row>
    <row r="196" spans="1:3" collapsed="1" x14ac:dyDescent="0.25">
      <c r="A196" t="s">
        <v>2</v>
      </c>
      <c r="C196" s="9">
        <f>SUM(C2:C195)</f>
        <v>1703327.0299999998</v>
      </c>
    </row>
    <row r="197" spans="1:3" hidden="1" outlineLevel="1" x14ac:dyDescent="0.25">
      <c r="B197" t="s">
        <v>72</v>
      </c>
      <c r="C197" s="9">
        <f>Альфа!$B$3</f>
        <v>354936.41</v>
      </c>
    </row>
    <row r="198" spans="1:3" hidden="1" outlineLevel="1" collapsed="1" x14ac:dyDescent="0.25">
      <c r="C198" s="9">
        <f>Альфа!$B$29</f>
        <v>318564.89</v>
      </c>
    </row>
    <row r="199" spans="1:3" hidden="1" outlineLevel="1" collapsed="1" x14ac:dyDescent="0.25">
      <c r="C199" s="9">
        <f>Альфа!$B$55</f>
        <v>286140.86</v>
      </c>
    </row>
    <row r="200" spans="1:3" hidden="1" outlineLevel="1" collapsed="1" x14ac:dyDescent="0.25">
      <c r="C200" s="9">
        <f>Альфа!$B$81</f>
        <v>373657.92</v>
      </c>
    </row>
    <row r="201" spans="1:3" hidden="1" outlineLevel="1" collapsed="1" x14ac:dyDescent="0.25">
      <c r="C201" s="9">
        <f>Альфа!$B$107</f>
        <v>453554.61</v>
      </c>
    </row>
    <row r="202" spans="1:3" hidden="1" outlineLevel="1" collapsed="1" x14ac:dyDescent="0.25">
      <c r="C202" s="9">
        <f>Альфа!$B$134</f>
        <v>553352.85</v>
      </c>
    </row>
    <row r="203" spans="1:3" hidden="1" outlineLevel="1" collapsed="1" x14ac:dyDescent="0.25">
      <c r="C203" s="9">
        <f>Альфа!$B$161</f>
        <v>322703.37</v>
      </c>
    </row>
    <row r="204" spans="1:3" hidden="1" outlineLevel="1" collapsed="1" x14ac:dyDescent="0.25">
      <c r="C204" s="9">
        <f>Альфа!$B$187</f>
        <v>392228.47</v>
      </c>
    </row>
    <row r="205" spans="1:3" hidden="1" outlineLevel="1" collapsed="1" x14ac:dyDescent="0.25">
      <c r="C205" s="9">
        <f>Альфа!$B$213</f>
        <v>407225.14</v>
      </c>
    </row>
    <row r="206" spans="1:3" hidden="1" outlineLevel="1" collapsed="1" x14ac:dyDescent="0.25">
      <c r="C206" s="9">
        <f>Альфа!$B$239</f>
        <v>265835.34000000003</v>
      </c>
    </row>
    <row r="207" spans="1:3" hidden="1" outlineLevel="1" collapsed="1" x14ac:dyDescent="0.25">
      <c r="C207" s="9">
        <f>Альфа!$B$266</f>
        <v>284122.39</v>
      </c>
    </row>
    <row r="208" spans="1:3" hidden="1" outlineLevel="1" collapsed="1" x14ac:dyDescent="0.25">
      <c r="C208" s="9">
        <f>Альфа!$B$292</f>
        <v>379990.91</v>
      </c>
    </row>
    <row r="209" spans="3:3" hidden="1" outlineLevel="1" collapsed="1" x14ac:dyDescent="0.25">
      <c r="C209" s="9">
        <f>Альфа!$B$318</f>
        <v>521829.37</v>
      </c>
    </row>
    <row r="210" spans="3:3" hidden="1" outlineLevel="1" collapsed="1" x14ac:dyDescent="0.25">
      <c r="C210" s="9">
        <f>Альфа!$B$344</f>
        <v>384121.62</v>
      </c>
    </row>
    <row r="211" spans="3:3" hidden="1" outlineLevel="1" collapsed="1" x14ac:dyDescent="0.25">
      <c r="C211" s="9">
        <f>Альфа!$B$370</f>
        <v>320200.55</v>
      </c>
    </row>
    <row r="212" spans="3:3" hidden="1" outlineLevel="1" collapsed="1" x14ac:dyDescent="0.25">
      <c r="C212" s="9">
        <f>Альфа!$B$397</f>
        <v>316567.18</v>
      </c>
    </row>
    <row r="213" spans="3:3" hidden="1" outlineLevel="1" collapsed="1" x14ac:dyDescent="0.25">
      <c r="C213" s="9">
        <f>Альфа!$B$423</f>
        <v>343114.38</v>
      </c>
    </row>
    <row r="214" spans="3:3" hidden="1" outlineLevel="1" collapsed="1" x14ac:dyDescent="0.25">
      <c r="C214" s="9">
        <f>Альфа!$B$448</f>
        <v>497739.66</v>
      </c>
    </row>
    <row r="215" spans="3:3" hidden="1" outlineLevel="1" collapsed="1" x14ac:dyDescent="0.25">
      <c r="C215" s="9">
        <f>Альфа!$B$473</f>
        <v>759887.52</v>
      </c>
    </row>
    <row r="216" spans="3:3" hidden="1" outlineLevel="1" collapsed="1" x14ac:dyDescent="0.25">
      <c r="C216" s="9">
        <f>Альфа!$B$499</f>
        <v>893727.88</v>
      </c>
    </row>
    <row r="217" spans="3:3" hidden="1" outlineLevel="1" collapsed="1" x14ac:dyDescent="0.25">
      <c r="C217" s="9">
        <f>Альфа!$B$524</f>
        <v>884177.57</v>
      </c>
    </row>
    <row r="218" spans="3:3" hidden="1" outlineLevel="1" collapsed="1" x14ac:dyDescent="0.25">
      <c r="C218" s="9">
        <f>Альфа!$B$549</f>
        <v>823759.51</v>
      </c>
    </row>
    <row r="219" spans="3:3" hidden="1" outlineLevel="1" collapsed="1" x14ac:dyDescent="0.25">
      <c r="C219" s="9">
        <f>Альфа!$B$573</f>
        <v>165226.70000000001</v>
      </c>
    </row>
    <row r="220" spans="3:3" hidden="1" outlineLevel="1" collapsed="1" x14ac:dyDescent="0.25">
      <c r="C220" s="9">
        <f>Альфа!$B$599</f>
        <v>182760.27</v>
      </c>
    </row>
    <row r="221" spans="3:3" hidden="1" outlineLevel="1" collapsed="1" x14ac:dyDescent="0.25">
      <c r="C221" s="9">
        <f>Альфа!$B$623</f>
        <v>262633.76</v>
      </c>
    </row>
    <row r="222" spans="3:3" hidden="1" outlineLevel="1" collapsed="1" x14ac:dyDescent="0.25">
      <c r="C222" s="9">
        <f>Альфа!$B$648</f>
        <v>306630.05</v>
      </c>
    </row>
    <row r="223" spans="3:3" hidden="1" outlineLevel="1" collapsed="1" x14ac:dyDescent="0.25">
      <c r="C223" s="9">
        <f>Альфа!$B$673</f>
        <v>379801.51</v>
      </c>
    </row>
    <row r="224" spans="3:3" hidden="1" outlineLevel="1" collapsed="1" x14ac:dyDescent="0.25">
      <c r="C224" s="9">
        <f>Альфа!$B$698</f>
        <v>254135.24</v>
      </c>
    </row>
    <row r="225" spans="3:3" hidden="1" outlineLevel="1" collapsed="1" x14ac:dyDescent="0.25">
      <c r="C225" s="9">
        <f>Альфа!$B$724</f>
        <v>181816.12</v>
      </c>
    </row>
    <row r="226" spans="3:3" hidden="1" outlineLevel="1" collapsed="1" x14ac:dyDescent="0.25">
      <c r="C226" s="9">
        <f>Альфа!$B$747</f>
        <v>182816.12</v>
      </c>
    </row>
    <row r="227" spans="3:3" hidden="1" outlineLevel="1" collapsed="1" x14ac:dyDescent="0.25">
      <c r="C227" s="9">
        <f>Альфа!$B$773</f>
        <v>204419.07</v>
      </c>
    </row>
    <row r="228" spans="3:3" hidden="1" outlineLevel="1" collapsed="1" x14ac:dyDescent="0.25">
      <c r="C228" s="9">
        <f>Альфа!$B$796</f>
        <v>336826.45</v>
      </c>
    </row>
    <row r="229" spans="3:3" hidden="1" outlineLevel="1" collapsed="1" x14ac:dyDescent="0.25">
      <c r="C229" s="9">
        <f>Альфа!$B$821</f>
        <v>349582.44</v>
      </c>
    </row>
    <row r="230" spans="3:3" hidden="1" outlineLevel="1" collapsed="1" x14ac:dyDescent="0.25">
      <c r="C230" s="9">
        <f>Альфа!$B$845</f>
        <v>605994.75</v>
      </c>
    </row>
    <row r="231" spans="3:3" hidden="1" outlineLevel="1" collapsed="1" x14ac:dyDescent="0.25">
      <c r="C231" s="9">
        <f>Альфа!$B$870</f>
        <v>579379.93999999994</v>
      </c>
    </row>
    <row r="232" spans="3:3" hidden="1" outlineLevel="1" collapsed="1" x14ac:dyDescent="0.25">
      <c r="C232" s="9">
        <f>Альфа!$B$895</f>
        <v>602732.23</v>
      </c>
    </row>
    <row r="233" spans="3:3" hidden="1" outlineLevel="1" collapsed="1" x14ac:dyDescent="0.25">
      <c r="C233" s="9">
        <f>Альфа!$B$920</f>
        <v>221090.77</v>
      </c>
    </row>
    <row r="234" spans="3:3" hidden="1" outlineLevel="1" collapsed="1" x14ac:dyDescent="0.25">
      <c r="C234" s="9">
        <f>Альфа!$B$945</f>
        <v>182404.09</v>
      </c>
    </row>
    <row r="235" spans="3:3" hidden="1" outlineLevel="1" collapsed="1" x14ac:dyDescent="0.25">
      <c r="C235" s="9">
        <f>Альфа!$B$970</f>
        <v>178937.21</v>
      </c>
    </row>
    <row r="236" spans="3:3" hidden="1" outlineLevel="1" collapsed="1" x14ac:dyDescent="0.25">
      <c r="C236" s="9">
        <f>Альфа!$B$995</f>
        <v>211130.26</v>
      </c>
    </row>
    <row r="237" spans="3:3" hidden="1" outlineLevel="1" collapsed="1" x14ac:dyDescent="0.25">
      <c r="C237" s="9">
        <f>Альфа!$B$1020</f>
        <v>187228.13</v>
      </c>
    </row>
    <row r="238" spans="3:3" hidden="1" outlineLevel="1" collapsed="1" x14ac:dyDescent="0.25">
      <c r="C238" s="9">
        <f>Альфа!$B$1045</f>
        <v>247582.53</v>
      </c>
    </row>
    <row r="239" spans="3:3" hidden="1" outlineLevel="1" collapsed="1" x14ac:dyDescent="0.25">
      <c r="C239" s="9">
        <f>Альфа!$B$1071</f>
        <v>237396.06</v>
      </c>
    </row>
    <row r="240" spans="3:3" hidden="1" outlineLevel="1" collapsed="1" x14ac:dyDescent="0.25">
      <c r="C240" s="9">
        <f>Альфа!$B$1096</f>
        <v>180409.55</v>
      </c>
    </row>
    <row r="241" spans="2:3" hidden="1" outlineLevel="1" collapsed="1" x14ac:dyDescent="0.25">
      <c r="C241" s="9">
        <f>Альфа!$B$1120</f>
        <v>205531.9</v>
      </c>
    </row>
    <row r="242" spans="2:3" hidden="1" outlineLevel="1" collapsed="1" x14ac:dyDescent="0.25">
      <c r="C242" s="9">
        <f>Альфа!$B$1146</f>
        <v>193677.15</v>
      </c>
    </row>
    <row r="243" spans="2:3" hidden="1" outlineLevel="1" collapsed="1" x14ac:dyDescent="0.25">
      <c r="C243" s="9">
        <f>Альфа!$B$1171</f>
        <v>224915.24</v>
      </c>
    </row>
    <row r="244" spans="2:3" hidden="1" outlineLevel="1" collapsed="1" x14ac:dyDescent="0.25">
      <c r="C244" s="9">
        <f>Альфа!$B$1197</f>
        <v>281294.71999999997</v>
      </c>
    </row>
    <row r="245" spans="2:3" hidden="1" outlineLevel="1" collapsed="1" x14ac:dyDescent="0.25">
      <c r="C245" s="9">
        <f>Альфа!$B$1223</f>
        <v>267291.08</v>
      </c>
    </row>
    <row r="246" spans="2:3" hidden="1" outlineLevel="1" collapsed="1" x14ac:dyDescent="0.25">
      <c r="B246" t="s">
        <v>72</v>
      </c>
      <c r="C246" s="9">
        <f>Бета!$B$3</f>
        <v>51615.08</v>
      </c>
    </row>
    <row r="247" spans="2:3" hidden="1" outlineLevel="1" collapsed="1" x14ac:dyDescent="0.25">
      <c r="C247" s="9">
        <f>Бета!$B$25</f>
        <v>57278.98</v>
      </c>
    </row>
    <row r="248" spans="2:3" hidden="1" outlineLevel="1" collapsed="1" x14ac:dyDescent="0.25">
      <c r="C248" s="9">
        <f>Бета!$B$47</f>
        <v>50305.55</v>
      </c>
    </row>
    <row r="249" spans="2:3" hidden="1" outlineLevel="1" collapsed="1" x14ac:dyDescent="0.25">
      <c r="C249" s="9">
        <f>Бета!$B$69</f>
        <v>53039.79</v>
      </c>
    </row>
    <row r="250" spans="2:3" hidden="1" outlineLevel="1" collapsed="1" x14ac:dyDescent="0.25">
      <c r="C250" s="9">
        <f>Бета!$B$91</f>
        <v>42341.73</v>
      </c>
    </row>
    <row r="251" spans="2:3" hidden="1" outlineLevel="1" collapsed="1" x14ac:dyDescent="0.25">
      <c r="C251" s="9">
        <f>Бета!$B$113</f>
        <v>69519.5</v>
      </c>
    </row>
    <row r="252" spans="2:3" hidden="1" outlineLevel="1" collapsed="1" x14ac:dyDescent="0.25">
      <c r="C252" s="9">
        <f>Бета!$B$135</f>
        <v>63211.86</v>
      </c>
    </row>
    <row r="253" spans="2:3" hidden="1" outlineLevel="1" collapsed="1" x14ac:dyDescent="0.25">
      <c r="C253" s="9">
        <f>Бета!$B$157</f>
        <v>32345.85</v>
      </c>
    </row>
    <row r="254" spans="2:3" hidden="1" outlineLevel="1" collapsed="1" x14ac:dyDescent="0.25">
      <c r="C254" s="9">
        <f>Бета!$B$179</f>
        <v>38888.67</v>
      </c>
    </row>
    <row r="255" spans="2:3" hidden="1" outlineLevel="1" collapsed="1" x14ac:dyDescent="0.25">
      <c r="C255" s="9">
        <f>Бета!$B$201</f>
        <v>39621.1</v>
      </c>
    </row>
    <row r="256" spans="2:3" hidden="1" outlineLevel="1" collapsed="1" x14ac:dyDescent="0.25">
      <c r="C256" s="9">
        <f>Бета!$B$223</f>
        <v>35139.51</v>
      </c>
    </row>
    <row r="257" spans="3:3" hidden="1" outlineLevel="1" collapsed="1" x14ac:dyDescent="0.25">
      <c r="C257" s="9">
        <f>Бета!$B$245</f>
        <v>40794.47</v>
      </c>
    </row>
    <row r="258" spans="3:3" hidden="1" outlineLevel="1" collapsed="1" x14ac:dyDescent="0.25">
      <c r="C258" s="9">
        <f>Бета!$B$267</f>
        <v>67931.48</v>
      </c>
    </row>
    <row r="259" spans="3:3" hidden="1" outlineLevel="1" collapsed="1" x14ac:dyDescent="0.25">
      <c r="C259" s="9">
        <f>Бета!$B$288</f>
        <v>55657.99</v>
      </c>
    </row>
    <row r="260" spans="3:3" hidden="1" outlineLevel="1" collapsed="1" x14ac:dyDescent="0.25">
      <c r="C260" s="9">
        <f>Бета!$B$310</f>
        <v>25984.080000000002</v>
      </c>
    </row>
    <row r="261" spans="3:3" hidden="1" outlineLevel="1" collapsed="1" x14ac:dyDescent="0.25">
      <c r="C261" s="9">
        <f>Бета!$B$332</f>
        <v>34139.21</v>
      </c>
    </row>
    <row r="262" spans="3:3" hidden="1" outlineLevel="1" collapsed="1" x14ac:dyDescent="0.25">
      <c r="C262" s="9">
        <f>Бета!$B$353</f>
        <v>36537.230000000003</v>
      </c>
    </row>
    <row r="263" spans="3:3" hidden="1" outlineLevel="1" collapsed="1" x14ac:dyDescent="0.25">
      <c r="C263" s="9">
        <f>Бета!$B$374</f>
        <v>36523.89</v>
      </c>
    </row>
    <row r="264" spans="3:3" hidden="1" outlineLevel="1" collapsed="1" x14ac:dyDescent="0.25">
      <c r="C264" s="9">
        <f>Бета!$B$395</f>
        <v>45919.21</v>
      </c>
    </row>
    <row r="265" spans="3:3" hidden="1" outlineLevel="1" collapsed="1" x14ac:dyDescent="0.25">
      <c r="C265" s="9">
        <f>Бета!$B$416</f>
        <v>68274.17</v>
      </c>
    </row>
    <row r="266" spans="3:3" hidden="1" outlineLevel="1" collapsed="1" x14ac:dyDescent="0.25">
      <c r="C266" s="9">
        <f>Бета!$B$437</f>
        <v>48701.52</v>
      </c>
    </row>
    <row r="267" spans="3:3" hidden="1" outlineLevel="1" collapsed="1" x14ac:dyDescent="0.25">
      <c r="C267" s="9">
        <f>Бета!$B$458</f>
        <v>32933.56</v>
      </c>
    </row>
    <row r="268" spans="3:3" hidden="1" outlineLevel="1" collapsed="1" x14ac:dyDescent="0.25">
      <c r="C268" s="9">
        <f>Бета!$B$479</f>
        <v>15517.69</v>
      </c>
    </row>
    <row r="269" spans="3:3" hidden="1" outlineLevel="1" collapsed="1" x14ac:dyDescent="0.25">
      <c r="C269" s="9">
        <f>Бета!$B$500</f>
        <v>24426.62</v>
      </c>
    </row>
    <row r="270" spans="3:3" hidden="1" outlineLevel="1" collapsed="1" x14ac:dyDescent="0.25">
      <c r="C270" s="9">
        <f>Бета!$B$521</f>
        <v>23938.12</v>
      </c>
    </row>
    <row r="271" spans="3:3" hidden="1" outlineLevel="1" collapsed="1" x14ac:dyDescent="0.25">
      <c r="C271" s="9">
        <f>Бета!$B$541</f>
        <v>22229.83</v>
      </c>
    </row>
    <row r="272" spans="3:3" hidden="1" outlineLevel="1" collapsed="1" x14ac:dyDescent="0.25">
      <c r="C272" s="9">
        <f>Бета!$B$561</f>
        <v>34630.1</v>
      </c>
    </row>
    <row r="273" spans="3:3" hidden="1" outlineLevel="1" collapsed="1" x14ac:dyDescent="0.25">
      <c r="C273" s="9">
        <f>Бета!$B$581</f>
        <v>32556.080000000002</v>
      </c>
    </row>
    <row r="274" spans="3:3" hidden="1" outlineLevel="1" collapsed="1" x14ac:dyDescent="0.25">
      <c r="C274" s="9">
        <f>Бета!$B$601</f>
        <v>17468.7</v>
      </c>
    </row>
    <row r="275" spans="3:3" hidden="1" outlineLevel="1" collapsed="1" x14ac:dyDescent="0.25">
      <c r="C275" s="9">
        <f>Бета!$B$620</f>
        <v>14818.77</v>
      </c>
    </row>
    <row r="276" spans="3:3" hidden="1" outlineLevel="1" collapsed="1" x14ac:dyDescent="0.25">
      <c r="C276" s="9">
        <f>Бета!$B$640</f>
        <v>14744.93</v>
      </c>
    </row>
    <row r="277" spans="3:3" hidden="1" outlineLevel="1" collapsed="1" x14ac:dyDescent="0.25">
      <c r="C277" s="9">
        <f>Бета!$B$660</f>
        <v>15708.04</v>
      </c>
    </row>
    <row r="278" spans="3:3" hidden="1" outlineLevel="1" collapsed="1" x14ac:dyDescent="0.25">
      <c r="C278" s="9">
        <f>Бета!$B$680</f>
        <v>21618.43</v>
      </c>
    </row>
    <row r="279" spans="3:3" hidden="1" outlineLevel="1" collapsed="1" x14ac:dyDescent="0.25">
      <c r="C279" s="9">
        <f>Бета!$B$701</f>
        <v>29805.040000000001</v>
      </c>
    </row>
    <row r="280" spans="3:3" hidden="1" outlineLevel="1" collapsed="1" x14ac:dyDescent="0.25">
      <c r="C280" s="9">
        <f>Бета!$B$721</f>
        <v>27324.48</v>
      </c>
    </row>
    <row r="281" spans="3:3" hidden="1" outlineLevel="1" collapsed="1" x14ac:dyDescent="0.25">
      <c r="C281" s="9">
        <f>Бета!$B$742</f>
        <v>23254.68</v>
      </c>
    </row>
    <row r="282" spans="3:3" hidden="1" outlineLevel="1" collapsed="1" x14ac:dyDescent="0.25">
      <c r="C282" s="9">
        <f>Бета!$B$762</f>
        <v>14730.11</v>
      </c>
    </row>
    <row r="283" spans="3:3" hidden="1" outlineLevel="1" collapsed="1" x14ac:dyDescent="0.25">
      <c r="C283" s="9">
        <f>Бета!$B$781</f>
        <v>14884.88</v>
      </c>
    </row>
    <row r="284" spans="3:3" hidden="1" outlineLevel="1" collapsed="1" x14ac:dyDescent="0.25">
      <c r="C284" s="9">
        <f>Бета!$B$802</f>
        <v>10923.19</v>
      </c>
    </row>
    <row r="285" spans="3:3" hidden="1" outlineLevel="1" collapsed="1" x14ac:dyDescent="0.25">
      <c r="C285" s="9">
        <f>Бета!$B$822</f>
        <v>15893.66</v>
      </c>
    </row>
    <row r="286" spans="3:3" hidden="1" outlineLevel="1" collapsed="1" x14ac:dyDescent="0.25">
      <c r="C286" s="9">
        <f>Бета!$B$842</f>
        <v>20661.96</v>
      </c>
    </row>
    <row r="287" spans="3:3" hidden="1" outlineLevel="1" collapsed="1" x14ac:dyDescent="0.25">
      <c r="C287" s="9">
        <f>Бета!$B$862</f>
        <v>18480.830000000002</v>
      </c>
    </row>
    <row r="288" spans="3:3" hidden="1" outlineLevel="1" collapsed="1" x14ac:dyDescent="0.25">
      <c r="C288" s="9">
        <f>Бета!$B$882</f>
        <v>16261.05</v>
      </c>
    </row>
    <row r="289" spans="2:3" hidden="1" outlineLevel="1" collapsed="1" x14ac:dyDescent="0.25">
      <c r="C289" s="9">
        <f>Бета!$B$902</f>
        <v>16679.43</v>
      </c>
    </row>
    <row r="290" spans="2:3" hidden="1" outlineLevel="1" collapsed="1" x14ac:dyDescent="0.25">
      <c r="C290" s="9">
        <f>Бета!$B$921</f>
        <v>19925.849999999999</v>
      </c>
    </row>
    <row r="291" spans="2:3" hidden="1" outlineLevel="1" collapsed="1" x14ac:dyDescent="0.25">
      <c r="C291" s="9">
        <f>Бета!$B$941</f>
        <v>21712.11</v>
      </c>
    </row>
    <row r="292" spans="2:3" hidden="1" outlineLevel="1" collapsed="1" x14ac:dyDescent="0.25">
      <c r="C292" s="9">
        <f>Бета!$B$961</f>
        <v>14802.14</v>
      </c>
    </row>
    <row r="293" spans="2:3" hidden="1" outlineLevel="1" collapsed="1" x14ac:dyDescent="0.25">
      <c r="C293" s="9">
        <f>Бета!$B$981</f>
        <v>27012.31</v>
      </c>
    </row>
    <row r="294" spans="2:3" hidden="1" outlineLevel="1" collapsed="1" x14ac:dyDescent="0.25">
      <c r="C294" s="9">
        <f>Бета!$B$1001</f>
        <v>18121.32</v>
      </c>
    </row>
    <row r="295" spans="2:3" hidden="1" outlineLevel="1" collapsed="1" x14ac:dyDescent="0.25">
      <c r="B295" t="s">
        <v>72</v>
      </c>
      <c r="C295" s="9">
        <f>Гамма!$B$3</f>
        <v>247618.59</v>
      </c>
    </row>
    <row r="296" spans="2:3" hidden="1" outlineLevel="1" collapsed="1" x14ac:dyDescent="0.25">
      <c r="C296" s="9">
        <f>Гамма!$B$29</f>
        <v>198417.13</v>
      </c>
    </row>
    <row r="297" spans="2:3" hidden="1" outlineLevel="1" collapsed="1" x14ac:dyDescent="0.25">
      <c r="C297" s="9">
        <f>Гамма!$B$56</f>
        <v>206057.19</v>
      </c>
    </row>
    <row r="298" spans="2:3" hidden="1" outlineLevel="1" collapsed="1" x14ac:dyDescent="0.25">
      <c r="C298" s="9">
        <f>Гамма!$B$83</f>
        <v>253021.76</v>
      </c>
    </row>
    <row r="299" spans="2:3" hidden="1" outlineLevel="1" collapsed="1" x14ac:dyDescent="0.25">
      <c r="C299" s="9">
        <f>Гамма!$B$109</f>
        <v>281896.87</v>
      </c>
    </row>
    <row r="300" spans="2:3" hidden="1" outlineLevel="1" collapsed="1" x14ac:dyDescent="0.25">
      <c r="C300" s="9">
        <f>Гамма!$B$135</f>
        <v>408951.66</v>
      </c>
    </row>
    <row r="301" spans="2:3" hidden="1" outlineLevel="1" collapsed="1" x14ac:dyDescent="0.25">
      <c r="C301" s="9">
        <f>Гамма!$B$161</f>
        <v>315423.78000000003</v>
      </c>
    </row>
    <row r="302" spans="2:3" hidden="1" outlineLevel="1" collapsed="1" x14ac:dyDescent="0.25">
      <c r="C302" s="9">
        <f>Гамма!$B$188</f>
        <v>295709.12</v>
      </c>
    </row>
    <row r="303" spans="2:3" hidden="1" outlineLevel="1" collapsed="1" x14ac:dyDescent="0.25">
      <c r="C303" s="9">
        <f>Гамма!$B$215</f>
        <v>395096.08</v>
      </c>
    </row>
    <row r="304" spans="2:3" hidden="1" outlineLevel="1" collapsed="1" x14ac:dyDescent="0.25">
      <c r="C304" s="9">
        <f>Гамма!$B$241</f>
        <v>218486.34</v>
      </c>
    </row>
    <row r="305" spans="3:3" hidden="1" outlineLevel="1" collapsed="1" x14ac:dyDescent="0.25">
      <c r="C305" s="9">
        <f>Гамма!$B$267</f>
        <v>216638.68</v>
      </c>
    </row>
    <row r="306" spans="3:3" hidden="1" outlineLevel="1" collapsed="1" x14ac:dyDescent="0.25">
      <c r="C306" s="9">
        <f>Гамма!$B$293</f>
        <v>293940.44</v>
      </c>
    </row>
    <row r="307" spans="3:3" hidden="1" outlineLevel="1" collapsed="1" x14ac:dyDescent="0.25">
      <c r="C307" s="9">
        <f>Гамма!$B$319</f>
        <v>436323.15</v>
      </c>
    </row>
    <row r="308" spans="3:3" hidden="1" outlineLevel="1" collapsed="1" x14ac:dyDescent="0.25">
      <c r="C308" s="9">
        <f>Гамма!$B$345</f>
        <v>329690.63</v>
      </c>
    </row>
    <row r="309" spans="3:3" hidden="1" outlineLevel="1" collapsed="1" x14ac:dyDescent="0.25">
      <c r="C309" s="9">
        <f>Гамма!$B$370</f>
        <v>243506.39</v>
      </c>
    </row>
    <row r="310" spans="3:3" hidden="1" outlineLevel="1" collapsed="1" x14ac:dyDescent="0.25">
      <c r="C310" s="9">
        <f>Гамма!$B$396</f>
        <v>211905.6</v>
      </c>
    </row>
    <row r="311" spans="3:3" hidden="1" outlineLevel="1" collapsed="1" x14ac:dyDescent="0.25">
      <c r="C311" s="9">
        <f>Гамма!$B$423</f>
        <v>229182.96</v>
      </c>
    </row>
    <row r="312" spans="3:3" hidden="1" outlineLevel="1" collapsed="1" x14ac:dyDescent="0.25">
      <c r="C312" s="9">
        <f>Гамма!$B$450</f>
        <v>430786.53</v>
      </c>
    </row>
    <row r="313" spans="3:3" hidden="1" outlineLevel="1" collapsed="1" x14ac:dyDescent="0.25">
      <c r="C313" s="9">
        <f>Гамма!$B$476</f>
        <v>516130.07</v>
      </c>
    </row>
    <row r="314" spans="3:3" hidden="1" outlineLevel="1" collapsed="1" x14ac:dyDescent="0.25">
      <c r="C314" s="9">
        <f>Гамма!$B$502</f>
        <v>514918.28</v>
      </c>
    </row>
    <row r="315" spans="3:3" hidden="1" outlineLevel="1" collapsed="1" x14ac:dyDescent="0.25">
      <c r="C315" s="9">
        <f>Гамма!$B$528</f>
        <v>430493.91</v>
      </c>
    </row>
    <row r="316" spans="3:3" hidden="1" outlineLevel="1" collapsed="1" x14ac:dyDescent="0.25">
      <c r="C316" s="9">
        <f>Гамма!$B$554</f>
        <v>355379.59</v>
      </c>
    </row>
    <row r="317" spans="3:3" hidden="1" outlineLevel="1" collapsed="1" x14ac:dyDescent="0.25">
      <c r="C317" s="9">
        <f>Гамма!$B$579</f>
        <v>68357.2</v>
      </c>
    </row>
    <row r="318" spans="3:3" hidden="1" outlineLevel="1" collapsed="1" x14ac:dyDescent="0.25">
      <c r="C318" s="9">
        <f>Гамма!$B$605</f>
        <v>64351.73</v>
      </c>
    </row>
    <row r="319" spans="3:3" hidden="1" outlineLevel="1" collapsed="1" x14ac:dyDescent="0.25">
      <c r="C319" s="9">
        <f>Гамма!$B$631</f>
        <v>112840.07</v>
      </c>
    </row>
    <row r="320" spans="3:3" hidden="1" outlineLevel="1" collapsed="1" x14ac:dyDescent="0.25">
      <c r="C320" s="9">
        <f>Гамма!$B$657</f>
        <v>122229.61</v>
      </c>
    </row>
    <row r="321" spans="3:3" hidden="1" outlineLevel="1" collapsed="1" x14ac:dyDescent="0.25">
      <c r="C321" s="9">
        <f>Гамма!$B$683</f>
        <v>217059.66</v>
      </c>
    </row>
    <row r="322" spans="3:3" hidden="1" outlineLevel="1" collapsed="1" x14ac:dyDescent="0.25">
      <c r="C322" s="9">
        <f>Гамма!$B$709</f>
        <v>129680.11</v>
      </c>
    </row>
    <row r="323" spans="3:3" hidden="1" outlineLevel="1" collapsed="1" x14ac:dyDescent="0.25">
      <c r="C323" s="9">
        <f>Гамма!$B$735</f>
        <v>66238.600000000006</v>
      </c>
    </row>
    <row r="324" spans="3:3" hidden="1" outlineLevel="1" collapsed="1" x14ac:dyDescent="0.25">
      <c r="C324" s="9">
        <f>Гамма!$B$759</f>
        <v>117850.49</v>
      </c>
    </row>
    <row r="325" spans="3:3" hidden="1" outlineLevel="1" collapsed="1" x14ac:dyDescent="0.25">
      <c r="C325" s="9">
        <f>Гамма!$B$784</f>
        <v>170314.03</v>
      </c>
    </row>
    <row r="326" spans="3:3" hidden="1" outlineLevel="1" collapsed="1" x14ac:dyDescent="0.25">
      <c r="C326" s="9">
        <f>Гамма!$B$809</f>
        <v>193073.35</v>
      </c>
    </row>
    <row r="327" spans="3:3" hidden="1" outlineLevel="1" collapsed="1" x14ac:dyDescent="0.25">
      <c r="C327" s="9">
        <f>Гамма!$B$835</f>
        <v>213630.96</v>
      </c>
    </row>
    <row r="328" spans="3:3" hidden="1" outlineLevel="1" collapsed="1" x14ac:dyDescent="0.25">
      <c r="C328" s="9">
        <f>Гамма!$B$861</f>
        <v>389832.46</v>
      </c>
    </row>
    <row r="329" spans="3:3" hidden="1" outlineLevel="1" collapsed="1" x14ac:dyDescent="0.25">
      <c r="C329" s="9">
        <f>Гамма!$B$887</f>
        <v>304899.40999999997</v>
      </c>
    </row>
    <row r="330" spans="3:3" hidden="1" outlineLevel="1" collapsed="1" x14ac:dyDescent="0.25">
      <c r="C330" s="9">
        <f>Гамма!$B$913</f>
        <v>337064.5</v>
      </c>
    </row>
    <row r="331" spans="3:3" hidden="1" outlineLevel="1" collapsed="1" x14ac:dyDescent="0.25">
      <c r="C331" s="9">
        <f>Гамма!$B$939</f>
        <v>167762.04</v>
      </c>
    </row>
    <row r="332" spans="3:3" hidden="1" outlineLevel="1" collapsed="1" x14ac:dyDescent="0.25">
      <c r="C332" s="9">
        <f>Гамма!$B$964</f>
        <v>117000.58</v>
      </c>
    </row>
    <row r="333" spans="3:3" hidden="1" outlineLevel="1" collapsed="1" x14ac:dyDescent="0.25">
      <c r="C333" s="9">
        <f>Гамма!$B$990</f>
        <v>137716.23000000001</v>
      </c>
    </row>
    <row r="334" spans="3:3" hidden="1" outlineLevel="1" collapsed="1" x14ac:dyDescent="0.25">
      <c r="C334" s="9">
        <f>Гамма!$B$1016</f>
        <v>140070.71</v>
      </c>
    </row>
    <row r="335" spans="3:3" hidden="1" outlineLevel="1" collapsed="1" x14ac:dyDescent="0.25">
      <c r="C335" s="9">
        <f>Гамма!$B$1041</f>
        <v>208006.71</v>
      </c>
    </row>
    <row r="336" spans="3:3" hidden="1" outlineLevel="1" collapsed="1" x14ac:dyDescent="0.25">
      <c r="C336" s="9">
        <f>Гамма!$B$1065</f>
        <v>145687.39000000001</v>
      </c>
    </row>
    <row r="337" spans="2:3" hidden="1" outlineLevel="1" collapsed="1" x14ac:dyDescent="0.25">
      <c r="C337" s="9">
        <f>Гамма!$B$1090</f>
        <v>121902.42</v>
      </c>
    </row>
    <row r="338" spans="2:3" hidden="1" outlineLevel="1" collapsed="1" x14ac:dyDescent="0.25">
      <c r="C338" s="9">
        <f>Гамма!$B$1116</f>
        <v>137371.38</v>
      </c>
    </row>
    <row r="339" spans="2:3" hidden="1" outlineLevel="1" collapsed="1" x14ac:dyDescent="0.25">
      <c r="C339" s="9">
        <f>Гамма!$B$1139</f>
        <v>183118.66</v>
      </c>
    </row>
    <row r="340" spans="2:3" hidden="1" outlineLevel="1" collapsed="1" x14ac:dyDescent="0.25">
      <c r="C340" s="9">
        <f>Гамма!$B$1164</f>
        <v>162929.91</v>
      </c>
    </row>
    <row r="341" spans="2:3" hidden="1" outlineLevel="1" collapsed="1" x14ac:dyDescent="0.25">
      <c r="C341" s="9">
        <f>Гамма!$B$1189</f>
        <v>205941.81</v>
      </c>
    </row>
    <row r="342" spans="2:3" hidden="1" outlineLevel="1" collapsed="1" x14ac:dyDescent="0.25">
      <c r="C342" s="9">
        <f>Гамма!$B$1214</f>
        <v>295919.31</v>
      </c>
    </row>
    <row r="343" spans="2:3" hidden="1" outlineLevel="1" collapsed="1" x14ac:dyDescent="0.25">
      <c r="C343" s="9">
        <f>Гамма!$B$1239</f>
        <v>171666.23</v>
      </c>
    </row>
    <row r="344" spans="2:3" hidden="1" outlineLevel="1" collapsed="1" x14ac:dyDescent="0.25">
      <c r="B344" t="s">
        <v>72</v>
      </c>
      <c r="C344" s="9">
        <f>Дельта!$B$3</f>
        <v>203581.19</v>
      </c>
    </row>
    <row r="345" spans="2:3" hidden="1" outlineLevel="1" collapsed="1" x14ac:dyDescent="0.25">
      <c r="C345" s="9">
        <f>Дельта!$B$29</f>
        <v>197871.99</v>
      </c>
    </row>
    <row r="346" spans="2:3" hidden="1" outlineLevel="1" collapsed="1" x14ac:dyDescent="0.25">
      <c r="C346" s="9">
        <f>Дельта!$B$55</f>
        <v>173806.4</v>
      </c>
    </row>
    <row r="347" spans="2:3" hidden="1" outlineLevel="1" collapsed="1" x14ac:dyDescent="0.25">
      <c r="C347" s="9">
        <f>Дельта!$B$81</f>
        <v>219132</v>
      </c>
    </row>
    <row r="348" spans="2:3" hidden="1" outlineLevel="1" collapsed="1" x14ac:dyDescent="0.25">
      <c r="C348" s="9">
        <f>Дельта!$B$107</f>
        <v>267059</v>
      </c>
    </row>
    <row r="349" spans="2:3" hidden="1" outlineLevel="1" collapsed="1" x14ac:dyDescent="0.25">
      <c r="C349" s="9">
        <f>Дельта!$B$133</f>
        <v>314593</v>
      </c>
    </row>
    <row r="350" spans="2:3" hidden="1" outlineLevel="1" collapsed="1" x14ac:dyDescent="0.25">
      <c r="C350" s="9">
        <f>Дельта!$B$158</f>
        <v>233361.73</v>
      </c>
    </row>
    <row r="351" spans="2:3" hidden="1" outlineLevel="1" collapsed="1" x14ac:dyDescent="0.25">
      <c r="C351" s="9">
        <f>Дельта!$B$184</f>
        <v>232017</v>
      </c>
    </row>
    <row r="352" spans="2:3" hidden="1" outlineLevel="1" collapsed="1" x14ac:dyDescent="0.25">
      <c r="C352" s="9">
        <f>Дельта!$B$210</f>
        <v>197313.89</v>
      </c>
    </row>
    <row r="353" spans="3:3" hidden="1" outlineLevel="1" collapsed="1" x14ac:dyDescent="0.25">
      <c r="C353" s="9">
        <f>Дельта!$B$235</f>
        <v>142424</v>
      </c>
    </row>
    <row r="354" spans="3:3" hidden="1" outlineLevel="1" collapsed="1" x14ac:dyDescent="0.25">
      <c r="C354" s="9">
        <f>Дельта!$B$261</f>
        <v>165881</v>
      </c>
    </row>
    <row r="355" spans="3:3" hidden="1" outlineLevel="1" collapsed="1" x14ac:dyDescent="0.25">
      <c r="C355" s="9">
        <f>Дельта!$B$287</f>
        <v>236557</v>
      </c>
    </row>
    <row r="356" spans="3:3" hidden="1" outlineLevel="1" collapsed="1" x14ac:dyDescent="0.25">
      <c r="C356" s="9">
        <f>Дельта!$B$313</f>
        <v>342678</v>
      </c>
    </row>
    <row r="357" spans="3:3" hidden="1" outlineLevel="1" collapsed="1" x14ac:dyDescent="0.25">
      <c r="C357" s="9">
        <f>Дельта!$B$339</f>
        <v>257554</v>
      </c>
    </row>
    <row r="358" spans="3:3" hidden="1" outlineLevel="1" collapsed="1" x14ac:dyDescent="0.25">
      <c r="C358" s="9">
        <f>Дельта!$B$365</f>
        <v>168745</v>
      </c>
    </row>
    <row r="359" spans="3:3" hidden="1" outlineLevel="1" collapsed="1" x14ac:dyDescent="0.25">
      <c r="C359" s="9">
        <f>Дельта!$B$391</f>
        <v>174073</v>
      </c>
    </row>
    <row r="360" spans="3:3" hidden="1" outlineLevel="1" collapsed="1" x14ac:dyDescent="0.25">
      <c r="C360" s="9">
        <f>Дельта!$B$417</f>
        <v>138889</v>
      </c>
    </row>
    <row r="361" spans="3:3" hidden="1" outlineLevel="1" collapsed="1" x14ac:dyDescent="0.25">
      <c r="C361" s="9">
        <f>Дельта!$B$443</f>
        <v>241341</v>
      </c>
    </row>
    <row r="362" spans="3:3" hidden="1" outlineLevel="1" collapsed="1" x14ac:dyDescent="0.25">
      <c r="C362" s="9">
        <f>Дельта!$B$469</f>
        <v>289460</v>
      </c>
    </row>
    <row r="363" spans="3:3" hidden="1" outlineLevel="1" collapsed="1" x14ac:dyDescent="0.25">
      <c r="C363" s="9">
        <f>Дельта!$B$495</f>
        <v>411522</v>
      </c>
    </row>
    <row r="364" spans="3:3" hidden="1" outlineLevel="1" collapsed="1" x14ac:dyDescent="0.25">
      <c r="C364" s="9">
        <f>Дельта!$B$521</f>
        <v>422734</v>
      </c>
    </row>
    <row r="365" spans="3:3" hidden="1" outlineLevel="1" collapsed="1" x14ac:dyDescent="0.25">
      <c r="C365" s="9">
        <f>Дельта!$B$547</f>
        <v>408987</v>
      </c>
    </row>
    <row r="366" spans="3:3" hidden="1" outlineLevel="1" collapsed="1" x14ac:dyDescent="0.25">
      <c r="C366" s="9">
        <f>Дельта!$B$573</f>
        <v>88531</v>
      </c>
    </row>
    <row r="367" spans="3:3" hidden="1" outlineLevel="1" collapsed="1" x14ac:dyDescent="0.25">
      <c r="C367" s="9">
        <f>Дельта!$B$599</f>
        <v>106189</v>
      </c>
    </row>
    <row r="368" spans="3:3" hidden="1" outlineLevel="1" collapsed="1" x14ac:dyDescent="0.25">
      <c r="C368" s="9">
        <f>Дельта!$B$625</f>
        <v>120895</v>
      </c>
    </row>
    <row r="369" spans="3:3" hidden="1" outlineLevel="1" collapsed="1" x14ac:dyDescent="0.25">
      <c r="C369" s="9">
        <f>Дельта!$B$650</f>
        <v>134389</v>
      </c>
    </row>
    <row r="370" spans="3:3" hidden="1" outlineLevel="1" collapsed="1" x14ac:dyDescent="0.25">
      <c r="C370" s="9">
        <f>Дельта!$B$677</f>
        <v>157365</v>
      </c>
    </row>
    <row r="371" spans="3:3" hidden="1" outlineLevel="1" collapsed="1" x14ac:dyDescent="0.25">
      <c r="C371" s="9">
        <f>Дельта!$B$703</f>
        <v>120958</v>
      </c>
    </row>
    <row r="372" spans="3:3" hidden="1" outlineLevel="1" collapsed="1" x14ac:dyDescent="0.25">
      <c r="C372" s="9">
        <f>Дельта!$B$728</f>
        <v>119547</v>
      </c>
    </row>
    <row r="373" spans="3:3" hidden="1" outlineLevel="1" collapsed="1" x14ac:dyDescent="0.25">
      <c r="C373" s="9">
        <f>Дельта!$B$754</f>
        <v>84275.87</v>
      </c>
    </row>
    <row r="374" spans="3:3" hidden="1" outlineLevel="1" collapsed="1" x14ac:dyDescent="0.25">
      <c r="C374" s="9">
        <f>Дельта!$B$780</f>
        <v>92660</v>
      </c>
    </row>
    <row r="375" spans="3:3" hidden="1" outlineLevel="1" collapsed="1" x14ac:dyDescent="0.25">
      <c r="C375" s="9">
        <f>Дельта!$B$805</f>
        <v>120953</v>
      </c>
    </row>
    <row r="376" spans="3:3" hidden="1" outlineLevel="1" collapsed="1" x14ac:dyDescent="0.25">
      <c r="C376" s="9">
        <f>Дельта!$B$831</f>
        <v>157211</v>
      </c>
    </row>
    <row r="377" spans="3:3" hidden="1" outlineLevel="1" collapsed="1" x14ac:dyDescent="0.25">
      <c r="C377" s="9">
        <f>Дельта!$B$857</f>
        <v>231849</v>
      </c>
    </row>
    <row r="378" spans="3:3" hidden="1" outlineLevel="1" collapsed="1" x14ac:dyDescent="0.25">
      <c r="C378" s="9">
        <f>Дельта!$B$883</f>
        <v>209681</v>
      </c>
    </row>
    <row r="379" spans="3:3" hidden="1" outlineLevel="1" collapsed="1" x14ac:dyDescent="0.25">
      <c r="C379" s="9">
        <f>Дельта!$B$909</f>
        <v>166420</v>
      </c>
    </row>
    <row r="380" spans="3:3" hidden="1" outlineLevel="1" collapsed="1" x14ac:dyDescent="0.25">
      <c r="C380" s="9">
        <f>Дельта!$B$935</f>
        <v>110109.34</v>
      </c>
    </row>
    <row r="381" spans="3:3" hidden="1" outlineLevel="1" collapsed="1" x14ac:dyDescent="0.25">
      <c r="C381" s="9">
        <f>Дельта!$B$960</f>
        <v>70525.789999999994</v>
      </c>
    </row>
    <row r="382" spans="3:3" hidden="1" outlineLevel="1" collapsed="1" x14ac:dyDescent="0.25">
      <c r="C382" s="9">
        <f>Дельта!$B$986</f>
        <v>101016</v>
      </c>
    </row>
    <row r="383" spans="3:3" hidden="1" outlineLevel="1" collapsed="1" x14ac:dyDescent="0.25">
      <c r="C383" s="9">
        <f>Дельта!$B$1011</f>
        <v>89879</v>
      </c>
    </row>
    <row r="384" spans="3:3" hidden="1" outlineLevel="1" collapsed="1" x14ac:dyDescent="0.25">
      <c r="C384" s="9">
        <f>Дельта!$B$1036</f>
        <v>109035.1</v>
      </c>
    </row>
    <row r="385" spans="1:3" hidden="1" outlineLevel="1" collapsed="1" x14ac:dyDescent="0.25">
      <c r="C385" s="9">
        <f>Дельта!$B$1062</f>
        <v>93037.16</v>
      </c>
    </row>
    <row r="386" spans="1:3" hidden="1" outlineLevel="1" collapsed="1" x14ac:dyDescent="0.25">
      <c r="C386" s="9">
        <f>Дельта!$B$1087</f>
        <v>78825</v>
      </c>
    </row>
    <row r="387" spans="1:3" hidden="1" outlineLevel="1" collapsed="1" x14ac:dyDescent="0.25">
      <c r="C387" s="9">
        <f>Дельта!$B$1112</f>
        <v>77140</v>
      </c>
    </row>
    <row r="388" spans="1:3" hidden="1" outlineLevel="1" collapsed="1" x14ac:dyDescent="0.25">
      <c r="C388" s="9">
        <f>Дельта!$B$1137</f>
        <v>86779</v>
      </c>
    </row>
    <row r="389" spans="1:3" hidden="1" outlineLevel="1" collapsed="1" x14ac:dyDescent="0.25">
      <c r="C389" s="9">
        <f>Дельта!$B$1161</f>
        <v>98271.92</v>
      </c>
    </row>
    <row r="390" spans="1:3" hidden="1" outlineLevel="1" collapsed="1" x14ac:dyDescent="0.25">
      <c r="C390" s="9">
        <f>Дельта!$B$1184</f>
        <v>107173.69</v>
      </c>
    </row>
    <row r="391" spans="1:3" hidden="1" outlineLevel="1" collapsed="1" x14ac:dyDescent="0.25">
      <c r="C391" s="9">
        <f>Дельта!$B$1209</f>
        <v>136170</v>
      </c>
    </row>
    <row r="392" spans="1:3" hidden="1" outlineLevel="1" collapsed="1" x14ac:dyDescent="0.25">
      <c r="C392" s="9">
        <f>Дельта!$B$1234</f>
        <v>67254</v>
      </c>
    </row>
    <row r="393" spans="1:3" collapsed="1" x14ac:dyDescent="0.25">
      <c r="A393" t="s">
        <v>3</v>
      </c>
      <c r="C393" s="9">
        <f>SUM(C197:C392)</f>
        <v>39433727.899999999</v>
      </c>
    </row>
    <row r="394" spans="1:3" hidden="1" outlineLevel="1" x14ac:dyDescent="0.25">
      <c r="B394" t="s">
        <v>72</v>
      </c>
      <c r="C394" s="9">
        <f>Альфа!$B$4</f>
        <v>150821.01</v>
      </c>
    </row>
    <row r="395" spans="1:3" hidden="1" outlineLevel="1" collapsed="1" x14ac:dyDescent="0.25">
      <c r="C395" s="9">
        <f>Альфа!$B$30</f>
        <v>126529.53</v>
      </c>
    </row>
    <row r="396" spans="1:3" hidden="1" outlineLevel="1" collapsed="1" x14ac:dyDescent="0.25">
      <c r="C396" s="9">
        <f>Альфа!$B$56</f>
        <v>119661.79</v>
      </c>
    </row>
    <row r="397" spans="1:3" hidden="1" outlineLevel="1" collapsed="1" x14ac:dyDescent="0.25">
      <c r="C397" s="9">
        <f>Альфа!$B$82</f>
        <v>117557.83</v>
      </c>
    </row>
    <row r="398" spans="1:3" hidden="1" outlineLevel="1" collapsed="1" x14ac:dyDescent="0.25">
      <c r="C398" s="9">
        <f>Альфа!$B$108</f>
        <v>135409.35</v>
      </c>
    </row>
    <row r="399" spans="1:3" hidden="1" outlineLevel="1" collapsed="1" x14ac:dyDescent="0.25">
      <c r="C399" s="9">
        <f>Альфа!$B$135</f>
        <v>187334.15</v>
      </c>
    </row>
    <row r="400" spans="1:3" hidden="1" outlineLevel="1" collapsed="1" x14ac:dyDescent="0.25">
      <c r="C400" s="9">
        <f>Альфа!$B$162</f>
        <v>120249.21</v>
      </c>
    </row>
    <row r="401" spans="3:3" hidden="1" outlineLevel="1" collapsed="1" x14ac:dyDescent="0.25">
      <c r="C401" s="9">
        <f>Альфа!$B$188</f>
        <v>111761.42</v>
      </c>
    </row>
    <row r="402" spans="3:3" hidden="1" outlineLevel="1" collapsed="1" x14ac:dyDescent="0.25">
      <c r="C402" s="9">
        <f>Альфа!$B$214</f>
        <v>138949.54999999999</v>
      </c>
    </row>
    <row r="403" spans="3:3" hidden="1" outlineLevel="1" collapsed="1" x14ac:dyDescent="0.25">
      <c r="C403" s="9">
        <f>Альфа!$B$240</f>
        <v>86174.43</v>
      </c>
    </row>
    <row r="404" spans="3:3" hidden="1" outlineLevel="1" collapsed="1" x14ac:dyDescent="0.25">
      <c r="C404" s="9">
        <f>Альфа!$B$267</f>
        <v>128450.94</v>
      </c>
    </row>
    <row r="405" spans="3:3" hidden="1" outlineLevel="1" collapsed="1" x14ac:dyDescent="0.25">
      <c r="C405" s="9">
        <f>Альфа!$B$293</f>
        <v>171432.56</v>
      </c>
    </row>
    <row r="406" spans="3:3" hidden="1" outlineLevel="1" collapsed="1" x14ac:dyDescent="0.25">
      <c r="C406" s="9">
        <f>Альфа!$B$319</f>
        <v>186159.65</v>
      </c>
    </row>
    <row r="407" spans="3:3" hidden="1" outlineLevel="1" collapsed="1" x14ac:dyDescent="0.25">
      <c r="C407" s="9">
        <f>Альфа!$B$345</f>
        <v>170422.8</v>
      </c>
    </row>
    <row r="408" spans="3:3" hidden="1" outlineLevel="1" collapsed="1" x14ac:dyDescent="0.25">
      <c r="C408" s="9">
        <f>Альфа!$B$371</f>
        <v>131559.66</v>
      </c>
    </row>
    <row r="409" spans="3:3" hidden="1" outlineLevel="1" collapsed="1" x14ac:dyDescent="0.25">
      <c r="C409" s="9">
        <f>Альфа!$B$398</f>
        <v>166826.54</v>
      </c>
    </row>
    <row r="410" spans="3:3" hidden="1" outlineLevel="1" collapsed="1" x14ac:dyDescent="0.25">
      <c r="C410" s="9">
        <f>Альфа!$B$424</f>
        <v>185118.94</v>
      </c>
    </row>
    <row r="411" spans="3:3" hidden="1" outlineLevel="1" collapsed="1" x14ac:dyDescent="0.25">
      <c r="C411" s="9">
        <f>Альфа!$B$449</f>
        <v>289477.38</v>
      </c>
    </row>
    <row r="412" spans="3:3" hidden="1" outlineLevel="1" collapsed="1" x14ac:dyDescent="0.25">
      <c r="C412" s="9">
        <f>Альфа!$B$474</f>
        <v>367371.79</v>
      </c>
    </row>
    <row r="413" spans="3:3" hidden="1" outlineLevel="1" collapsed="1" x14ac:dyDescent="0.25">
      <c r="C413" s="9">
        <f>Альфа!$B$500</f>
        <v>279100.08</v>
      </c>
    </row>
    <row r="414" spans="3:3" hidden="1" outlineLevel="1" collapsed="1" x14ac:dyDescent="0.25">
      <c r="C414" s="9">
        <f>Альфа!$B$525</f>
        <v>239654.75</v>
      </c>
    </row>
    <row r="415" spans="3:3" hidden="1" outlineLevel="1" collapsed="1" x14ac:dyDescent="0.25">
      <c r="C415" s="9">
        <f>Альфа!$B$550</f>
        <v>248279.18</v>
      </c>
    </row>
    <row r="416" spans="3:3" hidden="1" outlineLevel="1" collapsed="1" x14ac:dyDescent="0.25">
      <c r="C416" s="9">
        <f>Альфа!$B$574</f>
        <v>78546.89</v>
      </c>
    </row>
    <row r="417" spans="3:3" hidden="1" outlineLevel="1" collapsed="1" x14ac:dyDescent="0.25">
      <c r="C417" s="9">
        <f>Альфа!$B$600</f>
        <v>54611.24</v>
      </c>
    </row>
    <row r="418" spans="3:3" hidden="1" outlineLevel="1" collapsed="1" x14ac:dyDescent="0.25">
      <c r="C418" s="9">
        <f>Альфа!$B$624</f>
        <v>40776.44</v>
      </c>
    </row>
    <row r="419" spans="3:3" hidden="1" outlineLevel="1" collapsed="1" x14ac:dyDescent="0.25">
      <c r="C419" s="9">
        <f>Альфа!$B$649</f>
        <v>46879.03</v>
      </c>
    </row>
    <row r="420" spans="3:3" hidden="1" outlineLevel="1" collapsed="1" x14ac:dyDescent="0.25">
      <c r="C420" s="9">
        <f>Альфа!$B$674</f>
        <v>78207.83</v>
      </c>
    </row>
    <row r="421" spans="3:3" hidden="1" outlineLevel="1" collapsed="1" x14ac:dyDescent="0.25">
      <c r="C421" s="9">
        <f>Альфа!$B$699</f>
        <v>48618.66</v>
      </c>
    </row>
    <row r="422" spans="3:3" hidden="1" outlineLevel="1" collapsed="1" x14ac:dyDescent="0.25">
      <c r="C422" s="9">
        <f>Альфа!$B$725</f>
        <v>31647.07</v>
      </c>
    </row>
    <row r="423" spans="3:3" hidden="1" outlineLevel="1" collapsed="1" x14ac:dyDescent="0.25">
      <c r="C423" s="9">
        <f>Альфа!$B$748</f>
        <v>35029.629999999997</v>
      </c>
    </row>
    <row r="424" spans="3:3" hidden="1" outlineLevel="1" collapsed="1" x14ac:dyDescent="0.25">
      <c r="C424" s="9">
        <f>Альфа!$B$774</f>
        <v>13861.62</v>
      </c>
    </row>
    <row r="425" spans="3:3" hidden="1" outlineLevel="1" collapsed="1" x14ac:dyDescent="0.25">
      <c r="C425" s="9">
        <f>Альфа!$B$797</f>
        <v>58657.96</v>
      </c>
    </row>
    <row r="426" spans="3:3" hidden="1" outlineLevel="1" collapsed="1" x14ac:dyDescent="0.25">
      <c r="C426" s="9">
        <f>Альфа!$B$822</f>
        <v>147729.26</v>
      </c>
    </row>
    <row r="427" spans="3:3" hidden="1" outlineLevel="1" collapsed="1" x14ac:dyDescent="0.25">
      <c r="C427" s="9">
        <f>Альфа!$B$846</f>
        <v>262526.49</v>
      </c>
    </row>
    <row r="428" spans="3:3" hidden="1" outlineLevel="1" collapsed="1" x14ac:dyDescent="0.25">
      <c r="C428" s="9">
        <f>Альфа!$B$871</f>
        <v>235514.2</v>
      </c>
    </row>
    <row r="429" spans="3:3" hidden="1" outlineLevel="1" collapsed="1" x14ac:dyDescent="0.25">
      <c r="C429" s="9">
        <f>Альфа!$B$896</f>
        <v>214233.89</v>
      </c>
    </row>
    <row r="430" spans="3:3" hidden="1" outlineLevel="1" collapsed="1" x14ac:dyDescent="0.25">
      <c r="C430" s="9">
        <f>Альфа!$B$921</f>
        <v>94007.69</v>
      </c>
    </row>
    <row r="431" spans="3:3" hidden="1" outlineLevel="1" collapsed="1" x14ac:dyDescent="0.25">
      <c r="C431" s="9">
        <f>Альфа!$B$946</f>
        <v>87020.11</v>
      </c>
    </row>
    <row r="432" spans="3:3" hidden="1" outlineLevel="1" collapsed="1" x14ac:dyDescent="0.25">
      <c r="C432" s="9">
        <f>Альфа!$B$971</f>
        <v>102810.83</v>
      </c>
    </row>
    <row r="433" spans="2:3" hidden="1" outlineLevel="1" collapsed="1" x14ac:dyDescent="0.25">
      <c r="C433" s="9">
        <f>Альфа!$B$996</f>
        <v>118570.24000000001</v>
      </c>
    </row>
    <row r="434" spans="2:3" hidden="1" outlineLevel="1" collapsed="1" x14ac:dyDescent="0.25">
      <c r="C434" s="9">
        <f>Альфа!$B$1021</f>
        <v>106139.22</v>
      </c>
    </row>
    <row r="435" spans="2:3" hidden="1" outlineLevel="1" collapsed="1" x14ac:dyDescent="0.25">
      <c r="C435" s="9">
        <f>Альфа!$B$1046</f>
        <v>101308.63</v>
      </c>
    </row>
    <row r="436" spans="2:3" hidden="1" outlineLevel="1" collapsed="1" x14ac:dyDescent="0.25">
      <c r="C436" s="9">
        <f>Альфа!$B$1072</f>
        <v>74974.740000000005</v>
      </c>
    </row>
    <row r="437" spans="2:3" hidden="1" outlineLevel="1" collapsed="1" x14ac:dyDescent="0.25">
      <c r="C437" s="9">
        <f>Альфа!$B$1097</f>
        <v>75598.59</v>
      </c>
    </row>
    <row r="438" spans="2:3" hidden="1" outlineLevel="1" collapsed="1" x14ac:dyDescent="0.25">
      <c r="C438" s="9">
        <f>Альфа!$B$1121</f>
        <v>72783.02</v>
      </c>
    </row>
    <row r="439" spans="2:3" hidden="1" outlineLevel="1" collapsed="1" x14ac:dyDescent="0.25">
      <c r="C439" s="9">
        <f>Альфа!$B$1147</f>
        <v>67578.070000000007</v>
      </c>
    </row>
    <row r="440" spans="2:3" hidden="1" outlineLevel="1" collapsed="1" x14ac:dyDescent="0.25">
      <c r="C440" s="9">
        <f>Альфа!$B$1172</f>
        <v>129995.58</v>
      </c>
    </row>
    <row r="441" spans="2:3" hidden="1" outlineLevel="1" collapsed="1" x14ac:dyDescent="0.25">
      <c r="C441" s="9">
        <f>Альфа!$B$1198</f>
        <v>163488.29</v>
      </c>
    </row>
    <row r="442" spans="2:3" hidden="1" outlineLevel="1" collapsed="1" x14ac:dyDescent="0.25">
      <c r="C442" s="9">
        <f>Альфа!$B$1224</f>
        <v>100904.19</v>
      </c>
    </row>
    <row r="443" spans="2:3" hidden="1" outlineLevel="1" collapsed="1" x14ac:dyDescent="0.25">
      <c r="B443" t="s">
        <v>72</v>
      </c>
      <c r="C443" s="9">
        <f>Бета!$B$4</f>
        <v>37470.239999999998</v>
      </c>
    </row>
    <row r="444" spans="2:3" hidden="1" outlineLevel="1" collapsed="1" x14ac:dyDescent="0.25">
      <c r="C444" s="9">
        <f>Бета!$B$26</f>
        <v>29400.75</v>
      </c>
    </row>
    <row r="445" spans="2:3" hidden="1" outlineLevel="1" collapsed="1" x14ac:dyDescent="0.25">
      <c r="C445" s="9">
        <f>Бета!$B$48</f>
        <v>32173.26</v>
      </c>
    </row>
    <row r="446" spans="2:3" hidden="1" outlineLevel="1" collapsed="1" x14ac:dyDescent="0.25">
      <c r="C446" s="9">
        <f>Бета!$B$70</f>
        <v>40203.97</v>
      </c>
    </row>
    <row r="447" spans="2:3" hidden="1" outlineLevel="1" collapsed="1" x14ac:dyDescent="0.25">
      <c r="C447" s="9">
        <f>Бета!$B$92</f>
        <v>40642.85</v>
      </c>
    </row>
    <row r="448" spans="2:3" hidden="1" outlineLevel="1" collapsed="1" x14ac:dyDescent="0.25">
      <c r="C448" s="9">
        <f>Бета!$B$114</f>
        <v>56268.11</v>
      </c>
    </row>
    <row r="449" spans="3:3" hidden="1" outlineLevel="1" collapsed="1" x14ac:dyDescent="0.25">
      <c r="C449" s="9">
        <f>Бета!$B$136</f>
        <v>82046.929999999993</v>
      </c>
    </row>
    <row r="450" spans="3:3" hidden="1" outlineLevel="1" collapsed="1" x14ac:dyDescent="0.25">
      <c r="C450" s="9">
        <f>Бета!$B$158</f>
        <v>33613.019999999997</v>
      </c>
    </row>
    <row r="451" spans="3:3" hidden="1" outlineLevel="1" collapsed="1" x14ac:dyDescent="0.25">
      <c r="C451" s="9">
        <f>Бета!$B$180</f>
        <v>30956.99</v>
      </c>
    </row>
    <row r="452" spans="3:3" hidden="1" outlineLevel="1" collapsed="1" x14ac:dyDescent="0.25">
      <c r="C452" s="9">
        <f>Бета!$B$202</f>
        <v>25452.959999999999</v>
      </c>
    </row>
    <row r="453" spans="3:3" hidden="1" outlineLevel="1" collapsed="1" x14ac:dyDescent="0.25">
      <c r="C453" s="9">
        <f>Бета!$B$224</f>
        <v>30112.79</v>
      </c>
    </row>
    <row r="454" spans="3:3" hidden="1" outlineLevel="1" collapsed="1" x14ac:dyDescent="0.25">
      <c r="C454" s="9">
        <f>Бета!$B$246</f>
        <v>30800.95</v>
      </c>
    </row>
    <row r="455" spans="3:3" hidden="1" outlineLevel="1" collapsed="1" x14ac:dyDescent="0.25">
      <c r="C455" s="9">
        <f>Бета!$B$268</f>
        <v>53058.65</v>
      </c>
    </row>
    <row r="456" spans="3:3" hidden="1" outlineLevel="1" collapsed="1" x14ac:dyDescent="0.25">
      <c r="C456" s="9">
        <f>Бета!$B$289</f>
        <v>145583.97</v>
      </c>
    </row>
    <row r="457" spans="3:3" hidden="1" outlineLevel="1" collapsed="1" x14ac:dyDescent="0.25">
      <c r="C457" s="9">
        <f>Бета!$B$311</f>
        <v>18750.849999999999</v>
      </c>
    </row>
    <row r="458" spans="3:3" hidden="1" outlineLevel="1" collapsed="1" x14ac:dyDescent="0.25">
      <c r="C458" s="9">
        <f>Бета!$B$333</f>
        <v>34322.75</v>
      </c>
    </row>
    <row r="459" spans="3:3" hidden="1" outlineLevel="1" collapsed="1" x14ac:dyDescent="0.25">
      <c r="C459" s="9">
        <f>Бета!$B$354</f>
        <v>190955.49</v>
      </c>
    </row>
    <row r="460" spans="3:3" hidden="1" outlineLevel="1" collapsed="1" x14ac:dyDescent="0.25">
      <c r="C460" s="9">
        <f>Бета!$B$375</f>
        <v>139797.18</v>
      </c>
    </row>
    <row r="461" spans="3:3" hidden="1" outlineLevel="1" collapsed="1" x14ac:dyDescent="0.25">
      <c r="C461" s="9">
        <f>Бета!$B$396</f>
        <v>204618.2</v>
      </c>
    </row>
    <row r="462" spans="3:3" hidden="1" outlineLevel="1" collapsed="1" x14ac:dyDescent="0.25">
      <c r="C462" s="9">
        <f>Бета!$B$417</f>
        <v>175893.87</v>
      </c>
    </row>
    <row r="463" spans="3:3" hidden="1" outlineLevel="1" collapsed="1" x14ac:dyDescent="0.25">
      <c r="C463" s="9">
        <f>Бета!$B$438</f>
        <v>53216.19</v>
      </c>
    </row>
    <row r="464" spans="3:3" hidden="1" outlineLevel="1" collapsed="1" x14ac:dyDescent="0.25">
      <c r="C464" s="9">
        <f>Бета!$B$459</f>
        <v>130814.83</v>
      </c>
    </row>
    <row r="465" spans="3:3" hidden="1" outlineLevel="1" collapsed="1" x14ac:dyDescent="0.25">
      <c r="C465" s="9">
        <f>Бета!$B$480</f>
        <v>11335.52</v>
      </c>
    </row>
    <row r="466" spans="3:3" hidden="1" outlineLevel="1" collapsed="1" x14ac:dyDescent="0.25">
      <c r="C466" s="9">
        <f>Бета!$B$501</f>
        <v>15634.31</v>
      </c>
    </row>
    <row r="467" spans="3:3" hidden="1" outlineLevel="1" collapsed="1" x14ac:dyDescent="0.25">
      <c r="C467" s="9">
        <f>Бета!$B$522</f>
        <v>17989.310000000001</v>
      </c>
    </row>
    <row r="468" spans="3:3" hidden="1" outlineLevel="1" collapsed="1" x14ac:dyDescent="0.25">
      <c r="C468" s="9">
        <f>Бета!$B$542</f>
        <v>93888.15</v>
      </c>
    </row>
    <row r="469" spans="3:3" hidden="1" outlineLevel="1" collapsed="1" x14ac:dyDescent="0.25">
      <c r="C469" s="9">
        <f>Бета!$B$562</f>
        <v>21065.46</v>
      </c>
    </row>
    <row r="470" spans="3:3" hidden="1" outlineLevel="1" collapsed="1" x14ac:dyDescent="0.25">
      <c r="C470" s="9">
        <f>Бета!$B$582</f>
        <v>21335.22</v>
      </c>
    </row>
    <row r="471" spans="3:3" hidden="1" outlineLevel="1" collapsed="1" x14ac:dyDescent="0.25">
      <c r="C471" s="9">
        <f>Бета!$B$602</f>
        <v>10317.209999999999</v>
      </c>
    </row>
    <row r="472" spans="3:3" hidden="1" outlineLevel="1" collapsed="1" x14ac:dyDescent="0.25">
      <c r="C472" s="9">
        <f>Бета!$B$621</f>
        <v>15570.14</v>
      </c>
    </row>
    <row r="473" spans="3:3" hidden="1" outlineLevel="1" collapsed="1" x14ac:dyDescent="0.25">
      <c r="C473" s="9">
        <f>Бета!$B$641</f>
        <v>17400.43</v>
      </c>
    </row>
    <row r="474" spans="3:3" hidden="1" outlineLevel="1" collapsed="1" x14ac:dyDescent="0.25">
      <c r="C474" s="9">
        <f>Бета!$B$661</f>
        <v>19417.78</v>
      </c>
    </row>
    <row r="475" spans="3:3" hidden="1" outlineLevel="1" collapsed="1" x14ac:dyDescent="0.25">
      <c r="C475" s="9">
        <f>Бета!$B$681</f>
        <v>23137.08</v>
      </c>
    </row>
    <row r="476" spans="3:3" hidden="1" outlineLevel="1" collapsed="1" x14ac:dyDescent="0.25">
      <c r="C476" s="9">
        <f>Бета!$B$702</f>
        <v>40558.230000000003</v>
      </c>
    </row>
    <row r="477" spans="3:3" hidden="1" outlineLevel="1" collapsed="1" x14ac:dyDescent="0.25">
      <c r="C477" s="9">
        <f>Бета!$B$722</f>
        <v>34763.629999999997</v>
      </c>
    </row>
    <row r="478" spans="3:3" hidden="1" outlineLevel="1" collapsed="1" x14ac:dyDescent="0.25">
      <c r="C478" s="9">
        <f>Бета!$B$743</f>
        <v>29581.93</v>
      </c>
    </row>
    <row r="479" spans="3:3" hidden="1" outlineLevel="1" collapsed="1" x14ac:dyDescent="0.25">
      <c r="C479" s="9">
        <f>Бета!$B$763</f>
        <v>14346.82</v>
      </c>
    </row>
    <row r="480" spans="3:3" hidden="1" outlineLevel="1" collapsed="1" x14ac:dyDescent="0.25">
      <c r="C480" s="9">
        <f>Бета!$B$782</f>
        <v>13670.61</v>
      </c>
    </row>
    <row r="481" spans="2:3" hidden="1" outlineLevel="1" collapsed="1" x14ac:dyDescent="0.25">
      <c r="C481" s="9">
        <f>Бета!$B$803</f>
        <v>8593.84</v>
      </c>
    </row>
    <row r="482" spans="2:3" hidden="1" outlineLevel="1" collapsed="1" x14ac:dyDescent="0.25">
      <c r="C482" s="9">
        <f>Бета!$B$823</f>
        <v>10659.04</v>
      </c>
    </row>
    <row r="483" spans="2:3" hidden="1" outlineLevel="1" collapsed="1" x14ac:dyDescent="0.25">
      <c r="C483" s="9">
        <f>Бета!$B$843</f>
        <v>23791.68</v>
      </c>
    </row>
    <row r="484" spans="2:3" hidden="1" outlineLevel="1" collapsed="1" x14ac:dyDescent="0.25">
      <c r="C484" s="9">
        <f>Бета!$B$863</f>
        <v>26017.360000000001</v>
      </c>
    </row>
    <row r="485" spans="2:3" hidden="1" outlineLevel="1" collapsed="1" x14ac:dyDescent="0.25">
      <c r="C485" s="9">
        <f>Бета!$B$883</f>
        <v>15203.81</v>
      </c>
    </row>
    <row r="486" spans="2:3" hidden="1" outlineLevel="1" collapsed="1" x14ac:dyDescent="0.25">
      <c r="C486" s="9">
        <f>Бета!$B$903</f>
        <v>15421.75</v>
      </c>
    </row>
    <row r="487" spans="2:3" hidden="1" outlineLevel="1" collapsed="1" x14ac:dyDescent="0.25">
      <c r="C487" s="9">
        <f>Бета!$B$922</f>
        <v>22948.1</v>
      </c>
    </row>
    <row r="488" spans="2:3" hidden="1" outlineLevel="1" collapsed="1" x14ac:dyDescent="0.25">
      <c r="C488" s="9">
        <f>Бета!$B$942</f>
        <v>20885.07</v>
      </c>
    </row>
    <row r="489" spans="2:3" hidden="1" outlineLevel="1" collapsed="1" x14ac:dyDescent="0.25">
      <c r="C489" s="9">
        <f>Бета!$B$962</f>
        <v>16488.78</v>
      </c>
    </row>
    <row r="490" spans="2:3" hidden="1" outlineLevel="1" collapsed="1" x14ac:dyDescent="0.25">
      <c r="C490" s="9">
        <f>Бета!$B$982</f>
        <v>22601.599999999999</v>
      </c>
    </row>
    <row r="491" spans="2:3" hidden="1" outlineLevel="1" collapsed="1" x14ac:dyDescent="0.25">
      <c r="C491" s="9">
        <f>Бета!$B$1002</f>
        <v>13724.16</v>
      </c>
    </row>
    <row r="492" spans="2:3" hidden="1" outlineLevel="1" collapsed="1" x14ac:dyDescent="0.25">
      <c r="B492" t="s">
        <v>72</v>
      </c>
      <c r="C492" s="9">
        <f>Гамма!$B$4</f>
        <v>102169.72</v>
      </c>
    </row>
    <row r="493" spans="2:3" hidden="1" outlineLevel="1" collapsed="1" x14ac:dyDescent="0.25">
      <c r="C493" s="9">
        <f>Гамма!$B$30</f>
        <v>69037.429999999993</v>
      </c>
    </row>
    <row r="494" spans="2:3" hidden="1" outlineLevel="1" collapsed="1" x14ac:dyDescent="0.25">
      <c r="C494" s="9">
        <f>Гамма!$B$57</f>
        <v>54515.93</v>
      </c>
    </row>
    <row r="495" spans="2:3" hidden="1" outlineLevel="1" collapsed="1" x14ac:dyDescent="0.25">
      <c r="C495" s="9">
        <f>Гамма!$B$84</f>
        <v>77768.47</v>
      </c>
    </row>
    <row r="496" spans="2:3" hidden="1" outlineLevel="1" collapsed="1" x14ac:dyDescent="0.25">
      <c r="C496" s="9">
        <f>Гамма!$B$110</f>
        <v>79276.22</v>
      </c>
    </row>
    <row r="497" spans="3:3" hidden="1" outlineLevel="1" collapsed="1" x14ac:dyDescent="0.25">
      <c r="C497" s="9">
        <f>Гамма!$B$136</f>
        <v>121135.32</v>
      </c>
    </row>
    <row r="498" spans="3:3" hidden="1" outlineLevel="1" collapsed="1" x14ac:dyDescent="0.25">
      <c r="C498" s="9">
        <f>Гамма!$B$162</f>
        <v>116703.92</v>
      </c>
    </row>
    <row r="499" spans="3:3" hidden="1" outlineLevel="1" collapsed="1" x14ac:dyDescent="0.25">
      <c r="C499" s="9">
        <f>Гамма!$B$189</f>
        <v>103644.75</v>
      </c>
    </row>
    <row r="500" spans="3:3" hidden="1" outlineLevel="1" collapsed="1" x14ac:dyDescent="0.25">
      <c r="C500" s="9">
        <f>Гамма!$B$216</f>
        <v>99361.88</v>
      </c>
    </row>
    <row r="501" spans="3:3" hidden="1" outlineLevel="1" collapsed="1" x14ac:dyDescent="0.25">
      <c r="C501" s="9">
        <f>Гамма!$B$242</f>
        <v>69844.350000000006</v>
      </c>
    </row>
    <row r="502" spans="3:3" hidden="1" outlineLevel="1" collapsed="1" x14ac:dyDescent="0.25">
      <c r="C502" s="9">
        <f>Гамма!$B$268</f>
        <v>70091.05</v>
      </c>
    </row>
    <row r="503" spans="3:3" hidden="1" outlineLevel="1" collapsed="1" x14ac:dyDescent="0.25">
      <c r="C503" s="9">
        <f>Гамма!$B$294</f>
        <v>90714.35</v>
      </c>
    </row>
    <row r="504" spans="3:3" hidden="1" outlineLevel="1" collapsed="1" x14ac:dyDescent="0.25">
      <c r="C504" s="9">
        <f>Гамма!$B$320</f>
        <v>115746.68</v>
      </c>
    </row>
    <row r="505" spans="3:3" hidden="1" outlineLevel="1" collapsed="1" x14ac:dyDescent="0.25">
      <c r="C505" s="9">
        <f>Гамма!$B$346</f>
        <v>123045.16</v>
      </c>
    </row>
    <row r="506" spans="3:3" hidden="1" outlineLevel="1" collapsed="1" x14ac:dyDescent="0.25">
      <c r="C506" s="9">
        <f>Гамма!$B$371</f>
        <v>83668.160000000003</v>
      </c>
    </row>
    <row r="507" spans="3:3" hidden="1" outlineLevel="1" collapsed="1" x14ac:dyDescent="0.25">
      <c r="C507" s="9">
        <f>Гамма!$B$397</f>
        <v>78123.960000000006</v>
      </c>
    </row>
    <row r="508" spans="3:3" hidden="1" outlineLevel="1" collapsed="1" x14ac:dyDescent="0.25">
      <c r="C508" s="9">
        <f>Гамма!$B$424</f>
        <v>134099.4</v>
      </c>
    </row>
    <row r="509" spans="3:3" hidden="1" outlineLevel="1" collapsed="1" x14ac:dyDescent="0.25">
      <c r="C509" s="9">
        <f>Гамма!$B$451</f>
        <v>125267.7</v>
      </c>
    </row>
    <row r="510" spans="3:3" hidden="1" outlineLevel="1" collapsed="1" x14ac:dyDescent="0.25">
      <c r="C510" s="9">
        <f>Гамма!$B$477</f>
        <v>77918.47</v>
      </c>
    </row>
    <row r="511" spans="3:3" hidden="1" outlineLevel="1" collapsed="1" x14ac:dyDescent="0.25">
      <c r="C511" s="9">
        <f>Гамма!$B$503</f>
        <v>105082.9</v>
      </c>
    </row>
    <row r="512" spans="3:3" hidden="1" outlineLevel="1" collapsed="1" x14ac:dyDescent="0.25">
      <c r="C512" s="9">
        <f>Гамма!$B$529</f>
        <v>68817.66</v>
      </c>
    </row>
    <row r="513" spans="3:3" hidden="1" outlineLevel="1" collapsed="1" x14ac:dyDescent="0.25">
      <c r="C513" s="9">
        <f>Гамма!$B$555</f>
        <v>42754.98</v>
      </c>
    </row>
    <row r="514" spans="3:3" hidden="1" outlineLevel="1" collapsed="1" x14ac:dyDescent="0.25">
      <c r="C514" s="9">
        <f>Гамма!$B$580</f>
        <v>25354.62</v>
      </c>
    </row>
    <row r="515" spans="3:3" hidden="1" outlineLevel="1" collapsed="1" x14ac:dyDescent="0.25">
      <c r="C515" s="9">
        <f>Гамма!$B$606</f>
        <v>24265.65</v>
      </c>
    </row>
    <row r="516" spans="3:3" hidden="1" outlineLevel="1" collapsed="1" x14ac:dyDescent="0.25">
      <c r="C516" s="9">
        <f>Гамма!$B$632</f>
        <v>67695.960000000006</v>
      </c>
    </row>
    <row r="517" spans="3:3" hidden="1" outlineLevel="1" collapsed="1" x14ac:dyDescent="0.25">
      <c r="C517" s="9">
        <f>Гамма!$B$658</f>
        <v>17250.66</v>
      </c>
    </row>
    <row r="518" spans="3:3" hidden="1" outlineLevel="1" collapsed="1" x14ac:dyDescent="0.25">
      <c r="C518" s="9">
        <f>Гамма!$B$684</f>
        <v>19621.91</v>
      </c>
    </row>
    <row r="519" spans="3:3" hidden="1" outlineLevel="1" collapsed="1" x14ac:dyDescent="0.25">
      <c r="C519" s="9">
        <f>Гамма!$B$710</f>
        <v>17058.439999999999</v>
      </c>
    </row>
    <row r="520" spans="3:3" hidden="1" outlineLevel="1" collapsed="1" x14ac:dyDescent="0.25">
      <c r="C520" s="9">
        <f>Гамма!$B$736</f>
        <v>14917.76</v>
      </c>
    </row>
    <row r="521" spans="3:3" hidden="1" outlineLevel="1" collapsed="1" x14ac:dyDescent="0.25">
      <c r="C521" s="9">
        <f>Гамма!$B$760</f>
        <v>27616.54</v>
      </c>
    </row>
    <row r="522" spans="3:3" hidden="1" outlineLevel="1" collapsed="1" x14ac:dyDescent="0.25">
      <c r="C522" s="9">
        <f>Гамма!$B$785</f>
        <v>15738.45</v>
      </c>
    </row>
    <row r="523" spans="3:3" hidden="1" outlineLevel="1" collapsed="1" x14ac:dyDescent="0.25">
      <c r="C523" s="9">
        <f>Гамма!$B$810</f>
        <v>27638.34</v>
      </c>
    </row>
    <row r="524" spans="3:3" hidden="1" outlineLevel="1" collapsed="1" x14ac:dyDescent="0.25">
      <c r="C524" s="9">
        <f>Гамма!$B$836</f>
        <v>72934.39</v>
      </c>
    </row>
    <row r="525" spans="3:3" hidden="1" outlineLevel="1" collapsed="1" x14ac:dyDescent="0.25">
      <c r="C525" s="9">
        <f>Гамма!$B$862</f>
        <v>154184.72</v>
      </c>
    </row>
    <row r="526" spans="3:3" hidden="1" outlineLevel="1" collapsed="1" x14ac:dyDescent="0.25">
      <c r="C526" s="9">
        <f>Гамма!$B$888</f>
        <v>111885.33</v>
      </c>
    </row>
    <row r="527" spans="3:3" hidden="1" outlineLevel="1" collapsed="1" x14ac:dyDescent="0.25">
      <c r="C527" s="9">
        <f>Гамма!$B$914</f>
        <v>95447.92</v>
      </c>
    </row>
    <row r="528" spans="3:3" hidden="1" outlineLevel="1" collapsed="1" x14ac:dyDescent="0.25">
      <c r="C528" s="9">
        <f>Гамма!$B$940</f>
        <v>71428.070000000007</v>
      </c>
    </row>
    <row r="529" spans="2:3" hidden="1" outlineLevel="1" collapsed="1" x14ac:dyDescent="0.25">
      <c r="C529" s="9">
        <f>Гамма!$B$965</f>
        <v>42278.8</v>
      </c>
    </row>
    <row r="530" spans="2:3" hidden="1" outlineLevel="1" collapsed="1" x14ac:dyDescent="0.25">
      <c r="C530" s="9">
        <f>Гамма!$B$991</f>
        <v>50651.15</v>
      </c>
    </row>
    <row r="531" spans="2:3" hidden="1" outlineLevel="1" collapsed="1" x14ac:dyDescent="0.25">
      <c r="C531" s="9">
        <f>Гамма!$B$1017</f>
        <v>68876.210000000006</v>
      </c>
    </row>
    <row r="532" spans="2:3" hidden="1" outlineLevel="1" collapsed="1" x14ac:dyDescent="0.25">
      <c r="C532" s="9">
        <f>Гамма!$B$1042</f>
        <v>74514.259999999995</v>
      </c>
    </row>
    <row r="533" spans="2:3" hidden="1" outlineLevel="1" collapsed="1" x14ac:dyDescent="0.25">
      <c r="C533" s="9">
        <f>Гамма!$B$1066</f>
        <v>68075.740000000005</v>
      </c>
    </row>
    <row r="534" spans="2:3" hidden="1" outlineLevel="1" collapsed="1" x14ac:dyDescent="0.25">
      <c r="C534" s="9">
        <f>Гамма!$B$1091</f>
        <v>53262.2</v>
      </c>
    </row>
    <row r="535" spans="2:3" hidden="1" outlineLevel="1" collapsed="1" x14ac:dyDescent="0.25">
      <c r="C535" s="9">
        <f>Гамма!$B$1117</f>
        <v>52893.5</v>
      </c>
    </row>
    <row r="536" spans="2:3" hidden="1" outlineLevel="1" collapsed="1" x14ac:dyDescent="0.25">
      <c r="C536" s="9">
        <f>Гамма!$B$1140</f>
        <v>54024.49</v>
      </c>
    </row>
    <row r="537" spans="2:3" hidden="1" outlineLevel="1" collapsed="1" x14ac:dyDescent="0.25">
      <c r="C537" s="9">
        <f>Гамма!$B$1165</f>
        <v>69133.3</v>
      </c>
    </row>
    <row r="538" spans="2:3" hidden="1" outlineLevel="1" collapsed="1" x14ac:dyDescent="0.25">
      <c r="C538" s="9">
        <f>Гамма!$B$1190</f>
        <v>77725.61</v>
      </c>
    </row>
    <row r="539" spans="2:3" hidden="1" outlineLevel="1" collapsed="1" x14ac:dyDescent="0.25">
      <c r="C539" s="9">
        <f>Гамма!$B$1215</f>
        <v>77923.8</v>
      </c>
    </row>
    <row r="540" spans="2:3" hidden="1" outlineLevel="1" collapsed="1" x14ac:dyDescent="0.25">
      <c r="C540" s="9">
        <f>Гамма!$B$1240</f>
        <v>28800.06</v>
      </c>
    </row>
    <row r="541" spans="2:3" hidden="1" outlineLevel="1" collapsed="1" x14ac:dyDescent="0.25">
      <c r="B541" t="s">
        <v>72</v>
      </c>
      <c r="C541" s="9">
        <f>Дельта!$B$4</f>
        <v>84532.1</v>
      </c>
    </row>
    <row r="542" spans="2:3" hidden="1" outlineLevel="1" collapsed="1" x14ac:dyDescent="0.25">
      <c r="C542" s="9">
        <f>Дельта!$B$30</f>
        <v>106934.75</v>
      </c>
    </row>
    <row r="543" spans="2:3" hidden="1" outlineLevel="1" collapsed="1" x14ac:dyDescent="0.25">
      <c r="C543" s="9">
        <f>Дельта!$B$56</f>
        <v>149641.19</v>
      </c>
    </row>
    <row r="544" spans="2:3" hidden="1" outlineLevel="1" collapsed="1" x14ac:dyDescent="0.25">
      <c r="C544" s="9">
        <f>Дельта!$B$82</f>
        <v>93612</v>
      </c>
    </row>
    <row r="545" spans="3:3" hidden="1" outlineLevel="1" collapsed="1" x14ac:dyDescent="0.25">
      <c r="C545" s="9">
        <f>Дельта!$B$108</f>
        <v>97169</v>
      </c>
    </row>
    <row r="546" spans="3:3" hidden="1" outlineLevel="1" collapsed="1" x14ac:dyDescent="0.25">
      <c r="C546" s="9">
        <f>Дельта!$B$134</f>
        <v>118813</v>
      </c>
    </row>
    <row r="547" spans="3:3" hidden="1" outlineLevel="1" collapsed="1" x14ac:dyDescent="0.25">
      <c r="C547" s="9">
        <f>Дельта!$B$159</f>
        <v>87098.15</v>
      </c>
    </row>
    <row r="548" spans="3:3" hidden="1" outlineLevel="1" collapsed="1" x14ac:dyDescent="0.25">
      <c r="C548" s="9">
        <f>Дельта!$B$185</f>
        <v>86248</v>
      </c>
    </row>
    <row r="549" spans="3:3" hidden="1" outlineLevel="1" collapsed="1" x14ac:dyDescent="0.25">
      <c r="C549" s="9">
        <f>Дельта!$B$211</f>
        <v>103090.2</v>
      </c>
    </row>
    <row r="550" spans="3:3" hidden="1" outlineLevel="1" collapsed="1" x14ac:dyDescent="0.25">
      <c r="C550" s="9">
        <f>Дельта!$B$236</f>
        <v>60709</v>
      </c>
    </row>
    <row r="551" spans="3:3" hidden="1" outlineLevel="1" collapsed="1" x14ac:dyDescent="0.25">
      <c r="C551" s="9">
        <f>Дельта!$B$262</f>
        <v>64035</v>
      </c>
    </row>
    <row r="552" spans="3:3" hidden="1" outlineLevel="1" collapsed="1" x14ac:dyDescent="0.25">
      <c r="C552" s="9">
        <f>Дельта!$B$288</f>
        <v>73441</v>
      </c>
    </row>
    <row r="553" spans="3:3" hidden="1" outlineLevel="1" collapsed="1" x14ac:dyDescent="0.25">
      <c r="C553" s="9">
        <f>Дельта!$B$314</f>
        <v>105622</v>
      </c>
    </row>
    <row r="554" spans="3:3" hidden="1" outlineLevel="1" collapsed="1" x14ac:dyDescent="0.25">
      <c r="C554" s="9">
        <f>Дельта!$B$340</f>
        <v>74215</v>
      </c>
    </row>
    <row r="555" spans="3:3" hidden="1" outlineLevel="1" collapsed="1" x14ac:dyDescent="0.25">
      <c r="C555" s="9">
        <f>Дельта!$B$366</f>
        <v>51224</v>
      </c>
    </row>
    <row r="556" spans="3:3" hidden="1" outlineLevel="1" collapsed="1" x14ac:dyDescent="0.25">
      <c r="C556" s="9">
        <f>Дельта!$B$392</f>
        <v>59837</v>
      </c>
    </row>
    <row r="557" spans="3:3" hidden="1" outlineLevel="1" collapsed="1" x14ac:dyDescent="0.25">
      <c r="C557" s="9">
        <f>Дельта!$B$418</f>
        <v>88175</v>
      </c>
    </row>
    <row r="558" spans="3:3" hidden="1" outlineLevel="1" collapsed="1" x14ac:dyDescent="0.25">
      <c r="C558" s="9">
        <f>Дельта!$B$444</f>
        <v>204496</v>
      </c>
    </row>
    <row r="559" spans="3:3" hidden="1" outlineLevel="1" collapsed="1" x14ac:dyDescent="0.25">
      <c r="C559" s="9">
        <f>Дельта!$B$470</f>
        <v>212280</v>
      </c>
    </row>
    <row r="560" spans="3:3" hidden="1" outlineLevel="1" collapsed="1" x14ac:dyDescent="0.25">
      <c r="C560" s="9">
        <f>Дельта!$B$496</f>
        <v>317154</v>
      </c>
    </row>
    <row r="561" spans="3:3" hidden="1" outlineLevel="1" collapsed="1" x14ac:dyDescent="0.25">
      <c r="C561" s="9">
        <f>Дельта!$B$522</f>
        <v>203290</v>
      </c>
    </row>
    <row r="562" spans="3:3" hidden="1" outlineLevel="1" collapsed="1" x14ac:dyDescent="0.25">
      <c r="C562" s="9">
        <f>Дельта!$B$548</f>
        <v>174478</v>
      </c>
    </row>
    <row r="563" spans="3:3" hidden="1" outlineLevel="1" collapsed="1" x14ac:dyDescent="0.25">
      <c r="C563" s="9">
        <f>Дельта!$B$574</f>
        <v>61254</v>
      </c>
    </row>
    <row r="564" spans="3:3" hidden="1" outlineLevel="1" collapsed="1" x14ac:dyDescent="0.25">
      <c r="C564" s="9">
        <f>Дельта!$B$600</f>
        <v>69075</v>
      </c>
    </row>
    <row r="565" spans="3:3" hidden="1" outlineLevel="1" collapsed="1" x14ac:dyDescent="0.25">
      <c r="C565" s="9">
        <f>Дельта!$B$626</f>
        <v>67350</v>
      </c>
    </row>
    <row r="566" spans="3:3" hidden="1" outlineLevel="1" collapsed="1" x14ac:dyDescent="0.25">
      <c r="C566" s="9">
        <f>Дельта!$B$651</f>
        <v>69561</v>
      </c>
    </row>
    <row r="567" spans="3:3" hidden="1" outlineLevel="1" collapsed="1" x14ac:dyDescent="0.25">
      <c r="C567" s="9">
        <f>Дельта!$B$678</f>
        <v>105832</v>
      </c>
    </row>
    <row r="568" spans="3:3" hidden="1" outlineLevel="1" collapsed="1" x14ac:dyDescent="0.25">
      <c r="C568" s="9">
        <f>Дельта!$B$704</f>
        <v>62712</v>
      </c>
    </row>
    <row r="569" spans="3:3" hidden="1" outlineLevel="1" collapsed="1" x14ac:dyDescent="0.25">
      <c r="C569" s="9">
        <f>Дельта!$B$729</f>
        <v>64474</v>
      </c>
    </row>
    <row r="570" spans="3:3" hidden="1" outlineLevel="1" collapsed="1" x14ac:dyDescent="0.25">
      <c r="C570" s="9">
        <f>Дельта!$B$755</f>
        <v>59530.91</v>
      </c>
    </row>
    <row r="571" spans="3:3" hidden="1" outlineLevel="1" collapsed="1" x14ac:dyDescent="0.25">
      <c r="C571" s="9">
        <f>Дельта!$B$781</f>
        <v>134735</v>
      </c>
    </row>
    <row r="572" spans="3:3" hidden="1" outlineLevel="1" collapsed="1" x14ac:dyDescent="0.25">
      <c r="C572" s="9">
        <f>Дельта!$B$806</f>
        <v>89508</v>
      </c>
    </row>
    <row r="573" spans="3:3" hidden="1" outlineLevel="1" collapsed="1" x14ac:dyDescent="0.25">
      <c r="C573" s="9">
        <f>Дельта!$B$832</f>
        <v>100435</v>
      </c>
    </row>
    <row r="574" spans="3:3" hidden="1" outlineLevel="1" collapsed="1" x14ac:dyDescent="0.25">
      <c r="C574" s="9">
        <f>Дельта!$B$858</f>
        <v>128233</v>
      </c>
    </row>
    <row r="575" spans="3:3" hidden="1" outlineLevel="1" collapsed="1" x14ac:dyDescent="0.25">
      <c r="C575" s="9">
        <f>Дельта!$B$884</f>
        <v>121618</v>
      </c>
    </row>
    <row r="576" spans="3:3" hidden="1" outlineLevel="1" collapsed="1" x14ac:dyDescent="0.25">
      <c r="C576" s="9">
        <f>Дельта!$B$910</f>
        <v>66282</v>
      </c>
    </row>
    <row r="577" spans="1:3" hidden="1" outlineLevel="1" collapsed="1" x14ac:dyDescent="0.25">
      <c r="C577" s="9">
        <f>Дельта!$B$936</f>
        <v>52085.46</v>
      </c>
    </row>
    <row r="578" spans="1:3" hidden="1" outlineLevel="1" collapsed="1" x14ac:dyDescent="0.25">
      <c r="C578" s="9">
        <f>Дельта!$B$961</f>
        <v>38686.68</v>
      </c>
    </row>
    <row r="579" spans="1:3" hidden="1" outlineLevel="1" collapsed="1" x14ac:dyDescent="0.25">
      <c r="C579" s="9">
        <f>Дельта!$B$987</f>
        <v>49604</v>
      </c>
    </row>
    <row r="580" spans="1:3" hidden="1" outlineLevel="1" collapsed="1" x14ac:dyDescent="0.25">
      <c r="C580" s="9">
        <f>Дельта!$B$1012</f>
        <v>43990</v>
      </c>
    </row>
    <row r="581" spans="1:3" hidden="1" outlineLevel="1" collapsed="1" x14ac:dyDescent="0.25">
      <c r="C581" s="9">
        <f>Дельта!$B$1037</f>
        <v>61553.3</v>
      </c>
    </row>
    <row r="582" spans="1:3" hidden="1" outlineLevel="1" collapsed="1" x14ac:dyDescent="0.25">
      <c r="C582" s="9">
        <f>Дельта!$B$1063</f>
        <v>56312.49</v>
      </c>
    </row>
    <row r="583" spans="1:3" hidden="1" outlineLevel="1" collapsed="1" x14ac:dyDescent="0.25">
      <c r="C583" s="9">
        <f>Дельта!$B$1088</f>
        <v>50985</v>
      </c>
    </row>
    <row r="584" spans="1:3" hidden="1" outlineLevel="1" collapsed="1" x14ac:dyDescent="0.25">
      <c r="C584" s="9">
        <f>Дельта!$B$1113</f>
        <v>66511</v>
      </c>
    </row>
    <row r="585" spans="1:3" hidden="1" outlineLevel="1" collapsed="1" x14ac:dyDescent="0.25">
      <c r="C585" s="9">
        <f>Дельта!$B$1138</f>
        <v>61466</v>
      </c>
    </row>
    <row r="586" spans="1:3" hidden="1" outlineLevel="1" collapsed="1" x14ac:dyDescent="0.25">
      <c r="C586" s="9">
        <f>Дельта!$B$1162</f>
        <v>83474.039999999994</v>
      </c>
    </row>
    <row r="587" spans="1:3" hidden="1" outlineLevel="1" collapsed="1" x14ac:dyDescent="0.25">
      <c r="C587" s="9">
        <f>Дельта!$B$1185</f>
        <v>120754.84</v>
      </c>
    </row>
    <row r="588" spans="1:3" hidden="1" outlineLevel="1" collapsed="1" x14ac:dyDescent="0.25">
      <c r="C588" s="9">
        <f>Дельта!$B$1210</f>
        <v>100423</v>
      </c>
    </row>
    <row r="589" spans="1:3" hidden="1" outlineLevel="1" collapsed="1" x14ac:dyDescent="0.25">
      <c r="C589" s="9">
        <f>Дельта!$B$1235</f>
        <v>57924</v>
      </c>
    </row>
    <row r="590" spans="1:3" collapsed="1" x14ac:dyDescent="0.25">
      <c r="A590" t="s">
        <v>4</v>
      </c>
      <c r="C590" s="9">
        <f>SUM(C394:C589)</f>
        <v>16863274.220000006</v>
      </c>
    </row>
    <row r="591" spans="1:3" hidden="1" outlineLevel="1" x14ac:dyDescent="0.25">
      <c r="B591" t="s">
        <v>72</v>
      </c>
      <c r="C591" s="9">
        <f>Альфа!$B$5</f>
        <v>6301</v>
      </c>
    </row>
    <row r="592" spans="1:3" hidden="1" outlineLevel="1" collapsed="1" x14ac:dyDescent="0.25">
      <c r="C592" s="9">
        <f>Альфа!$B$31</f>
        <v>3057</v>
      </c>
    </row>
    <row r="593" spans="3:3" hidden="1" outlineLevel="1" collapsed="1" x14ac:dyDescent="0.25">
      <c r="C593" s="9">
        <f>Альфа!$B$57</f>
        <v>5045</v>
      </c>
    </row>
    <row r="594" spans="3:3" hidden="1" outlineLevel="1" collapsed="1" x14ac:dyDescent="0.25">
      <c r="C594" s="9">
        <f>Альфа!$B$83</f>
        <v>4531</v>
      </c>
    </row>
    <row r="595" spans="3:3" hidden="1" outlineLevel="1" collapsed="1" x14ac:dyDescent="0.25">
      <c r="C595" s="9">
        <f>Альфа!$B$109</f>
        <v>4591</v>
      </c>
    </row>
    <row r="596" spans="3:3" hidden="1" outlineLevel="1" collapsed="1" x14ac:dyDescent="0.25">
      <c r="C596" s="9">
        <f>Альфа!$B$136</f>
        <v>12141</v>
      </c>
    </row>
    <row r="597" spans="3:3" hidden="1" outlineLevel="1" collapsed="1" x14ac:dyDescent="0.25">
      <c r="C597" s="9">
        <f>Альфа!$B$163</f>
        <v>3186</v>
      </c>
    </row>
    <row r="598" spans="3:3" hidden="1" outlineLevel="1" collapsed="1" x14ac:dyDescent="0.25">
      <c r="C598" s="9">
        <f>Альфа!$B$189</f>
        <v>1612</v>
      </c>
    </row>
    <row r="599" spans="3:3" hidden="1" outlineLevel="1" collapsed="1" x14ac:dyDescent="0.25">
      <c r="C599" s="9">
        <f>Альфа!$B$215</f>
        <v>3156</v>
      </c>
    </row>
    <row r="600" spans="3:3" hidden="1" outlineLevel="1" collapsed="1" x14ac:dyDescent="0.25">
      <c r="C600" s="9">
        <f>Альфа!$B$241</f>
        <v>4234</v>
      </c>
    </row>
    <row r="601" spans="3:3" hidden="1" outlineLevel="1" collapsed="1" x14ac:dyDescent="0.25">
      <c r="C601" s="9">
        <f>Альфа!$B$268</f>
        <v>2245</v>
      </c>
    </row>
    <row r="602" spans="3:3" hidden="1" outlineLevel="1" collapsed="1" x14ac:dyDescent="0.25">
      <c r="C602" s="9">
        <f>Альфа!$B$294</f>
        <v>1793</v>
      </c>
    </row>
    <row r="603" spans="3:3" hidden="1" outlineLevel="1" collapsed="1" x14ac:dyDescent="0.25">
      <c r="C603" s="9">
        <f>Альфа!$B$320</f>
        <v>1871</v>
      </c>
    </row>
    <row r="604" spans="3:3" hidden="1" outlineLevel="1" collapsed="1" x14ac:dyDescent="0.25">
      <c r="C604" s="9">
        <f>Альфа!$B$346</f>
        <v>3316</v>
      </c>
    </row>
    <row r="605" spans="3:3" hidden="1" outlineLevel="1" collapsed="1" x14ac:dyDescent="0.25">
      <c r="C605" s="9">
        <f>Альфа!$B$372</f>
        <v>2149</v>
      </c>
    </row>
    <row r="606" spans="3:3" hidden="1" outlineLevel="1" collapsed="1" x14ac:dyDescent="0.25">
      <c r="C606" s="9">
        <f>Альфа!$B$399</f>
        <v>309</v>
      </c>
    </row>
    <row r="607" spans="3:3" hidden="1" outlineLevel="1" collapsed="1" x14ac:dyDescent="0.25">
      <c r="C607" s="9">
        <f>Альфа!$B$425</f>
        <v>944</v>
      </c>
    </row>
    <row r="608" spans="3:3" hidden="1" outlineLevel="1" collapsed="1" x14ac:dyDescent="0.25">
      <c r="C608" s="9">
        <f>Альфа!$B$450</f>
        <v>2828</v>
      </c>
    </row>
    <row r="609" spans="3:3" hidden="1" outlineLevel="1" collapsed="1" x14ac:dyDescent="0.25">
      <c r="C609" s="9">
        <f>Альфа!$B$475</f>
        <v>810</v>
      </c>
    </row>
    <row r="610" spans="3:3" hidden="1" outlineLevel="1" collapsed="1" x14ac:dyDescent="0.25">
      <c r="C610" s="9">
        <f>Альфа!$B$501</f>
        <v>6321</v>
      </c>
    </row>
    <row r="611" spans="3:3" hidden="1" outlineLevel="1" collapsed="1" x14ac:dyDescent="0.25">
      <c r="C611" s="9">
        <f>Альфа!$B$526</f>
        <v>1130</v>
      </c>
    </row>
    <row r="612" spans="3:3" hidden="1" outlineLevel="1" collapsed="1" x14ac:dyDescent="0.25">
      <c r="C612" s="9">
        <f>Альфа!$B$551</f>
        <v>944</v>
      </c>
    </row>
    <row r="613" spans="3:3" hidden="1" outlineLevel="1" collapsed="1" x14ac:dyDescent="0.25">
      <c r="C613" s="9">
        <f>Альфа!$B$575</f>
        <v>1766</v>
      </c>
    </row>
    <row r="614" spans="3:3" hidden="1" outlineLevel="1" collapsed="1" x14ac:dyDescent="0.25">
      <c r="C614" s="9">
        <f>Альфа!$B$625</f>
        <v>710</v>
      </c>
    </row>
    <row r="615" spans="3:3" hidden="1" outlineLevel="1" collapsed="1" x14ac:dyDescent="0.25">
      <c r="C615" s="9">
        <f>Альфа!$B$650</f>
        <v>382</v>
      </c>
    </row>
    <row r="616" spans="3:3" hidden="1" outlineLevel="1" collapsed="1" x14ac:dyDescent="0.25">
      <c r="C616" s="9">
        <f>Альфа!$B$675</f>
        <v>1583</v>
      </c>
    </row>
    <row r="617" spans="3:3" hidden="1" outlineLevel="1" collapsed="1" x14ac:dyDescent="0.25">
      <c r="C617" s="9">
        <f>Альфа!$B$700</f>
        <v>1565</v>
      </c>
    </row>
    <row r="618" spans="3:3" hidden="1" outlineLevel="1" collapsed="1" x14ac:dyDescent="0.25">
      <c r="C618" s="9">
        <f>Альфа!$B$749</f>
        <v>1172</v>
      </c>
    </row>
    <row r="619" spans="3:3" hidden="1" outlineLevel="1" collapsed="1" x14ac:dyDescent="0.25">
      <c r="C619" s="9">
        <f>Альфа!$B$775</f>
        <v>1474</v>
      </c>
    </row>
    <row r="620" spans="3:3" hidden="1" outlineLevel="1" collapsed="1" x14ac:dyDescent="0.25">
      <c r="C620" s="9">
        <f>Альфа!$B$798</f>
        <v>382</v>
      </c>
    </row>
    <row r="621" spans="3:3" hidden="1" outlineLevel="1" collapsed="1" x14ac:dyDescent="0.25">
      <c r="C621" s="9">
        <f>Альфа!$B$847</f>
        <v>5155</v>
      </c>
    </row>
    <row r="622" spans="3:3" hidden="1" outlineLevel="1" collapsed="1" x14ac:dyDescent="0.25">
      <c r="C622" s="9">
        <f>Альфа!$B$872</f>
        <v>8700</v>
      </c>
    </row>
    <row r="623" spans="3:3" hidden="1" outlineLevel="1" collapsed="1" x14ac:dyDescent="0.25">
      <c r="C623" s="9">
        <f>Альфа!$B$897</f>
        <v>420</v>
      </c>
    </row>
    <row r="624" spans="3:3" hidden="1" outlineLevel="1" collapsed="1" x14ac:dyDescent="0.25">
      <c r="C624" s="9">
        <f>Альфа!$B$922</f>
        <v>2264</v>
      </c>
    </row>
    <row r="625" spans="2:3" hidden="1" outlineLevel="1" collapsed="1" x14ac:dyDescent="0.25">
      <c r="C625" s="9">
        <f>Альфа!$B$947</f>
        <v>710</v>
      </c>
    </row>
    <row r="626" spans="2:3" hidden="1" outlineLevel="1" collapsed="1" x14ac:dyDescent="0.25">
      <c r="C626" s="9">
        <f>Альфа!$B$1022</f>
        <v>1492</v>
      </c>
    </row>
    <row r="627" spans="2:3" hidden="1" outlineLevel="1" collapsed="1" x14ac:dyDescent="0.25">
      <c r="C627" s="9">
        <f>Альфа!$B$1047</f>
        <v>2130</v>
      </c>
    </row>
    <row r="628" spans="2:3" hidden="1" outlineLevel="1" collapsed="1" x14ac:dyDescent="0.25">
      <c r="C628" s="9">
        <f>Альфа!$B$1073</f>
        <v>574</v>
      </c>
    </row>
    <row r="629" spans="2:3" hidden="1" outlineLevel="1" collapsed="1" x14ac:dyDescent="0.25">
      <c r="C629" s="9">
        <f>Альфа!$B$1122</f>
        <v>994</v>
      </c>
    </row>
    <row r="630" spans="2:3" hidden="1" outlineLevel="1" collapsed="1" x14ac:dyDescent="0.25">
      <c r="C630" s="9">
        <f>Альфа!$B$1173</f>
        <v>740</v>
      </c>
    </row>
    <row r="631" spans="2:3" hidden="1" outlineLevel="1" collapsed="1" x14ac:dyDescent="0.25">
      <c r="C631" s="9">
        <f>Альфа!$B$1199</f>
        <v>1994</v>
      </c>
    </row>
    <row r="632" spans="2:3" hidden="1" outlineLevel="1" collapsed="1" x14ac:dyDescent="0.25">
      <c r="C632" s="9">
        <f>Альфа!$B$1225</f>
        <v>710</v>
      </c>
    </row>
    <row r="633" spans="2:3" hidden="1" outlineLevel="1" collapsed="1" x14ac:dyDescent="0.25">
      <c r="B633" t="s">
        <v>72</v>
      </c>
      <c r="C633" s="9">
        <f>Бета!$B$5</f>
        <v>1286</v>
      </c>
    </row>
    <row r="634" spans="2:3" hidden="1" outlineLevel="1" collapsed="1" x14ac:dyDescent="0.25">
      <c r="C634" s="9">
        <f>Бета!$B$27</f>
        <v>768</v>
      </c>
    </row>
    <row r="635" spans="2:3" hidden="1" outlineLevel="1" collapsed="1" x14ac:dyDescent="0.25">
      <c r="C635" s="9">
        <f>Бета!$B$49</f>
        <v>1077</v>
      </c>
    </row>
    <row r="636" spans="2:3" hidden="1" outlineLevel="1" collapsed="1" x14ac:dyDescent="0.25">
      <c r="C636" s="9">
        <f>Бета!$B$71</f>
        <v>693</v>
      </c>
    </row>
    <row r="637" spans="2:3" hidden="1" outlineLevel="1" collapsed="1" x14ac:dyDescent="0.25">
      <c r="C637" s="9">
        <f>Бета!$B$93</f>
        <v>672</v>
      </c>
    </row>
    <row r="638" spans="2:3" hidden="1" outlineLevel="1" collapsed="1" x14ac:dyDescent="0.25">
      <c r="C638" s="9">
        <f>Бета!$B$115</f>
        <v>672</v>
      </c>
    </row>
    <row r="639" spans="2:3" hidden="1" outlineLevel="1" collapsed="1" x14ac:dyDescent="0.25">
      <c r="C639" s="9">
        <f>Бета!$B$137</f>
        <v>768</v>
      </c>
    </row>
    <row r="640" spans="2:3" hidden="1" outlineLevel="1" collapsed="1" x14ac:dyDescent="0.25">
      <c r="C640" s="9">
        <f>Бета!$B$159</f>
        <v>288</v>
      </c>
    </row>
    <row r="641" spans="2:3" hidden="1" outlineLevel="1" collapsed="1" x14ac:dyDescent="0.25">
      <c r="C641" s="9">
        <f>Бета!$B$181</f>
        <v>192</v>
      </c>
    </row>
    <row r="642" spans="2:3" hidden="1" outlineLevel="1" collapsed="1" x14ac:dyDescent="0.25">
      <c r="C642" s="9">
        <f>Бета!$B$203</f>
        <v>710</v>
      </c>
    </row>
    <row r="643" spans="2:3" hidden="1" outlineLevel="1" collapsed="1" x14ac:dyDescent="0.25">
      <c r="C643" s="9">
        <f>Бета!$B$225</f>
        <v>96</v>
      </c>
    </row>
    <row r="644" spans="2:3" hidden="1" outlineLevel="1" collapsed="1" x14ac:dyDescent="0.25">
      <c r="C644" s="9">
        <f>Бета!$B$247</f>
        <v>1002</v>
      </c>
    </row>
    <row r="645" spans="2:3" hidden="1" outlineLevel="1" collapsed="1" x14ac:dyDescent="0.25">
      <c r="C645" s="9">
        <f>Бета!$B$290</f>
        <v>710</v>
      </c>
    </row>
    <row r="646" spans="2:3" hidden="1" outlineLevel="1" collapsed="1" x14ac:dyDescent="0.25">
      <c r="C646" s="9">
        <f>Бета!$B$312</f>
        <v>1420</v>
      </c>
    </row>
    <row r="647" spans="2:3" hidden="1" outlineLevel="1" collapsed="1" x14ac:dyDescent="0.25">
      <c r="C647" s="9">
        <f>Бета!$B$523</f>
        <v>810</v>
      </c>
    </row>
    <row r="648" spans="2:3" hidden="1" outlineLevel="1" collapsed="1" x14ac:dyDescent="0.25">
      <c r="C648" s="9">
        <f>Бета!$B$682</f>
        <v>810</v>
      </c>
    </row>
    <row r="649" spans="2:3" hidden="1" outlineLevel="1" collapsed="1" x14ac:dyDescent="0.25">
      <c r="C649" s="9">
        <f>Бета!$B$723</f>
        <v>2230</v>
      </c>
    </row>
    <row r="650" spans="2:3" hidden="1" outlineLevel="1" collapsed="1" x14ac:dyDescent="0.25">
      <c r="C650" s="9">
        <f>Бета!$B$783</f>
        <v>710</v>
      </c>
    </row>
    <row r="651" spans="2:3" hidden="1" outlineLevel="1" collapsed="1" x14ac:dyDescent="0.25">
      <c r="C651" s="9">
        <f>Бета!$B$1003</f>
        <v>1112.1500000000001</v>
      </c>
    </row>
    <row r="652" spans="2:3" hidden="1" outlineLevel="1" collapsed="1" x14ac:dyDescent="0.25">
      <c r="B652" t="s">
        <v>72</v>
      </c>
      <c r="C652" s="9">
        <f>Гамма!$B$5</f>
        <v>3142</v>
      </c>
    </row>
    <row r="653" spans="2:3" hidden="1" outlineLevel="1" collapsed="1" x14ac:dyDescent="0.25">
      <c r="C653" s="9">
        <f>Гамма!$B$31</f>
        <v>3322</v>
      </c>
    </row>
    <row r="654" spans="2:3" hidden="1" outlineLevel="1" collapsed="1" x14ac:dyDescent="0.25">
      <c r="C654" s="9">
        <f>Гамма!$B$58</f>
        <v>3050</v>
      </c>
    </row>
    <row r="655" spans="2:3" hidden="1" outlineLevel="1" collapsed="1" x14ac:dyDescent="0.25">
      <c r="C655" s="9">
        <f>Гамма!$B$85</f>
        <v>3957</v>
      </c>
    </row>
    <row r="656" spans="2:3" hidden="1" outlineLevel="1" collapsed="1" x14ac:dyDescent="0.25">
      <c r="C656" s="9">
        <f>Гамма!$B$111</f>
        <v>1420</v>
      </c>
    </row>
    <row r="657" spans="3:3" hidden="1" outlineLevel="1" collapsed="1" x14ac:dyDescent="0.25">
      <c r="C657" s="9">
        <f>Гамма!$B$137</f>
        <v>3433</v>
      </c>
    </row>
    <row r="658" spans="3:3" hidden="1" outlineLevel="1" collapsed="1" x14ac:dyDescent="0.25">
      <c r="C658" s="9">
        <f>Гамма!$B$163</f>
        <v>2074</v>
      </c>
    </row>
    <row r="659" spans="3:3" hidden="1" outlineLevel="1" collapsed="1" x14ac:dyDescent="0.25">
      <c r="C659" s="9">
        <f>Гамма!$B$190</f>
        <v>1420</v>
      </c>
    </row>
    <row r="660" spans="3:3" hidden="1" outlineLevel="1" collapsed="1" x14ac:dyDescent="0.25">
      <c r="C660" s="9">
        <f>Гамма!$B$217</f>
        <v>1722</v>
      </c>
    </row>
    <row r="661" spans="3:3" hidden="1" outlineLevel="1" collapsed="1" x14ac:dyDescent="0.25">
      <c r="C661" s="9">
        <f>Гамма!$B$243</f>
        <v>3315</v>
      </c>
    </row>
    <row r="662" spans="3:3" hidden="1" outlineLevel="1" collapsed="1" x14ac:dyDescent="0.25">
      <c r="C662" s="9">
        <f>Гамма!$B$269</f>
        <v>1722</v>
      </c>
    </row>
    <row r="663" spans="3:3" hidden="1" outlineLevel="1" collapsed="1" x14ac:dyDescent="0.25">
      <c r="C663" s="9">
        <f>Гамма!$B$295</f>
        <v>574</v>
      </c>
    </row>
    <row r="664" spans="3:3" hidden="1" outlineLevel="1" collapsed="1" x14ac:dyDescent="0.25">
      <c r="C664" s="9">
        <f>Гамма!$B$321</f>
        <v>1148</v>
      </c>
    </row>
    <row r="665" spans="3:3" hidden="1" outlineLevel="1" collapsed="1" x14ac:dyDescent="0.25">
      <c r="C665" s="9">
        <f>Гамма!$B$347</f>
        <v>1722</v>
      </c>
    </row>
    <row r="666" spans="3:3" hidden="1" outlineLevel="1" collapsed="1" x14ac:dyDescent="0.25">
      <c r="C666" s="9">
        <f>Гамма!$B$372</f>
        <v>574</v>
      </c>
    </row>
    <row r="667" spans="3:3" hidden="1" outlineLevel="1" collapsed="1" x14ac:dyDescent="0.25">
      <c r="C667" s="9">
        <f>Гамма!$B$398</f>
        <v>3290</v>
      </c>
    </row>
    <row r="668" spans="3:3" hidden="1" outlineLevel="1" collapsed="1" x14ac:dyDescent="0.25">
      <c r="C668" s="9">
        <f>Гамма!$B$425</f>
        <v>2982</v>
      </c>
    </row>
    <row r="669" spans="3:3" hidden="1" outlineLevel="1" collapsed="1" x14ac:dyDescent="0.25">
      <c r="C669" s="9">
        <f>Гамма!$B$452</f>
        <v>1568</v>
      </c>
    </row>
    <row r="670" spans="3:3" hidden="1" outlineLevel="1" collapsed="1" x14ac:dyDescent="0.25">
      <c r="C670" s="9">
        <f>Гамма!$B$478</f>
        <v>1722</v>
      </c>
    </row>
    <row r="671" spans="3:3" hidden="1" outlineLevel="1" collapsed="1" x14ac:dyDescent="0.25">
      <c r="C671" s="9">
        <f>Гамма!$B$504</f>
        <v>3290</v>
      </c>
    </row>
    <row r="672" spans="3:3" hidden="1" outlineLevel="1" collapsed="1" x14ac:dyDescent="0.25">
      <c r="C672" s="9">
        <f>Гамма!$B$530</f>
        <v>2716</v>
      </c>
    </row>
    <row r="673" spans="3:3" hidden="1" outlineLevel="1" collapsed="1" x14ac:dyDescent="0.25">
      <c r="C673" s="9">
        <f>Гамма!$B$556</f>
        <v>574</v>
      </c>
    </row>
    <row r="674" spans="3:3" hidden="1" outlineLevel="1" collapsed="1" x14ac:dyDescent="0.25">
      <c r="C674" s="9">
        <f>Гамма!$B$581</f>
        <v>840</v>
      </c>
    </row>
    <row r="675" spans="3:3" hidden="1" outlineLevel="1" collapsed="1" x14ac:dyDescent="0.25">
      <c r="C675" s="9">
        <f>Гамма!$B$607</f>
        <v>574</v>
      </c>
    </row>
    <row r="676" spans="3:3" hidden="1" outlineLevel="1" collapsed="1" x14ac:dyDescent="0.25">
      <c r="C676" s="9">
        <f>Гамма!$B$633</f>
        <v>1148</v>
      </c>
    </row>
    <row r="677" spans="3:3" hidden="1" outlineLevel="1" collapsed="1" x14ac:dyDescent="0.25">
      <c r="C677" s="9">
        <f>Гамма!$B$659</f>
        <v>2142</v>
      </c>
    </row>
    <row r="678" spans="3:3" hidden="1" outlineLevel="1" collapsed="1" x14ac:dyDescent="0.25">
      <c r="C678" s="9">
        <f>Гамма!$B$685</f>
        <v>2296</v>
      </c>
    </row>
    <row r="679" spans="3:3" hidden="1" outlineLevel="1" collapsed="1" x14ac:dyDescent="0.25">
      <c r="C679" s="9">
        <f>Гамма!$B$711</f>
        <v>2296</v>
      </c>
    </row>
    <row r="680" spans="3:3" hidden="1" outlineLevel="1" collapsed="1" x14ac:dyDescent="0.25">
      <c r="C680" s="9">
        <f>Гамма!$B$761</f>
        <v>1722</v>
      </c>
    </row>
    <row r="681" spans="3:3" hidden="1" outlineLevel="1" collapsed="1" x14ac:dyDescent="0.25">
      <c r="C681" s="9">
        <f>Гамма!$B$811</f>
        <v>574</v>
      </c>
    </row>
    <row r="682" spans="3:3" hidden="1" outlineLevel="1" collapsed="1" x14ac:dyDescent="0.25">
      <c r="C682" s="9">
        <f>Гамма!$B$837</f>
        <v>1722</v>
      </c>
    </row>
    <row r="683" spans="3:3" hidden="1" outlineLevel="1" collapsed="1" x14ac:dyDescent="0.25">
      <c r="C683" s="9">
        <f>Гамма!$B$863</f>
        <v>574</v>
      </c>
    </row>
    <row r="684" spans="3:3" hidden="1" outlineLevel="1" collapsed="1" x14ac:dyDescent="0.25">
      <c r="C684" s="9">
        <f>Гамма!$B$889</f>
        <v>574</v>
      </c>
    </row>
    <row r="685" spans="3:3" hidden="1" outlineLevel="1" collapsed="1" x14ac:dyDescent="0.25">
      <c r="C685" s="9">
        <f>Гамма!$B$915</f>
        <v>1722</v>
      </c>
    </row>
    <row r="686" spans="3:3" hidden="1" outlineLevel="1" collapsed="1" x14ac:dyDescent="0.25">
      <c r="C686" s="9">
        <f>Гамма!$B$966</f>
        <v>574</v>
      </c>
    </row>
    <row r="687" spans="3:3" hidden="1" outlineLevel="1" collapsed="1" x14ac:dyDescent="0.25">
      <c r="C687" s="9">
        <f>Гамма!$B$992</f>
        <v>574</v>
      </c>
    </row>
    <row r="688" spans="3:3" hidden="1" outlineLevel="1" collapsed="1" x14ac:dyDescent="0.25">
      <c r="C688" s="9">
        <f>Гамма!$B$1067</f>
        <v>574</v>
      </c>
    </row>
    <row r="689" spans="2:3" hidden="1" outlineLevel="1" collapsed="1" x14ac:dyDescent="0.25">
      <c r="C689" s="9">
        <f>Гамма!$B$1092</f>
        <v>574</v>
      </c>
    </row>
    <row r="690" spans="2:3" hidden="1" outlineLevel="1" collapsed="1" x14ac:dyDescent="0.25">
      <c r="C690" s="9">
        <f>Гамма!$B$1141</f>
        <v>574</v>
      </c>
    </row>
    <row r="691" spans="2:3" hidden="1" outlineLevel="1" collapsed="1" x14ac:dyDescent="0.25">
      <c r="C691" s="9">
        <f>Гамма!$B$1166</f>
        <v>574</v>
      </c>
    </row>
    <row r="692" spans="2:3" hidden="1" outlineLevel="1" collapsed="1" x14ac:dyDescent="0.25">
      <c r="C692" s="9">
        <f>Гамма!$B$1191</f>
        <v>1722</v>
      </c>
    </row>
    <row r="693" spans="2:3" hidden="1" outlineLevel="1" collapsed="1" x14ac:dyDescent="0.25">
      <c r="C693" s="9">
        <f>Гамма!$B$1216</f>
        <v>574</v>
      </c>
    </row>
    <row r="694" spans="2:3" hidden="1" outlineLevel="1" collapsed="1" x14ac:dyDescent="0.25">
      <c r="B694" t="s">
        <v>72</v>
      </c>
      <c r="C694" s="9">
        <f>Дельта!$B$5</f>
        <v>3298</v>
      </c>
    </row>
    <row r="695" spans="2:3" hidden="1" outlineLevel="1" collapsed="1" x14ac:dyDescent="0.25">
      <c r="C695" s="9">
        <f>Дельта!$B$31</f>
        <v>8371</v>
      </c>
    </row>
    <row r="696" spans="2:3" hidden="1" outlineLevel="1" collapsed="1" x14ac:dyDescent="0.25">
      <c r="C696" s="9">
        <f>Дельта!$B$57</f>
        <v>8292</v>
      </c>
    </row>
    <row r="697" spans="2:3" hidden="1" outlineLevel="1" collapsed="1" x14ac:dyDescent="0.25">
      <c r="C697" s="9">
        <f>Дельта!$B$83</f>
        <v>6911</v>
      </c>
    </row>
    <row r="698" spans="2:3" hidden="1" outlineLevel="1" collapsed="1" x14ac:dyDescent="0.25">
      <c r="C698" s="9">
        <f>Дельта!$B$109</f>
        <v>5422</v>
      </c>
    </row>
    <row r="699" spans="2:3" hidden="1" outlineLevel="1" collapsed="1" x14ac:dyDescent="0.25">
      <c r="C699" s="9">
        <f>Дельта!$B$135</f>
        <v>8579</v>
      </c>
    </row>
    <row r="700" spans="2:3" hidden="1" outlineLevel="1" collapsed="1" x14ac:dyDescent="0.25">
      <c r="C700" s="9">
        <f>Дельта!$B$160</f>
        <v>7143</v>
      </c>
    </row>
    <row r="701" spans="2:3" hidden="1" outlineLevel="1" collapsed="1" x14ac:dyDescent="0.25">
      <c r="C701" s="9">
        <f>Дельта!$B$186</f>
        <v>5580</v>
      </c>
    </row>
    <row r="702" spans="2:3" hidden="1" outlineLevel="1" collapsed="1" x14ac:dyDescent="0.25">
      <c r="C702" s="9">
        <f>Дельта!$B$212</f>
        <v>1173</v>
      </c>
    </row>
    <row r="703" spans="2:3" hidden="1" outlineLevel="1" collapsed="1" x14ac:dyDescent="0.25">
      <c r="C703" s="9">
        <f>Дельта!$B$237</f>
        <v>2382</v>
      </c>
    </row>
    <row r="704" spans="2:3" hidden="1" outlineLevel="1" collapsed="1" x14ac:dyDescent="0.25">
      <c r="C704" s="9">
        <f>Дельта!$B$263</f>
        <v>3188</v>
      </c>
    </row>
    <row r="705" spans="3:3" hidden="1" outlineLevel="1" collapsed="1" x14ac:dyDescent="0.25">
      <c r="C705" s="9">
        <f>Дельта!$B$289</f>
        <v>1896</v>
      </c>
    </row>
    <row r="706" spans="3:3" hidden="1" outlineLevel="1" collapsed="1" x14ac:dyDescent="0.25">
      <c r="C706" s="9">
        <f>Дельта!$B$315</f>
        <v>3155</v>
      </c>
    </row>
    <row r="707" spans="3:3" hidden="1" outlineLevel="1" collapsed="1" x14ac:dyDescent="0.25">
      <c r="C707" s="9">
        <f>Дельта!$B$341</f>
        <v>3256</v>
      </c>
    </row>
    <row r="708" spans="3:3" hidden="1" outlineLevel="1" collapsed="1" x14ac:dyDescent="0.25">
      <c r="C708" s="9">
        <f>Дельта!$B$367</f>
        <v>2256</v>
      </c>
    </row>
    <row r="709" spans="3:3" hidden="1" outlineLevel="1" collapsed="1" x14ac:dyDescent="0.25">
      <c r="C709" s="9">
        <f>Дельта!$B$393</f>
        <v>1407</v>
      </c>
    </row>
    <row r="710" spans="3:3" hidden="1" outlineLevel="1" collapsed="1" x14ac:dyDescent="0.25">
      <c r="C710" s="9">
        <f>Дельта!$B$419</f>
        <v>618</v>
      </c>
    </row>
    <row r="711" spans="3:3" hidden="1" outlineLevel="1" collapsed="1" x14ac:dyDescent="0.25">
      <c r="C711" s="9">
        <f>Дельта!$B$445</f>
        <v>1097</v>
      </c>
    </row>
    <row r="712" spans="3:3" hidden="1" outlineLevel="1" collapsed="1" x14ac:dyDescent="0.25">
      <c r="C712" s="9">
        <f>Дельта!$B$471</f>
        <v>1650</v>
      </c>
    </row>
    <row r="713" spans="3:3" hidden="1" outlineLevel="1" collapsed="1" x14ac:dyDescent="0.25">
      <c r="C713" s="9">
        <f>Дельта!$B$497</f>
        <v>4539</v>
      </c>
    </row>
    <row r="714" spans="3:3" hidden="1" outlineLevel="1" collapsed="1" x14ac:dyDescent="0.25">
      <c r="C714" s="9">
        <f>Дельта!$B$523</f>
        <v>1828</v>
      </c>
    </row>
    <row r="715" spans="3:3" hidden="1" outlineLevel="1" collapsed="1" x14ac:dyDescent="0.25">
      <c r="C715" s="9">
        <f>Дельта!$B$549</f>
        <v>1179</v>
      </c>
    </row>
    <row r="716" spans="3:3" hidden="1" outlineLevel="1" collapsed="1" x14ac:dyDescent="0.25">
      <c r="C716" s="9">
        <f>Дельта!$B$575</f>
        <v>479</v>
      </c>
    </row>
    <row r="717" spans="3:3" hidden="1" outlineLevel="1" collapsed="1" x14ac:dyDescent="0.25">
      <c r="C717" s="9">
        <f>Дельта!$B$601</f>
        <v>1362</v>
      </c>
    </row>
    <row r="718" spans="3:3" hidden="1" outlineLevel="1" collapsed="1" x14ac:dyDescent="0.25">
      <c r="C718" s="9">
        <f>Дельта!$B$652</f>
        <v>479</v>
      </c>
    </row>
    <row r="719" spans="3:3" hidden="1" outlineLevel="1" collapsed="1" x14ac:dyDescent="0.25">
      <c r="C719" s="9">
        <f>Дельта!$B$679</f>
        <v>1362</v>
      </c>
    </row>
    <row r="720" spans="3:3" hidden="1" outlineLevel="1" collapsed="1" x14ac:dyDescent="0.25">
      <c r="C720" s="9">
        <f>Дельта!$B$705</f>
        <v>788</v>
      </c>
    </row>
    <row r="721" spans="1:3" hidden="1" outlineLevel="1" collapsed="1" x14ac:dyDescent="0.25">
      <c r="C721" s="9">
        <f>Дельта!$B$730</f>
        <v>435</v>
      </c>
    </row>
    <row r="722" spans="1:3" hidden="1" outlineLevel="1" collapsed="1" x14ac:dyDescent="0.25">
      <c r="C722" s="9">
        <f>Дельта!$B$756</f>
        <v>744</v>
      </c>
    </row>
    <row r="723" spans="1:3" hidden="1" outlineLevel="1" collapsed="1" x14ac:dyDescent="0.25">
      <c r="C723" s="9">
        <f>Дельта!$B$807</f>
        <v>870</v>
      </c>
    </row>
    <row r="724" spans="1:3" hidden="1" outlineLevel="1" collapsed="1" x14ac:dyDescent="0.25">
      <c r="C724" s="9">
        <f>Дельта!$B$833</f>
        <v>309</v>
      </c>
    </row>
    <row r="725" spans="1:3" hidden="1" outlineLevel="1" collapsed="1" x14ac:dyDescent="0.25">
      <c r="C725" s="9">
        <f>Дельта!$B$859</f>
        <v>1740</v>
      </c>
    </row>
    <row r="726" spans="1:3" hidden="1" outlineLevel="1" collapsed="1" x14ac:dyDescent="0.25">
      <c r="C726" s="9">
        <f>Дельта!$B$885</f>
        <v>2232</v>
      </c>
    </row>
    <row r="727" spans="1:3" hidden="1" outlineLevel="1" collapsed="1" x14ac:dyDescent="0.25">
      <c r="C727" s="9">
        <f>Дельта!$B$911</f>
        <v>744</v>
      </c>
    </row>
    <row r="728" spans="1:3" hidden="1" outlineLevel="1" collapsed="1" x14ac:dyDescent="0.25">
      <c r="C728" s="9">
        <f>Дельта!$B$962</f>
        <v>574</v>
      </c>
    </row>
    <row r="729" spans="1:3" hidden="1" outlineLevel="1" collapsed="1" x14ac:dyDescent="0.25">
      <c r="C729" s="9">
        <f>Дельта!$B$1013</f>
        <v>435</v>
      </c>
    </row>
    <row r="730" spans="1:3" hidden="1" outlineLevel="1" collapsed="1" x14ac:dyDescent="0.25">
      <c r="C730" s="9">
        <f>Дельта!$B$1038</f>
        <v>574</v>
      </c>
    </row>
    <row r="731" spans="1:3" hidden="1" outlineLevel="1" collapsed="1" x14ac:dyDescent="0.25">
      <c r="C731" s="9">
        <f>Дельта!$B$1064</f>
        <v>2018</v>
      </c>
    </row>
    <row r="732" spans="1:3" hidden="1" outlineLevel="1" collapsed="1" x14ac:dyDescent="0.25">
      <c r="C732" s="9">
        <f>Дельта!$B$1211</f>
        <v>574</v>
      </c>
    </row>
    <row r="733" spans="1:3" collapsed="1" x14ac:dyDescent="0.25">
      <c r="A733" t="s">
        <v>5</v>
      </c>
      <c r="C733" s="9">
        <f>SUM(C591:C732)</f>
        <v>293057.15000000002</v>
      </c>
    </row>
    <row r="734" spans="1:3" hidden="1" outlineLevel="1" x14ac:dyDescent="0.25">
      <c r="B734" t="s">
        <v>72</v>
      </c>
      <c r="C734" s="9">
        <f>Альфа!$B$6</f>
        <v>5402</v>
      </c>
    </row>
    <row r="735" spans="1:3" hidden="1" outlineLevel="1" collapsed="1" x14ac:dyDescent="0.25">
      <c r="C735" s="9">
        <f>Альфа!$B$32</f>
        <v>3986</v>
      </c>
    </row>
    <row r="736" spans="1:3" hidden="1" outlineLevel="1" collapsed="1" x14ac:dyDescent="0.25">
      <c r="C736" s="9">
        <f>Альфа!$B$58</f>
        <v>3654</v>
      </c>
    </row>
    <row r="737" spans="2:3" hidden="1" outlineLevel="1" collapsed="1" x14ac:dyDescent="0.25">
      <c r="C737" s="9">
        <f>Альфа!$B$84</f>
        <v>2314</v>
      </c>
    </row>
    <row r="738" spans="2:3" hidden="1" outlineLevel="1" collapsed="1" x14ac:dyDescent="0.25">
      <c r="C738" s="9">
        <f>Альфа!$B$110</f>
        <v>4550</v>
      </c>
    </row>
    <row r="739" spans="2:3" hidden="1" outlineLevel="1" collapsed="1" x14ac:dyDescent="0.25">
      <c r="C739" s="9">
        <f>Альфа!$B$137</f>
        <v>176</v>
      </c>
    </row>
    <row r="740" spans="2:3" hidden="1" outlineLevel="1" collapsed="1" x14ac:dyDescent="0.25">
      <c r="C740" s="9">
        <f>Альфа!$B$242</f>
        <v>1422</v>
      </c>
    </row>
    <row r="741" spans="2:3" hidden="1" outlineLevel="1" collapsed="1" x14ac:dyDescent="0.25">
      <c r="C741" s="9">
        <f>Альфа!$B$373</f>
        <v>1512</v>
      </c>
    </row>
    <row r="742" spans="2:3" hidden="1" outlineLevel="1" collapsed="1" x14ac:dyDescent="0.25">
      <c r="C742" s="9">
        <f>Альфа!$B$476</f>
        <v>3146</v>
      </c>
    </row>
    <row r="743" spans="2:3" hidden="1" outlineLevel="1" collapsed="1" x14ac:dyDescent="0.25">
      <c r="C743" s="9">
        <f>Альфа!$B$576</f>
        <v>1760</v>
      </c>
    </row>
    <row r="744" spans="2:3" hidden="1" outlineLevel="1" collapsed="1" x14ac:dyDescent="0.25">
      <c r="C744" s="9">
        <f>Альфа!$B$750</f>
        <v>1760</v>
      </c>
    </row>
    <row r="745" spans="2:3" hidden="1" outlineLevel="1" collapsed="1" x14ac:dyDescent="0.25">
      <c r="C745" s="9">
        <f>Альфа!$B$997</f>
        <v>1760</v>
      </c>
    </row>
    <row r="746" spans="2:3" hidden="1" outlineLevel="1" collapsed="1" x14ac:dyDescent="0.25">
      <c r="C746" s="9">
        <f>Альфа!$B$1048</f>
        <v>5280</v>
      </c>
    </row>
    <row r="747" spans="2:3" hidden="1" outlineLevel="1" collapsed="1" x14ac:dyDescent="0.25">
      <c r="B747" t="s">
        <v>72</v>
      </c>
      <c r="C747" s="9">
        <f>Бета!$B$6</f>
        <v>6477.89</v>
      </c>
    </row>
    <row r="748" spans="2:3" hidden="1" outlineLevel="1" collapsed="1" x14ac:dyDescent="0.25">
      <c r="C748" s="9">
        <f>Бета!$B$28</f>
        <v>3553.62</v>
      </c>
    </row>
    <row r="749" spans="2:3" hidden="1" outlineLevel="1" collapsed="1" x14ac:dyDescent="0.25">
      <c r="C749" s="9">
        <f>Бета!$B$50</f>
        <v>1436</v>
      </c>
    </row>
    <row r="750" spans="2:3" hidden="1" outlineLevel="1" collapsed="1" x14ac:dyDescent="0.25">
      <c r="C750" s="9">
        <f>Бета!$B$72</f>
        <v>4962.6499999999996</v>
      </c>
    </row>
    <row r="751" spans="2:3" hidden="1" outlineLevel="1" collapsed="1" x14ac:dyDescent="0.25">
      <c r="C751" s="9">
        <f>Бета!$B$94</f>
        <v>8389.8700000000008</v>
      </c>
    </row>
    <row r="752" spans="2:3" hidden="1" outlineLevel="1" collapsed="1" x14ac:dyDescent="0.25">
      <c r="C752" s="9">
        <f>Бета!$B$116</f>
        <v>8425.01</v>
      </c>
    </row>
    <row r="753" spans="3:3" hidden="1" outlineLevel="1" collapsed="1" x14ac:dyDescent="0.25">
      <c r="C753" s="9">
        <f>Бета!$B$138</f>
        <v>9899.23</v>
      </c>
    </row>
    <row r="754" spans="3:3" hidden="1" outlineLevel="1" collapsed="1" x14ac:dyDescent="0.25">
      <c r="C754" s="9">
        <f>Бета!$B$160</f>
        <v>2562</v>
      </c>
    </row>
    <row r="755" spans="3:3" hidden="1" outlineLevel="1" collapsed="1" x14ac:dyDescent="0.25">
      <c r="C755" s="9">
        <f>Бета!$B$182</f>
        <v>5708.99</v>
      </c>
    </row>
    <row r="756" spans="3:3" hidden="1" outlineLevel="1" collapsed="1" x14ac:dyDescent="0.25">
      <c r="C756" s="9">
        <f>Бета!$B$204</f>
        <v>7671.36</v>
      </c>
    </row>
    <row r="757" spans="3:3" hidden="1" outlineLevel="1" collapsed="1" x14ac:dyDescent="0.25">
      <c r="C757" s="9">
        <f>Бета!$B$226</f>
        <v>1598</v>
      </c>
    </row>
    <row r="758" spans="3:3" hidden="1" outlineLevel="1" collapsed="1" x14ac:dyDescent="0.25">
      <c r="C758" s="9">
        <f>Бета!$B$248</f>
        <v>4066.56</v>
      </c>
    </row>
    <row r="759" spans="3:3" hidden="1" outlineLevel="1" collapsed="1" x14ac:dyDescent="0.25">
      <c r="C759" s="9">
        <f>Бета!$B$269</f>
        <v>2639.56</v>
      </c>
    </row>
    <row r="760" spans="3:3" hidden="1" outlineLevel="1" collapsed="1" x14ac:dyDescent="0.25">
      <c r="C760" s="9">
        <f>Бета!$B$291</f>
        <v>7281.64</v>
      </c>
    </row>
    <row r="761" spans="3:3" hidden="1" outlineLevel="1" collapsed="1" x14ac:dyDescent="0.25">
      <c r="C761" s="9">
        <f>Бета!$B$313</f>
        <v>4215.17</v>
      </c>
    </row>
    <row r="762" spans="3:3" hidden="1" outlineLevel="1" collapsed="1" x14ac:dyDescent="0.25">
      <c r="C762" s="9">
        <f>Бета!$B$334</f>
        <v>3422</v>
      </c>
    </row>
    <row r="763" spans="3:3" hidden="1" outlineLevel="1" collapsed="1" x14ac:dyDescent="0.25">
      <c r="C763" s="9">
        <f>Бета!$B$355</f>
        <v>6060.15</v>
      </c>
    </row>
    <row r="764" spans="3:3" hidden="1" outlineLevel="1" collapsed="1" x14ac:dyDescent="0.25">
      <c r="C764" s="9">
        <f>Бета!$B$376</f>
        <v>4342</v>
      </c>
    </row>
    <row r="765" spans="3:3" hidden="1" outlineLevel="1" collapsed="1" x14ac:dyDescent="0.25">
      <c r="C765" s="9">
        <f>Бета!$B$397</f>
        <v>2837</v>
      </c>
    </row>
    <row r="766" spans="3:3" hidden="1" outlineLevel="1" collapsed="1" x14ac:dyDescent="0.25">
      <c r="C766" s="9">
        <f>Бета!$B$418</f>
        <v>12604.82</v>
      </c>
    </row>
    <row r="767" spans="3:3" hidden="1" outlineLevel="1" collapsed="1" x14ac:dyDescent="0.25">
      <c r="C767" s="9">
        <f>Бета!$B$439</f>
        <v>4142</v>
      </c>
    </row>
    <row r="768" spans="3:3" hidden="1" outlineLevel="1" collapsed="1" x14ac:dyDescent="0.25">
      <c r="C768" s="9">
        <f>Бета!$B$460</f>
        <v>2890.56</v>
      </c>
    </row>
    <row r="769" spans="3:3" hidden="1" outlineLevel="1" collapsed="1" x14ac:dyDescent="0.25">
      <c r="C769" s="9">
        <f>Бета!$B$481</f>
        <v>5357</v>
      </c>
    </row>
    <row r="770" spans="3:3" hidden="1" outlineLevel="1" collapsed="1" x14ac:dyDescent="0.25">
      <c r="C770" s="9">
        <f>Бета!$B$502</f>
        <v>4441</v>
      </c>
    </row>
    <row r="771" spans="3:3" hidden="1" outlineLevel="1" collapsed="1" x14ac:dyDescent="0.25">
      <c r="C771" s="9">
        <f>Бета!$B$524</f>
        <v>5000.43</v>
      </c>
    </row>
    <row r="772" spans="3:3" hidden="1" outlineLevel="1" collapsed="1" x14ac:dyDescent="0.25">
      <c r="C772" s="9">
        <f>Бета!$B$543</f>
        <v>284</v>
      </c>
    </row>
    <row r="773" spans="3:3" hidden="1" outlineLevel="1" collapsed="1" x14ac:dyDescent="0.25">
      <c r="C773" s="9">
        <f>Бета!$B$563</f>
        <v>2644.21</v>
      </c>
    </row>
    <row r="774" spans="3:3" hidden="1" outlineLevel="1" collapsed="1" x14ac:dyDescent="0.25">
      <c r="C774" s="9">
        <f>Бета!$B$583</f>
        <v>1084.03</v>
      </c>
    </row>
    <row r="775" spans="3:3" hidden="1" outlineLevel="1" collapsed="1" x14ac:dyDescent="0.25">
      <c r="C775" s="9">
        <f>Бета!$B$622</f>
        <v>994</v>
      </c>
    </row>
    <row r="776" spans="3:3" hidden="1" outlineLevel="1" collapsed="1" x14ac:dyDescent="0.25">
      <c r="C776" s="9">
        <f>Бета!$B$642</f>
        <v>3453.3</v>
      </c>
    </row>
    <row r="777" spans="3:3" hidden="1" outlineLevel="1" collapsed="1" x14ac:dyDescent="0.25">
      <c r="C777" s="9">
        <f>Бета!$B$662</f>
        <v>3986.58</v>
      </c>
    </row>
    <row r="778" spans="3:3" hidden="1" outlineLevel="1" collapsed="1" x14ac:dyDescent="0.25">
      <c r="C778" s="9">
        <f>Бета!$B$683</f>
        <v>142</v>
      </c>
    </row>
    <row r="779" spans="3:3" hidden="1" outlineLevel="1" collapsed="1" x14ac:dyDescent="0.25">
      <c r="C779" s="9">
        <f>Бета!$B$703</f>
        <v>746</v>
      </c>
    </row>
    <row r="780" spans="3:3" hidden="1" outlineLevel="1" collapsed="1" x14ac:dyDescent="0.25">
      <c r="C780" s="9">
        <f>Бета!$B$724</f>
        <v>4266.1499999999996</v>
      </c>
    </row>
    <row r="781" spans="3:3" hidden="1" outlineLevel="1" collapsed="1" x14ac:dyDescent="0.25">
      <c r="C781" s="9">
        <f>Бета!$B$744</f>
        <v>2014.65</v>
      </c>
    </row>
    <row r="782" spans="3:3" hidden="1" outlineLevel="1" collapsed="1" x14ac:dyDescent="0.25">
      <c r="C782" s="9">
        <f>Бета!$B$764</f>
        <v>2059.56</v>
      </c>
    </row>
    <row r="783" spans="3:3" hidden="1" outlineLevel="1" collapsed="1" x14ac:dyDescent="0.25">
      <c r="C783" s="9">
        <f>Бета!$B$784</f>
        <v>1578.65</v>
      </c>
    </row>
    <row r="784" spans="3:3" hidden="1" outlineLevel="1" collapsed="1" x14ac:dyDescent="0.25">
      <c r="C784" s="9">
        <f>Бета!$B$804</f>
        <v>426</v>
      </c>
    </row>
    <row r="785" spans="2:3" hidden="1" outlineLevel="1" collapsed="1" x14ac:dyDescent="0.25">
      <c r="C785" s="9">
        <f>Бета!$B$824</f>
        <v>1430</v>
      </c>
    </row>
    <row r="786" spans="2:3" hidden="1" outlineLevel="1" collapsed="1" x14ac:dyDescent="0.25">
      <c r="C786" s="9">
        <f>Бета!$B$844</f>
        <v>6998.15</v>
      </c>
    </row>
    <row r="787" spans="2:3" hidden="1" outlineLevel="1" collapsed="1" x14ac:dyDescent="0.25">
      <c r="C787" s="9">
        <f>Бета!$B$864</f>
        <v>568</v>
      </c>
    </row>
    <row r="788" spans="2:3" hidden="1" outlineLevel="1" collapsed="1" x14ac:dyDescent="0.25">
      <c r="C788" s="9">
        <f>Бета!$B$884</f>
        <v>1705.12</v>
      </c>
    </row>
    <row r="789" spans="2:3" hidden="1" outlineLevel="1" collapsed="1" x14ac:dyDescent="0.25">
      <c r="C789" s="9">
        <f>Бета!$B$904</f>
        <v>1879.3</v>
      </c>
    </row>
    <row r="790" spans="2:3" hidden="1" outlineLevel="1" collapsed="1" x14ac:dyDescent="0.25">
      <c r="C790" s="9">
        <f>Бета!$B$923</f>
        <v>2221.15</v>
      </c>
    </row>
    <row r="791" spans="2:3" hidden="1" outlineLevel="1" collapsed="1" x14ac:dyDescent="0.25">
      <c r="C791" s="9">
        <f>Бета!$B$943</f>
        <v>1010.65</v>
      </c>
    </row>
    <row r="792" spans="2:3" hidden="1" outlineLevel="1" collapsed="1" x14ac:dyDescent="0.25">
      <c r="C792" s="9">
        <f>Бета!$B$963</f>
        <v>2908.52</v>
      </c>
    </row>
    <row r="793" spans="2:3" hidden="1" outlineLevel="1" collapsed="1" x14ac:dyDescent="0.25">
      <c r="C793" s="9">
        <f>Бета!$B$983</f>
        <v>2775.56</v>
      </c>
    </row>
    <row r="794" spans="2:3" hidden="1" outlineLevel="1" collapsed="1" x14ac:dyDescent="0.25">
      <c r="B794" t="s">
        <v>72</v>
      </c>
      <c r="C794" s="9">
        <f>Гамма!$B$6</f>
        <v>8925.64</v>
      </c>
    </row>
    <row r="795" spans="2:3" hidden="1" outlineLevel="1" collapsed="1" x14ac:dyDescent="0.25">
      <c r="C795" s="9">
        <f>Гамма!$B$32</f>
        <v>11791.87</v>
      </c>
    </row>
    <row r="796" spans="2:3" hidden="1" outlineLevel="1" collapsed="1" x14ac:dyDescent="0.25">
      <c r="C796" s="9">
        <f>Гамма!$B$59</f>
        <v>11747.92</v>
      </c>
    </row>
    <row r="797" spans="2:3" hidden="1" outlineLevel="1" collapsed="1" x14ac:dyDescent="0.25">
      <c r="C797" s="9">
        <f>Гамма!$B$86</f>
        <v>19068.669999999998</v>
      </c>
    </row>
    <row r="798" spans="2:3" hidden="1" outlineLevel="1" collapsed="1" x14ac:dyDescent="0.25">
      <c r="C798" s="9">
        <f>Гамма!$B$112</f>
        <v>8250.51</v>
      </c>
    </row>
    <row r="799" spans="2:3" hidden="1" outlineLevel="1" collapsed="1" x14ac:dyDescent="0.25">
      <c r="C799" s="9">
        <f>Гамма!$B$138</f>
        <v>8699.0300000000007</v>
      </c>
    </row>
    <row r="800" spans="2:3" hidden="1" outlineLevel="1" collapsed="1" x14ac:dyDescent="0.25">
      <c r="C800" s="9">
        <f>Гамма!$B$164</f>
        <v>13369.54</v>
      </c>
    </row>
    <row r="801" spans="3:3" hidden="1" outlineLevel="1" collapsed="1" x14ac:dyDescent="0.25">
      <c r="C801" s="9">
        <f>Гамма!$B$191</f>
        <v>6569.77</v>
      </c>
    </row>
    <row r="802" spans="3:3" hidden="1" outlineLevel="1" collapsed="1" x14ac:dyDescent="0.25">
      <c r="C802" s="9">
        <f>Гамма!$B$218</f>
        <v>13601.48</v>
      </c>
    </row>
    <row r="803" spans="3:3" hidden="1" outlineLevel="1" collapsed="1" x14ac:dyDescent="0.25">
      <c r="C803" s="9">
        <f>Гамма!$B$244</f>
        <v>3653.87</v>
      </c>
    </row>
    <row r="804" spans="3:3" hidden="1" outlineLevel="1" collapsed="1" x14ac:dyDescent="0.25">
      <c r="C804" s="9">
        <f>Гамма!$B$270</f>
        <v>3138.87</v>
      </c>
    </row>
    <row r="805" spans="3:3" hidden="1" outlineLevel="1" collapsed="1" x14ac:dyDescent="0.25">
      <c r="C805" s="9">
        <f>Гамма!$B$296</f>
        <v>3345.61</v>
      </c>
    </row>
    <row r="806" spans="3:3" hidden="1" outlineLevel="1" collapsed="1" x14ac:dyDescent="0.25">
      <c r="C806" s="9">
        <f>Гамма!$B$322</f>
        <v>7715.74</v>
      </c>
    </row>
    <row r="807" spans="3:3" hidden="1" outlineLevel="1" collapsed="1" x14ac:dyDescent="0.25">
      <c r="C807" s="9">
        <f>Гамма!$B$348</f>
        <v>5856.74</v>
      </c>
    </row>
    <row r="808" spans="3:3" hidden="1" outlineLevel="1" collapsed="1" x14ac:dyDescent="0.25">
      <c r="C808" s="9">
        <f>Гамма!$B$373</f>
        <v>771.87</v>
      </c>
    </row>
    <row r="809" spans="3:3" hidden="1" outlineLevel="1" collapsed="1" x14ac:dyDescent="0.25">
      <c r="C809" s="9">
        <f>Гамма!$B$399</f>
        <v>4955.4799999999996</v>
      </c>
    </row>
    <row r="810" spans="3:3" hidden="1" outlineLevel="1" collapsed="1" x14ac:dyDescent="0.25">
      <c r="C810" s="9">
        <f>Гамма!$B$426</f>
        <v>5102.87</v>
      </c>
    </row>
    <row r="811" spans="3:3" hidden="1" outlineLevel="1" collapsed="1" x14ac:dyDescent="0.25">
      <c r="C811" s="9">
        <f>Гамма!$B$453</f>
        <v>4561.74</v>
      </c>
    </row>
    <row r="812" spans="3:3" hidden="1" outlineLevel="1" collapsed="1" x14ac:dyDescent="0.25">
      <c r="C812" s="9">
        <f>Гамма!$B$479</f>
        <v>1176</v>
      </c>
    </row>
    <row r="813" spans="3:3" hidden="1" outlineLevel="1" collapsed="1" x14ac:dyDescent="0.25">
      <c r="C813" s="9">
        <f>Гамма!$B$505</f>
        <v>3191</v>
      </c>
    </row>
    <row r="814" spans="3:3" hidden="1" outlineLevel="1" collapsed="1" x14ac:dyDescent="0.25">
      <c r="C814" s="9">
        <f>Гамма!$B$531</f>
        <v>3290.87</v>
      </c>
    </row>
    <row r="815" spans="3:3" hidden="1" outlineLevel="1" collapsed="1" x14ac:dyDescent="0.25">
      <c r="C815" s="9">
        <f>Гамма!$B$557</f>
        <v>1470</v>
      </c>
    </row>
    <row r="816" spans="3:3" hidden="1" outlineLevel="1" collapsed="1" x14ac:dyDescent="0.25">
      <c r="C816" s="9">
        <f>Гамма!$B$582</f>
        <v>1470</v>
      </c>
    </row>
    <row r="817" spans="3:3" hidden="1" outlineLevel="1" collapsed="1" x14ac:dyDescent="0.25">
      <c r="C817" s="9">
        <f>Гамма!$B$608</f>
        <v>1452</v>
      </c>
    </row>
    <row r="818" spans="3:3" hidden="1" outlineLevel="1" collapsed="1" x14ac:dyDescent="0.25">
      <c r="C818" s="9">
        <f>Гамма!$B$634</f>
        <v>588</v>
      </c>
    </row>
    <row r="819" spans="3:3" hidden="1" outlineLevel="1" collapsed="1" x14ac:dyDescent="0.25">
      <c r="C819" s="9">
        <f>Гамма!$B$660</f>
        <v>588</v>
      </c>
    </row>
    <row r="820" spans="3:3" hidden="1" outlineLevel="1" collapsed="1" x14ac:dyDescent="0.25">
      <c r="C820" s="9">
        <f>Гамма!$B$686</f>
        <v>2492.87</v>
      </c>
    </row>
    <row r="821" spans="3:3" hidden="1" outlineLevel="1" collapsed="1" x14ac:dyDescent="0.25">
      <c r="C821" s="9">
        <f>Гамма!$B$712</f>
        <v>2585</v>
      </c>
    </row>
    <row r="822" spans="3:3" hidden="1" outlineLevel="1" collapsed="1" x14ac:dyDescent="0.25">
      <c r="C822" s="9">
        <f>Гамма!$B$762</f>
        <v>1140</v>
      </c>
    </row>
    <row r="823" spans="3:3" hidden="1" outlineLevel="1" collapsed="1" x14ac:dyDescent="0.25">
      <c r="C823" s="9">
        <f>Гамма!$B$786</f>
        <v>3524</v>
      </c>
    </row>
    <row r="824" spans="3:3" hidden="1" outlineLevel="1" collapsed="1" x14ac:dyDescent="0.25">
      <c r="C824" s="9">
        <f>Гамма!$B$812</f>
        <v>2642</v>
      </c>
    </row>
    <row r="825" spans="3:3" hidden="1" outlineLevel="1" collapsed="1" x14ac:dyDescent="0.25">
      <c r="C825" s="9">
        <f>Гамма!$B$838</f>
        <v>588</v>
      </c>
    </row>
    <row r="826" spans="3:3" hidden="1" outlineLevel="1" collapsed="1" x14ac:dyDescent="0.25">
      <c r="C826" s="9">
        <f>Гамма!$B$864</f>
        <v>882</v>
      </c>
    </row>
    <row r="827" spans="3:3" hidden="1" outlineLevel="1" collapsed="1" x14ac:dyDescent="0.25">
      <c r="C827" s="9">
        <f>Гамма!$B$890</f>
        <v>1360</v>
      </c>
    </row>
    <row r="828" spans="3:3" hidden="1" outlineLevel="1" collapsed="1" x14ac:dyDescent="0.25">
      <c r="C828" s="9">
        <f>Гамма!$B$916</f>
        <v>294</v>
      </c>
    </row>
    <row r="829" spans="3:3" hidden="1" outlineLevel="1" collapsed="1" x14ac:dyDescent="0.25">
      <c r="C829" s="9">
        <f>Гамма!$B$941</f>
        <v>1133</v>
      </c>
    </row>
    <row r="830" spans="3:3" hidden="1" outlineLevel="1" collapsed="1" x14ac:dyDescent="0.25">
      <c r="C830" s="9">
        <f>Гамма!$B$967</f>
        <v>294</v>
      </c>
    </row>
    <row r="831" spans="3:3" hidden="1" outlineLevel="1" collapsed="1" x14ac:dyDescent="0.25">
      <c r="C831" s="9">
        <f>Гамма!$B$993</f>
        <v>477.87</v>
      </c>
    </row>
    <row r="832" spans="3:3" hidden="1" outlineLevel="1" collapsed="1" x14ac:dyDescent="0.25">
      <c r="C832" s="9">
        <f>Гамма!$B$1018</f>
        <v>294</v>
      </c>
    </row>
    <row r="833" spans="2:3" hidden="1" outlineLevel="1" collapsed="1" x14ac:dyDescent="0.25">
      <c r="C833" s="9">
        <f>Гамма!$B$1093</f>
        <v>1022.87</v>
      </c>
    </row>
    <row r="834" spans="2:3" hidden="1" outlineLevel="1" collapsed="1" x14ac:dyDescent="0.25">
      <c r="C834" s="9">
        <f>Гамма!$B$1167</f>
        <v>8495</v>
      </c>
    </row>
    <row r="835" spans="2:3" hidden="1" outlineLevel="1" collapsed="1" x14ac:dyDescent="0.25">
      <c r="C835" s="9">
        <f>Гамма!$B$1241</f>
        <v>973</v>
      </c>
    </row>
    <row r="836" spans="2:3" hidden="1" outlineLevel="1" collapsed="1" x14ac:dyDescent="0.25">
      <c r="B836" t="s">
        <v>72</v>
      </c>
      <c r="C836" s="9">
        <f>Дельта!$B$6</f>
        <v>34836.870000000003</v>
      </c>
    </row>
    <row r="837" spans="2:3" hidden="1" outlineLevel="1" collapsed="1" x14ac:dyDescent="0.25">
      <c r="C837" s="9">
        <f>Дельта!$B$32</f>
        <v>27385.78</v>
      </c>
    </row>
    <row r="838" spans="2:3" hidden="1" outlineLevel="1" collapsed="1" x14ac:dyDescent="0.25">
      <c r="C838" s="9">
        <f>Дельта!$B$58</f>
        <v>40910.160000000003</v>
      </c>
    </row>
    <row r="839" spans="2:3" hidden="1" outlineLevel="1" collapsed="1" x14ac:dyDescent="0.25">
      <c r="C839" s="9">
        <f>Дельта!$B$84</f>
        <v>31372</v>
      </c>
    </row>
    <row r="840" spans="2:3" hidden="1" outlineLevel="1" collapsed="1" x14ac:dyDescent="0.25">
      <c r="C840" s="9">
        <f>Дельта!$B$110</f>
        <v>35461</v>
      </c>
    </row>
    <row r="841" spans="2:3" hidden="1" outlineLevel="1" collapsed="1" x14ac:dyDescent="0.25">
      <c r="C841" s="9">
        <f>Дельта!$B$136</f>
        <v>64233</v>
      </c>
    </row>
    <row r="842" spans="2:3" hidden="1" outlineLevel="1" collapsed="1" x14ac:dyDescent="0.25">
      <c r="C842" s="9">
        <f>Дельта!$B$161</f>
        <v>44647.86</v>
      </c>
    </row>
    <row r="843" spans="2:3" hidden="1" outlineLevel="1" collapsed="1" x14ac:dyDescent="0.25">
      <c r="C843" s="9">
        <f>Дельта!$B$187</f>
        <v>20627</v>
      </c>
    </row>
    <row r="844" spans="2:3" hidden="1" outlineLevel="1" collapsed="1" x14ac:dyDescent="0.25">
      <c r="C844" s="9">
        <f>Дельта!$B$213</f>
        <v>25406.76</v>
      </c>
    </row>
    <row r="845" spans="2:3" hidden="1" outlineLevel="1" collapsed="1" x14ac:dyDescent="0.25">
      <c r="C845" s="9">
        <f>Дельта!$B$238</f>
        <v>19217</v>
      </c>
    </row>
    <row r="846" spans="2:3" hidden="1" outlineLevel="1" collapsed="1" x14ac:dyDescent="0.25">
      <c r="C846" s="9">
        <f>Дельта!$B$264</f>
        <v>21213</v>
      </c>
    </row>
    <row r="847" spans="2:3" hidden="1" outlineLevel="1" collapsed="1" x14ac:dyDescent="0.25">
      <c r="C847" s="9">
        <f>Дельта!$B$290</f>
        <v>16388</v>
      </c>
    </row>
    <row r="848" spans="2:3" hidden="1" outlineLevel="1" collapsed="1" x14ac:dyDescent="0.25">
      <c r="C848" s="9">
        <f>Дельта!$B$316</f>
        <v>39559</v>
      </c>
    </row>
    <row r="849" spans="3:3" hidden="1" outlineLevel="1" collapsed="1" x14ac:dyDescent="0.25">
      <c r="C849" s="9">
        <f>Дельта!$B$342</f>
        <v>39742</v>
      </c>
    </row>
    <row r="850" spans="3:3" hidden="1" outlineLevel="1" collapsed="1" x14ac:dyDescent="0.25">
      <c r="C850" s="9">
        <f>Дельта!$B$368</f>
        <v>24298</v>
      </c>
    </row>
    <row r="851" spans="3:3" hidden="1" outlineLevel="1" collapsed="1" x14ac:dyDescent="0.25">
      <c r="C851" s="9">
        <f>Дельта!$B$394</f>
        <v>26274</v>
      </c>
    </row>
    <row r="852" spans="3:3" hidden="1" outlineLevel="1" collapsed="1" x14ac:dyDescent="0.25">
      <c r="C852" s="9">
        <f>Дельта!$B$420</f>
        <v>21092</v>
      </c>
    </row>
    <row r="853" spans="3:3" hidden="1" outlineLevel="1" collapsed="1" x14ac:dyDescent="0.25">
      <c r="C853" s="9">
        <f>Дельта!$B$446</f>
        <v>21301</v>
      </c>
    </row>
    <row r="854" spans="3:3" hidden="1" outlineLevel="1" collapsed="1" x14ac:dyDescent="0.25">
      <c r="C854" s="9">
        <f>Дельта!$B$472</f>
        <v>39725</v>
      </c>
    </row>
    <row r="855" spans="3:3" hidden="1" outlineLevel="1" collapsed="1" x14ac:dyDescent="0.25">
      <c r="C855" s="9">
        <f>Дельта!$B$498</f>
        <v>44734</v>
      </c>
    </row>
    <row r="856" spans="3:3" hidden="1" outlineLevel="1" collapsed="1" x14ac:dyDescent="0.25">
      <c r="C856" s="9">
        <f>Дельта!$B$524</f>
        <v>25679</v>
      </c>
    </row>
    <row r="857" spans="3:3" hidden="1" outlineLevel="1" collapsed="1" x14ac:dyDescent="0.25">
      <c r="C857" s="9">
        <f>Дельта!$B$550</f>
        <v>14202</v>
      </c>
    </row>
    <row r="858" spans="3:3" hidden="1" outlineLevel="1" collapsed="1" x14ac:dyDescent="0.25">
      <c r="C858" s="9">
        <f>Дельта!$B$576</f>
        <v>12360</v>
      </c>
    </row>
    <row r="859" spans="3:3" hidden="1" outlineLevel="1" collapsed="1" x14ac:dyDescent="0.25">
      <c r="C859" s="9">
        <f>Дельта!$B$602</f>
        <v>12378</v>
      </c>
    </row>
    <row r="860" spans="3:3" hidden="1" outlineLevel="1" collapsed="1" x14ac:dyDescent="0.25">
      <c r="C860" s="9">
        <f>Дельта!$B$627</f>
        <v>14232</v>
      </c>
    </row>
    <row r="861" spans="3:3" hidden="1" outlineLevel="1" collapsed="1" x14ac:dyDescent="0.25">
      <c r="C861" s="9">
        <f>Дельта!$B$653</f>
        <v>5318</v>
      </c>
    </row>
    <row r="862" spans="3:3" hidden="1" outlineLevel="1" collapsed="1" x14ac:dyDescent="0.25">
      <c r="C862" s="9">
        <f>Дельта!$B$680</f>
        <v>10655</v>
      </c>
    </row>
    <row r="863" spans="3:3" hidden="1" outlineLevel="1" collapsed="1" x14ac:dyDescent="0.25">
      <c r="C863" s="9">
        <f>Дельта!$B$706</f>
        <v>15367</v>
      </c>
    </row>
    <row r="864" spans="3:3" hidden="1" outlineLevel="1" collapsed="1" x14ac:dyDescent="0.25">
      <c r="C864" s="9">
        <f>Дельта!$B$731</f>
        <v>18122</v>
      </c>
    </row>
    <row r="865" spans="3:3" hidden="1" outlineLevel="1" collapsed="1" x14ac:dyDescent="0.25">
      <c r="C865" s="9">
        <f>Дельта!$B$757</f>
        <v>8532.6</v>
      </c>
    </row>
    <row r="866" spans="3:3" hidden="1" outlineLevel="1" collapsed="1" x14ac:dyDescent="0.25">
      <c r="C866" s="9">
        <f>Дельта!$B$782</f>
        <v>3581</v>
      </c>
    </row>
    <row r="867" spans="3:3" hidden="1" outlineLevel="1" collapsed="1" x14ac:dyDescent="0.25">
      <c r="C867" s="9">
        <f>Дельта!$B$808</f>
        <v>6765</v>
      </c>
    </row>
    <row r="868" spans="3:3" hidden="1" outlineLevel="1" collapsed="1" x14ac:dyDescent="0.25">
      <c r="C868" s="9">
        <f>Дельта!$B$834</f>
        <v>6025</v>
      </c>
    </row>
    <row r="869" spans="3:3" hidden="1" outlineLevel="1" collapsed="1" x14ac:dyDescent="0.25">
      <c r="C869" s="9">
        <f>Дельта!$B$860</f>
        <v>11880</v>
      </c>
    </row>
    <row r="870" spans="3:3" hidden="1" outlineLevel="1" collapsed="1" x14ac:dyDescent="0.25">
      <c r="C870" s="9">
        <f>Дельта!$B$886</f>
        <v>8474.5499999999993</v>
      </c>
    </row>
    <row r="871" spans="3:3" hidden="1" outlineLevel="1" collapsed="1" x14ac:dyDescent="0.25">
      <c r="C871" s="9">
        <f>Дельта!$B$912</f>
        <v>5345</v>
      </c>
    </row>
    <row r="872" spans="3:3" hidden="1" outlineLevel="1" collapsed="1" x14ac:dyDescent="0.25">
      <c r="C872" s="9">
        <f>Дельта!$B$937</f>
        <v>5606.84</v>
      </c>
    </row>
    <row r="873" spans="3:3" hidden="1" outlineLevel="1" collapsed="1" x14ac:dyDescent="0.25">
      <c r="C873" s="9">
        <f>Дельта!$B$963</f>
        <v>3303</v>
      </c>
    </row>
    <row r="874" spans="3:3" hidden="1" outlineLevel="1" collapsed="1" x14ac:dyDescent="0.25">
      <c r="C874" s="9">
        <f>Дельта!$B$988</f>
        <v>2691</v>
      </c>
    </row>
    <row r="875" spans="3:3" hidden="1" outlineLevel="1" collapsed="1" x14ac:dyDescent="0.25">
      <c r="C875" s="9">
        <f>Дельта!$B$1014</f>
        <v>6299</v>
      </c>
    </row>
    <row r="876" spans="3:3" hidden="1" outlineLevel="1" collapsed="1" x14ac:dyDescent="0.25">
      <c r="C876" s="9">
        <f>Дельта!$B$1039</f>
        <v>2344</v>
      </c>
    </row>
    <row r="877" spans="3:3" hidden="1" outlineLevel="1" collapsed="1" x14ac:dyDescent="0.25">
      <c r="C877" s="9">
        <f>Дельта!$B$1065</f>
        <v>7242.71</v>
      </c>
    </row>
    <row r="878" spans="3:3" hidden="1" outlineLevel="1" collapsed="1" x14ac:dyDescent="0.25">
      <c r="C878" s="9">
        <f>Дельта!$B$1089</f>
        <v>2450</v>
      </c>
    </row>
    <row r="879" spans="3:3" hidden="1" outlineLevel="1" collapsed="1" x14ac:dyDescent="0.25">
      <c r="C879" s="9">
        <f>Дельта!$B$1114</f>
        <v>620</v>
      </c>
    </row>
    <row r="880" spans="3:3" hidden="1" outlineLevel="1" collapsed="1" x14ac:dyDescent="0.25">
      <c r="C880" s="9">
        <f>Дельта!$B$1139</f>
        <v>5547</v>
      </c>
    </row>
    <row r="881" spans="1:3" hidden="1" outlineLevel="1" collapsed="1" x14ac:dyDescent="0.25">
      <c r="C881" s="9">
        <f>Дельта!$B$1163</f>
        <v>1590</v>
      </c>
    </row>
    <row r="882" spans="1:3" hidden="1" outlineLevel="1" collapsed="1" x14ac:dyDescent="0.25">
      <c r="C882" s="9">
        <f>Дельта!$B$1186</f>
        <v>2061</v>
      </c>
    </row>
    <row r="883" spans="1:3" hidden="1" outlineLevel="1" collapsed="1" x14ac:dyDescent="0.25">
      <c r="C883" s="9">
        <f>Дельта!$B$1212</f>
        <v>163</v>
      </c>
    </row>
    <row r="884" spans="1:3" hidden="1" outlineLevel="1" collapsed="1" x14ac:dyDescent="0.25">
      <c r="C884" s="9">
        <f>Дельта!$B$1236</f>
        <v>2310</v>
      </c>
    </row>
    <row r="885" spans="1:3" collapsed="1" x14ac:dyDescent="0.25">
      <c r="A885" t="s">
        <v>6</v>
      </c>
      <c r="C885" s="9">
        <f>SUM(C734:C884)</f>
        <v>1253999.92</v>
      </c>
    </row>
    <row r="886" spans="1:3" hidden="1" outlineLevel="1" x14ac:dyDescent="0.25">
      <c r="B886" t="s">
        <v>72</v>
      </c>
      <c r="C886" s="9">
        <f>Альфа!$B$7</f>
        <v>219822.79</v>
      </c>
    </row>
    <row r="887" spans="1:3" hidden="1" outlineLevel="1" collapsed="1" x14ac:dyDescent="0.25">
      <c r="C887" s="9">
        <f>Альфа!$B$33</f>
        <v>281781.92</v>
      </c>
    </row>
    <row r="888" spans="1:3" hidden="1" outlineLevel="1" collapsed="1" x14ac:dyDescent="0.25">
      <c r="C888" s="9">
        <f>Альфа!$B$59</f>
        <v>239213.68</v>
      </c>
    </row>
    <row r="889" spans="1:3" hidden="1" outlineLevel="1" collapsed="1" x14ac:dyDescent="0.25">
      <c r="C889" s="9">
        <f>Альфа!$B$85</f>
        <v>256245.69</v>
      </c>
    </row>
    <row r="890" spans="1:3" hidden="1" outlineLevel="1" collapsed="1" x14ac:dyDescent="0.25">
      <c r="C890" s="9">
        <f>Альфа!$B$111</f>
        <v>250739.52</v>
      </c>
    </row>
    <row r="891" spans="1:3" hidden="1" outlineLevel="1" collapsed="1" x14ac:dyDescent="0.25">
      <c r="C891" s="9">
        <f>Альфа!$B$138</f>
        <v>259594.01</v>
      </c>
    </row>
    <row r="892" spans="1:3" hidden="1" outlineLevel="1" collapsed="1" x14ac:dyDescent="0.25">
      <c r="C892" s="9">
        <f>Альфа!$B$164</f>
        <v>272594.28999999998</v>
      </c>
    </row>
    <row r="893" spans="1:3" hidden="1" outlineLevel="1" collapsed="1" x14ac:dyDescent="0.25">
      <c r="C893" s="9">
        <f>Альфа!$B$190</f>
        <v>189069.35</v>
      </c>
    </row>
    <row r="894" spans="1:3" hidden="1" outlineLevel="1" collapsed="1" x14ac:dyDescent="0.25">
      <c r="C894" s="9">
        <f>Альфа!$B$216</f>
        <v>142190.32</v>
      </c>
    </row>
    <row r="895" spans="1:3" hidden="1" outlineLevel="1" collapsed="1" x14ac:dyDescent="0.25">
      <c r="C895" s="9">
        <f>Альфа!$B$243</f>
        <v>155948.17000000001</v>
      </c>
    </row>
    <row r="896" spans="1:3" hidden="1" outlineLevel="1" collapsed="1" x14ac:dyDescent="0.25">
      <c r="C896" s="9">
        <f>Альфа!$B$269</f>
        <v>139197.93</v>
      </c>
    </row>
    <row r="897" spans="3:3" hidden="1" outlineLevel="1" collapsed="1" x14ac:dyDescent="0.25">
      <c r="C897" s="9">
        <f>Альфа!$B$295</f>
        <v>231030.34</v>
      </c>
    </row>
    <row r="898" spans="3:3" hidden="1" outlineLevel="1" collapsed="1" x14ac:dyDescent="0.25">
      <c r="C898" s="9">
        <f>Альфа!$B$321</f>
        <v>347203.69</v>
      </c>
    </row>
    <row r="899" spans="3:3" hidden="1" outlineLevel="1" collapsed="1" x14ac:dyDescent="0.25">
      <c r="C899" s="9">
        <f>Альфа!$B$347</f>
        <v>271932.99</v>
      </c>
    </row>
    <row r="900" spans="3:3" hidden="1" outlineLevel="1" collapsed="1" x14ac:dyDescent="0.25">
      <c r="C900" s="9">
        <f>Альфа!$B$374</f>
        <v>436341.51</v>
      </c>
    </row>
    <row r="901" spans="3:3" hidden="1" outlineLevel="1" collapsed="1" x14ac:dyDescent="0.25">
      <c r="C901" s="9">
        <f>Альфа!$B$400</f>
        <v>216064.82</v>
      </c>
    </row>
    <row r="902" spans="3:3" hidden="1" outlineLevel="1" collapsed="1" x14ac:dyDescent="0.25">
      <c r="C902" s="9">
        <f>Альфа!$B$426</f>
        <v>204872.76</v>
      </c>
    </row>
    <row r="903" spans="3:3" hidden="1" outlineLevel="1" collapsed="1" x14ac:dyDescent="0.25">
      <c r="C903" s="9">
        <f>Альфа!$B$451</f>
        <v>233307.21</v>
      </c>
    </row>
    <row r="904" spans="3:3" hidden="1" outlineLevel="1" collapsed="1" x14ac:dyDescent="0.25">
      <c r="C904" s="9">
        <f>Альфа!$B$477</f>
        <v>260793.32</v>
      </c>
    </row>
    <row r="905" spans="3:3" hidden="1" outlineLevel="1" collapsed="1" x14ac:dyDescent="0.25">
      <c r="C905" s="9">
        <f>Альфа!$B$502</f>
        <v>308606.53999999998</v>
      </c>
    </row>
    <row r="906" spans="3:3" hidden="1" outlineLevel="1" collapsed="1" x14ac:dyDescent="0.25">
      <c r="C906" s="9">
        <f>Альфа!$B$527</f>
        <v>266129.27</v>
      </c>
    </row>
    <row r="907" spans="3:3" hidden="1" outlineLevel="1" collapsed="1" x14ac:dyDescent="0.25">
      <c r="C907" s="9">
        <f>Альфа!$B$552</f>
        <v>131850.44</v>
      </c>
    </row>
    <row r="908" spans="3:3" hidden="1" outlineLevel="1" collapsed="1" x14ac:dyDescent="0.25">
      <c r="C908" s="9">
        <f>Альфа!$B$577</f>
        <v>118110.27</v>
      </c>
    </row>
    <row r="909" spans="3:3" hidden="1" outlineLevel="1" collapsed="1" x14ac:dyDescent="0.25">
      <c r="C909" s="9">
        <f>Альфа!$B$601</f>
        <v>177154.64</v>
      </c>
    </row>
    <row r="910" spans="3:3" hidden="1" outlineLevel="1" collapsed="1" x14ac:dyDescent="0.25">
      <c r="C910" s="9">
        <f>Альфа!$B$626</f>
        <v>168313.02</v>
      </c>
    </row>
    <row r="911" spans="3:3" hidden="1" outlineLevel="1" collapsed="1" x14ac:dyDescent="0.25">
      <c r="C911" s="9">
        <f>Альфа!$B$651</f>
        <v>144467.89000000001</v>
      </c>
    </row>
    <row r="912" spans="3:3" hidden="1" outlineLevel="1" collapsed="1" x14ac:dyDescent="0.25">
      <c r="C912" s="9">
        <f>Альфа!$B$676</f>
        <v>163962.23000000001</v>
      </c>
    </row>
    <row r="913" spans="3:3" hidden="1" outlineLevel="1" collapsed="1" x14ac:dyDescent="0.25">
      <c r="C913" s="9">
        <f>Альфа!$B$701</f>
        <v>134827.4</v>
      </c>
    </row>
    <row r="914" spans="3:3" hidden="1" outlineLevel="1" collapsed="1" x14ac:dyDescent="0.25">
      <c r="C914" s="9">
        <f>Альфа!$B$726</f>
        <v>121051.87</v>
      </c>
    </row>
    <row r="915" spans="3:3" hidden="1" outlineLevel="1" collapsed="1" x14ac:dyDescent="0.25">
      <c r="C915" s="9">
        <f>Альфа!$B$751</f>
        <v>140602.1</v>
      </c>
    </row>
    <row r="916" spans="3:3" hidden="1" outlineLevel="1" collapsed="1" x14ac:dyDescent="0.25">
      <c r="C916" s="9">
        <f>Альфа!$B$776</f>
        <v>125345.52</v>
      </c>
    </row>
    <row r="917" spans="3:3" hidden="1" outlineLevel="1" collapsed="1" x14ac:dyDescent="0.25">
      <c r="C917" s="9">
        <f>Альфа!$B$799</f>
        <v>139306.16</v>
      </c>
    </row>
    <row r="918" spans="3:3" hidden="1" outlineLevel="1" collapsed="1" x14ac:dyDescent="0.25">
      <c r="C918" s="9">
        <f>Альфа!$B$823</f>
        <v>159343.32</v>
      </c>
    </row>
    <row r="919" spans="3:3" hidden="1" outlineLevel="1" collapsed="1" x14ac:dyDescent="0.25">
      <c r="C919" s="9">
        <f>Альфа!$B$848</f>
        <v>256072.55</v>
      </c>
    </row>
    <row r="920" spans="3:3" hidden="1" outlineLevel="1" collapsed="1" x14ac:dyDescent="0.25">
      <c r="C920" s="9">
        <f>Альфа!$B$873</f>
        <v>244663.23</v>
      </c>
    </row>
    <row r="921" spans="3:3" hidden="1" outlineLevel="1" collapsed="1" x14ac:dyDescent="0.25">
      <c r="C921" s="9">
        <f>Альфа!$B$898</f>
        <v>155491.26</v>
      </c>
    </row>
    <row r="922" spans="3:3" hidden="1" outlineLevel="1" collapsed="1" x14ac:dyDescent="0.25">
      <c r="C922" s="9">
        <f>Альфа!$B$923</f>
        <v>94650.28</v>
      </c>
    </row>
    <row r="923" spans="3:3" hidden="1" outlineLevel="1" collapsed="1" x14ac:dyDescent="0.25">
      <c r="C923" s="9">
        <f>Альфа!$B$948</f>
        <v>90496.74</v>
      </c>
    </row>
    <row r="924" spans="3:3" hidden="1" outlineLevel="1" collapsed="1" x14ac:dyDescent="0.25">
      <c r="C924" s="9">
        <f>Альфа!$B$972</f>
        <v>73731.39</v>
      </c>
    </row>
    <row r="925" spans="3:3" hidden="1" outlineLevel="1" collapsed="1" x14ac:dyDescent="0.25">
      <c r="C925" s="9">
        <f>Альфа!$B$998</f>
        <v>90947.92</v>
      </c>
    </row>
    <row r="926" spans="3:3" hidden="1" outlineLevel="1" collapsed="1" x14ac:dyDescent="0.25">
      <c r="C926" s="9">
        <f>Альфа!$B$1023</f>
        <v>97303.28</v>
      </c>
    </row>
    <row r="927" spans="3:3" hidden="1" outlineLevel="1" collapsed="1" x14ac:dyDescent="0.25">
      <c r="C927" s="9">
        <f>Альфа!$B$1049</f>
        <v>79747.16</v>
      </c>
    </row>
    <row r="928" spans="3:3" hidden="1" outlineLevel="1" collapsed="1" x14ac:dyDescent="0.25">
      <c r="C928" s="9">
        <f>Альфа!$B$1074</f>
        <v>87587.06</v>
      </c>
    </row>
    <row r="929" spans="2:3" hidden="1" outlineLevel="1" collapsed="1" x14ac:dyDescent="0.25">
      <c r="C929" s="9">
        <f>Альфа!$B$1098</f>
        <v>100698.55</v>
      </c>
    </row>
    <row r="930" spans="2:3" hidden="1" outlineLevel="1" collapsed="1" x14ac:dyDescent="0.25">
      <c r="C930" s="9">
        <f>Альфа!$B$1123</f>
        <v>110244.68</v>
      </c>
    </row>
    <row r="931" spans="2:3" hidden="1" outlineLevel="1" collapsed="1" x14ac:dyDescent="0.25">
      <c r="C931" s="9">
        <f>Альфа!$B$1148</f>
        <v>109467.36</v>
      </c>
    </row>
    <row r="932" spans="2:3" hidden="1" outlineLevel="1" collapsed="1" x14ac:dyDescent="0.25">
      <c r="C932" s="9">
        <f>Альфа!$B$1174</f>
        <v>117451.91</v>
      </c>
    </row>
    <row r="933" spans="2:3" hidden="1" outlineLevel="1" collapsed="1" x14ac:dyDescent="0.25">
      <c r="C933" s="9">
        <f>Альфа!$B$1200</f>
        <v>142423.71</v>
      </c>
    </row>
    <row r="934" spans="2:3" hidden="1" outlineLevel="1" collapsed="1" x14ac:dyDescent="0.25">
      <c r="C934" s="9">
        <f>Альфа!$B$1226</f>
        <v>95910.27</v>
      </c>
    </row>
    <row r="935" spans="2:3" hidden="1" outlineLevel="1" collapsed="1" x14ac:dyDescent="0.25">
      <c r="B935" t="s">
        <v>72</v>
      </c>
      <c r="C935" s="9">
        <f>Бета!$B$7</f>
        <v>113014.8</v>
      </c>
    </row>
    <row r="936" spans="2:3" hidden="1" outlineLevel="1" collapsed="1" x14ac:dyDescent="0.25">
      <c r="C936" s="9">
        <f>Бета!$B$29</f>
        <v>126993.67</v>
      </c>
    </row>
    <row r="937" spans="2:3" hidden="1" outlineLevel="1" collapsed="1" x14ac:dyDescent="0.25">
      <c r="C937" s="9">
        <f>Бета!$B$51</f>
        <v>90121.01</v>
      </c>
    </row>
    <row r="938" spans="2:3" hidden="1" outlineLevel="1" collapsed="1" x14ac:dyDescent="0.25">
      <c r="C938" s="9">
        <f>Бета!$B$73</f>
        <v>115140.04</v>
      </c>
    </row>
    <row r="939" spans="2:3" hidden="1" outlineLevel="1" collapsed="1" x14ac:dyDescent="0.25">
      <c r="C939" s="9">
        <f>Бета!$B$95</f>
        <v>56593.36</v>
      </c>
    </row>
    <row r="940" spans="2:3" hidden="1" outlineLevel="1" collapsed="1" x14ac:dyDescent="0.25">
      <c r="C940" s="9">
        <f>Бета!$B$117</f>
        <v>104599.65</v>
      </c>
    </row>
    <row r="941" spans="2:3" hidden="1" outlineLevel="1" collapsed="1" x14ac:dyDescent="0.25">
      <c r="C941" s="9">
        <f>Бета!$B$139</f>
        <v>90256.85</v>
      </c>
    </row>
    <row r="942" spans="2:3" hidden="1" outlineLevel="1" collapsed="1" x14ac:dyDescent="0.25">
      <c r="C942" s="9">
        <f>Бета!$B$161</f>
        <v>42639.63</v>
      </c>
    </row>
    <row r="943" spans="2:3" hidden="1" outlineLevel="1" collapsed="1" x14ac:dyDescent="0.25">
      <c r="C943" s="9">
        <f>Бета!$B$183</f>
        <v>35872.89</v>
      </c>
    </row>
    <row r="944" spans="2:3" hidden="1" outlineLevel="1" collapsed="1" x14ac:dyDescent="0.25">
      <c r="C944" s="9">
        <f>Бета!$B$205</f>
        <v>43871.54</v>
      </c>
    </row>
    <row r="945" spans="3:3" hidden="1" outlineLevel="1" collapsed="1" x14ac:dyDescent="0.25">
      <c r="C945" s="9">
        <f>Бета!$B$227</f>
        <v>54517.73</v>
      </c>
    </row>
    <row r="946" spans="3:3" hidden="1" outlineLevel="1" collapsed="1" x14ac:dyDescent="0.25">
      <c r="C946" s="9">
        <f>Бета!$B$249</f>
        <v>45527.39</v>
      </c>
    </row>
    <row r="947" spans="3:3" hidden="1" outlineLevel="1" collapsed="1" x14ac:dyDescent="0.25">
      <c r="C947" s="9">
        <f>Бета!$B$270</f>
        <v>75248.66</v>
      </c>
    </row>
    <row r="948" spans="3:3" hidden="1" outlineLevel="1" collapsed="1" x14ac:dyDescent="0.25">
      <c r="C948" s="9">
        <f>Бета!$B$292</f>
        <v>80535.23</v>
      </c>
    </row>
    <row r="949" spans="3:3" hidden="1" outlineLevel="1" collapsed="1" x14ac:dyDescent="0.25">
      <c r="C949" s="9">
        <f>Бета!$B$314</f>
        <v>31868.7</v>
      </c>
    </row>
    <row r="950" spans="3:3" hidden="1" outlineLevel="1" collapsed="1" x14ac:dyDescent="0.25">
      <c r="C950" s="9">
        <f>Бета!$B$335</f>
        <v>51122.38</v>
      </c>
    </row>
    <row r="951" spans="3:3" hidden="1" outlineLevel="1" collapsed="1" x14ac:dyDescent="0.25">
      <c r="C951" s="9">
        <f>Бета!$B$356</f>
        <v>70251.55</v>
      </c>
    </row>
    <row r="952" spans="3:3" hidden="1" outlineLevel="1" collapsed="1" x14ac:dyDescent="0.25">
      <c r="C952" s="9">
        <f>Бета!$B$377</f>
        <v>44895.1</v>
      </c>
    </row>
    <row r="953" spans="3:3" hidden="1" outlineLevel="1" collapsed="1" x14ac:dyDescent="0.25">
      <c r="C953" s="9">
        <f>Бета!$B$398</f>
        <v>53128.76</v>
      </c>
    </row>
    <row r="954" spans="3:3" hidden="1" outlineLevel="1" collapsed="1" x14ac:dyDescent="0.25">
      <c r="C954" s="9">
        <f>Бета!$B$419</f>
        <v>73775.740000000005</v>
      </c>
    </row>
    <row r="955" spans="3:3" hidden="1" outlineLevel="1" collapsed="1" x14ac:dyDescent="0.25">
      <c r="C955" s="9">
        <f>Бета!$B$440</f>
        <v>70185.97</v>
      </c>
    </row>
    <row r="956" spans="3:3" hidden="1" outlineLevel="1" collapsed="1" x14ac:dyDescent="0.25">
      <c r="C956" s="9">
        <f>Бета!$B$461</f>
        <v>24166.74</v>
      </c>
    </row>
    <row r="957" spans="3:3" hidden="1" outlineLevel="1" collapsed="1" x14ac:dyDescent="0.25">
      <c r="C957" s="9">
        <f>Бета!$B$482</f>
        <v>22683.14</v>
      </c>
    </row>
    <row r="958" spans="3:3" hidden="1" outlineLevel="1" collapsed="1" x14ac:dyDescent="0.25">
      <c r="C958" s="9">
        <f>Бета!$B$503</f>
        <v>42177</v>
      </c>
    </row>
    <row r="959" spans="3:3" hidden="1" outlineLevel="1" collapsed="1" x14ac:dyDescent="0.25">
      <c r="C959" s="9">
        <f>Бета!$B$525</f>
        <v>37916.870000000003</v>
      </c>
    </row>
    <row r="960" spans="3:3" hidden="1" outlineLevel="1" collapsed="1" x14ac:dyDescent="0.25">
      <c r="C960" s="9">
        <f>Бета!$B$544</f>
        <v>27501.5</v>
      </c>
    </row>
    <row r="961" spans="3:3" hidden="1" outlineLevel="1" collapsed="1" x14ac:dyDescent="0.25">
      <c r="C961" s="9">
        <f>Бета!$B$564</f>
        <v>65880.539999999994</v>
      </c>
    </row>
    <row r="962" spans="3:3" hidden="1" outlineLevel="1" collapsed="1" x14ac:dyDescent="0.25">
      <c r="C962" s="9">
        <f>Бета!$B$584</f>
        <v>39419.79</v>
      </c>
    </row>
    <row r="963" spans="3:3" hidden="1" outlineLevel="1" collapsed="1" x14ac:dyDescent="0.25">
      <c r="C963" s="9">
        <f>Бета!$B$603</f>
        <v>31213.32</v>
      </c>
    </row>
    <row r="964" spans="3:3" hidden="1" outlineLevel="1" collapsed="1" x14ac:dyDescent="0.25">
      <c r="C964" s="9">
        <f>Бета!$B$623</f>
        <v>25721.3</v>
      </c>
    </row>
    <row r="965" spans="3:3" hidden="1" outlineLevel="1" collapsed="1" x14ac:dyDescent="0.25">
      <c r="C965" s="9">
        <f>Бета!$B$643</f>
        <v>31380.47</v>
      </c>
    </row>
    <row r="966" spans="3:3" hidden="1" outlineLevel="1" collapsed="1" x14ac:dyDescent="0.25">
      <c r="C966" s="9">
        <f>Бета!$B$663</f>
        <v>31208.97</v>
      </c>
    </row>
    <row r="967" spans="3:3" hidden="1" outlineLevel="1" collapsed="1" x14ac:dyDescent="0.25">
      <c r="C967" s="9">
        <f>Бета!$B$684</f>
        <v>30193.48</v>
      </c>
    </row>
    <row r="968" spans="3:3" hidden="1" outlineLevel="1" collapsed="1" x14ac:dyDescent="0.25">
      <c r="C968" s="9">
        <f>Бета!$B$704</f>
        <v>63494.17</v>
      </c>
    </row>
    <row r="969" spans="3:3" hidden="1" outlineLevel="1" collapsed="1" x14ac:dyDescent="0.25">
      <c r="C969" s="9">
        <f>Бета!$B$725</f>
        <v>52949.88</v>
      </c>
    </row>
    <row r="970" spans="3:3" hidden="1" outlineLevel="1" collapsed="1" x14ac:dyDescent="0.25">
      <c r="C970" s="9">
        <f>Бета!$B$745</f>
        <v>27735.59</v>
      </c>
    </row>
    <row r="971" spans="3:3" hidden="1" outlineLevel="1" collapsed="1" x14ac:dyDescent="0.25">
      <c r="C971" s="9">
        <f>Бета!$B$765</f>
        <v>20195.78</v>
      </c>
    </row>
    <row r="972" spans="3:3" hidden="1" outlineLevel="1" collapsed="1" x14ac:dyDescent="0.25">
      <c r="C972" s="9">
        <f>Бета!$B$785</f>
        <v>18787.98</v>
      </c>
    </row>
    <row r="973" spans="3:3" hidden="1" outlineLevel="1" collapsed="1" x14ac:dyDescent="0.25">
      <c r="C973" s="9">
        <f>Бета!$B$805</f>
        <v>18452.11</v>
      </c>
    </row>
    <row r="974" spans="3:3" hidden="1" outlineLevel="1" collapsed="1" x14ac:dyDescent="0.25">
      <c r="C974" s="9">
        <f>Бета!$B$825</f>
        <v>16553</v>
      </c>
    </row>
    <row r="975" spans="3:3" hidden="1" outlineLevel="1" collapsed="1" x14ac:dyDescent="0.25">
      <c r="C975" s="9">
        <f>Бета!$B$845</f>
        <v>23169.53</v>
      </c>
    </row>
    <row r="976" spans="3:3" hidden="1" outlineLevel="1" collapsed="1" x14ac:dyDescent="0.25">
      <c r="C976" s="9">
        <f>Бета!$B$865</f>
        <v>33522.160000000003</v>
      </c>
    </row>
    <row r="977" spans="2:3" hidden="1" outlineLevel="1" collapsed="1" x14ac:dyDescent="0.25">
      <c r="C977" s="9">
        <f>Бета!$B$885</f>
        <v>25549.3</v>
      </c>
    </row>
    <row r="978" spans="2:3" hidden="1" outlineLevel="1" collapsed="1" x14ac:dyDescent="0.25">
      <c r="C978" s="9">
        <f>Бета!$B$905</f>
        <v>13143.87</v>
      </c>
    </row>
    <row r="979" spans="2:3" hidden="1" outlineLevel="1" collapsed="1" x14ac:dyDescent="0.25">
      <c r="C979" s="9">
        <f>Бета!$B$924</f>
        <v>22473.94</v>
      </c>
    </row>
    <row r="980" spans="2:3" hidden="1" outlineLevel="1" collapsed="1" x14ac:dyDescent="0.25">
      <c r="C980" s="9">
        <f>Бета!$B$944</f>
        <v>15385.3</v>
      </c>
    </row>
    <row r="981" spans="2:3" hidden="1" outlineLevel="1" collapsed="1" x14ac:dyDescent="0.25">
      <c r="C981" s="9">
        <f>Бета!$B$964</f>
        <v>25784.77</v>
      </c>
    </row>
    <row r="982" spans="2:3" hidden="1" outlineLevel="1" collapsed="1" x14ac:dyDescent="0.25">
      <c r="C982" s="9">
        <f>Бета!$B$984</f>
        <v>28759.919999999998</v>
      </c>
    </row>
    <row r="983" spans="2:3" hidden="1" outlineLevel="1" collapsed="1" x14ac:dyDescent="0.25">
      <c r="C983" s="9">
        <f>Бета!$B$1004</f>
        <v>14926.98</v>
      </c>
    </row>
    <row r="984" spans="2:3" hidden="1" outlineLevel="1" collapsed="1" x14ac:dyDescent="0.25">
      <c r="B984" t="s">
        <v>72</v>
      </c>
      <c r="C984" s="9">
        <f>Гамма!$B$7</f>
        <v>178547.47</v>
      </c>
    </row>
    <row r="985" spans="2:3" hidden="1" outlineLevel="1" collapsed="1" x14ac:dyDescent="0.25">
      <c r="C985" s="9">
        <f>Гамма!$B$33</f>
        <v>151464.42000000001</v>
      </c>
    </row>
    <row r="986" spans="2:3" hidden="1" outlineLevel="1" collapsed="1" x14ac:dyDescent="0.25">
      <c r="C986" s="9">
        <f>Гамма!$B$60</f>
        <v>246892.64</v>
      </c>
    </row>
    <row r="987" spans="2:3" hidden="1" outlineLevel="1" collapsed="1" x14ac:dyDescent="0.25">
      <c r="C987" s="9">
        <f>Гамма!$B$87</f>
        <v>150242.07</v>
      </c>
    </row>
    <row r="988" spans="2:3" hidden="1" outlineLevel="1" collapsed="1" x14ac:dyDescent="0.25">
      <c r="C988" s="9">
        <f>Гамма!$B$113</f>
        <v>149328.26</v>
      </c>
    </row>
    <row r="989" spans="2:3" hidden="1" outlineLevel="1" collapsed="1" x14ac:dyDescent="0.25">
      <c r="C989" s="9">
        <f>Гамма!$B$139</f>
        <v>242252.13</v>
      </c>
    </row>
    <row r="990" spans="2:3" hidden="1" outlineLevel="1" collapsed="1" x14ac:dyDescent="0.25">
      <c r="C990" s="9">
        <f>Гамма!$B$165</f>
        <v>208289.24</v>
      </c>
    </row>
    <row r="991" spans="2:3" hidden="1" outlineLevel="1" collapsed="1" x14ac:dyDescent="0.25">
      <c r="C991" s="9">
        <f>Гамма!$B$192</f>
        <v>154747.39000000001</v>
      </c>
    </row>
    <row r="992" spans="2:3" hidden="1" outlineLevel="1" collapsed="1" x14ac:dyDescent="0.25">
      <c r="C992" s="9">
        <f>Гамма!$B$219</f>
        <v>121735.96</v>
      </c>
    </row>
    <row r="993" spans="3:3" hidden="1" outlineLevel="1" collapsed="1" x14ac:dyDescent="0.25">
      <c r="C993" s="9">
        <f>Гамма!$B$245</f>
        <v>123586.6</v>
      </c>
    </row>
    <row r="994" spans="3:3" hidden="1" outlineLevel="1" collapsed="1" x14ac:dyDescent="0.25">
      <c r="C994" s="9">
        <f>Гамма!$B$271</f>
        <v>128549.71</v>
      </c>
    </row>
    <row r="995" spans="3:3" hidden="1" outlineLevel="1" collapsed="1" x14ac:dyDescent="0.25">
      <c r="C995" s="9">
        <f>Гамма!$B$297</f>
        <v>180884.37</v>
      </c>
    </row>
    <row r="996" spans="3:3" hidden="1" outlineLevel="1" collapsed="1" x14ac:dyDescent="0.25">
      <c r="C996" s="9">
        <f>Гамма!$B$323</f>
        <v>294964.28000000003</v>
      </c>
    </row>
    <row r="997" spans="3:3" hidden="1" outlineLevel="1" collapsed="1" x14ac:dyDescent="0.25">
      <c r="C997" s="9">
        <f>Гамма!$B$349</f>
        <v>272385.71999999997</v>
      </c>
    </row>
    <row r="998" spans="3:3" hidden="1" outlineLevel="1" collapsed="1" x14ac:dyDescent="0.25">
      <c r="C998" s="9">
        <f>Гамма!$B$374</f>
        <v>213120.71</v>
      </c>
    </row>
    <row r="999" spans="3:3" hidden="1" outlineLevel="1" collapsed="1" x14ac:dyDescent="0.25">
      <c r="C999" s="9">
        <f>Гамма!$B$400</f>
        <v>146737.57</v>
      </c>
    </row>
    <row r="1000" spans="3:3" hidden="1" outlineLevel="1" collapsed="1" x14ac:dyDescent="0.25">
      <c r="C1000" s="9">
        <f>Гамма!$B$427</f>
        <v>143539.46</v>
      </c>
    </row>
    <row r="1001" spans="3:3" hidden="1" outlineLevel="1" collapsed="1" x14ac:dyDescent="0.25">
      <c r="C1001" s="9">
        <f>Гамма!$B$454</f>
        <v>203789.1</v>
      </c>
    </row>
    <row r="1002" spans="3:3" hidden="1" outlineLevel="1" collapsed="1" x14ac:dyDescent="0.25">
      <c r="C1002" s="9">
        <f>Гамма!$B$480</f>
        <v>168564.48000000001</v>
      </c>
    </row>
    <row r="1003" spans="3:3" hidden="1" outlineLevel="1" collapsed="1" x14ac:dyDescent="0.25">
      <c r="C1003" s="9">
        <f>Гамма!$B$506</f>
        <v>223453.61</v>
      </c>
    </row>
    <row r="1004" spans="3:3" hidden="1" outlineLevel="1" collapsed="1" x14ac:dyDescent="0.25">
      <c r="C1004" s="9">
        <f>Гамма!$B$532</f>
        <v>166889.21</v>
      </c>
    </row>
    <row r="1005" spans="3:3" hidden="1" outlineLevel="1" collapsed="1" x14ac:dyDescent="0.25">
      <c r="C1005" s="9">
        <f>Гамма!$B$558</f>
        <v>77325.789999999994</v>
      </c>
    </row>
    <row r="1006" spans="3:3" hidden="1" outlineLevel="1" collapsed="1" x14ac:dyDescent="0.25">
      <c r="C1006" s="9">
        <f>Гамма!$B$583</f>
        <v>84720.02</v>
      </c>
    </row>
    <row r="1007" spans="3:3" hidden="1" outlineLevel="1" collapsed="1" x14ac:dyDescent="0.25">
      <c r="C1007" s="9">
        <f>Гамма!$B$609</f>
        <v>88756.02</v>
      </c>
    </row>
    <row r="1008" spans="3:3" hidden="1" outlineLevel="1" collapsed="1" x14ac:dyDescent="0.25">
      <c r="C1008" s="9">
        <f>Гамма!$B$635</f>
        <v>91378.44</v>
      </c>
    </row>
    <row r="1009" spans="3:3" hidden="1" outlineLevel="1" collapsed="1" x14ac:dyDescent="0.25">
      <c r="C1009" s="9">
        <f>Гамма!$B$661</f>
        <v>86540.31</v>
      </c>
    </row>
    <row r="1010" spans="3:3" hidden="1" outlineLevel="1" collapsed="1" x14ac:dyDescent="0.25">
      <c r="C1010" s="9">
        <f>Гамма!$B$687</f>
        <v>156678.97</v>
      </c>
    </row>
    <row r="1011" spans="3:3" hidden="1" outlineLevel="1" collapsed="1" x14ac:dyDescent="0.25">
      <c r="C1011" s="9">
        <f>Гамма!$B$713</f>
        <v>122286.01</v>
      </c>
    </row>
    <row r="1012" spans="3:3" hidden="1" outlineLevel="1" collapsed="1" x14ac:dyDescent="0.25">
      <c r="C1012" s="9">
        <f>Гамма!$B$737</f>
        <v>91187.49</v>
      </c>
    </row>
    <row r="1013" spans="3:3" hidden="1" outlineLevel="1" collapsed="1" x14ac:dyDescent="0.25">
      <c r="C1013" s="9">
        <f>Гамма!$B$763</f>
        <v>82732.37</v>
      </c>
    </row>
    <row r="1014" spans="3:3" hidden="1" outlineLevel="1" collapsed="1" x14ac:dyDescent="0.25">
      <c r="C1014" s="9">
        <f>Гамма!$B$787</f>
        <v>101833.89</v>
      </c>
    </row>
    <row r="1015" spans="3:3" hidden="1" outlineLevel="1" collapsed="1" x14ac:dyDescent="0.25">
      <c r="C1015" s="9">
        <f>Гамма!$B$813</f>
        <v>76875.92</v>
      </c>
    </row>
    <row r="1016" spans="3:3" hidden="1" outlineLevel="1" collapsed="1" x14ac:dyDescent="0.25">
      <c r="C1016" s="9">
        <f>Гамма!$B$839</f>
        <v>123603.02</v>
      </c>
    </row>
    <row r="1017" spans="3:3" hidden="1" outlineLevel="1" collapsed="1" x14ac:dyDescent="0.25">
      <c r="C1017" s="9">
        <f>Гамма!$B$865</f>
        <v>214316.87</v>
      </c>
    </row>
    <row r="1018" spans="3:3" hidden="1" outlineLevel="1" collapsed="1" x14ac:dyDescent="0.25">
      <c r="C1018" s="9">
        <f>Гамма!$B$891</f>
        <v>215178.19</v>
      </c>
    </row>
    <row r="1019" spans="3:3" hidden="1" outlineLevel="1" collapsed="1" x14ac:dyDescent="0.25">
      <c r="C1019" s="9">
        <f>Гамма!$B$917</f>
        <v>155586.91</v>
      </c>
    </row>
    <row r="1020" spans="3:3" hidden="1" outlineLevel="1" collapsed="1" x14ac:dyDescent="0.25">
      <c r="C1020" s="9">
        <f>Гамма!$B$942</f>
        <v>147971.71</v>
      </c>
    </row>
    <row r="1021" spans="3:3" hidden="1" outlineLevel="1" collapsed="1" x14ac:dyDescent="0.25">
      <c r="C1021" s="9">
        <f>Гамма!$B$968</f>
        <v>106148.81</v>
      </c>
    </row>
    <row r="1022" spans="3:3" hidden="1" outlineLevel="1" collapsed="1" x14ac:dyDescent="0.25">
      <c r="C1022" s="9">
        <f>Гамма!$B$994</f>
        <v>119132.73</v>
      </c>
    </row>
    <row r="1023" spans="3:3" hidden="1" outlineLevel="1" collapsed="1" x14ac:dyDescent="0.25">
      <c r="C1023" s="9">
        <f>Гамма!$B$1019</f>
        <v>129697.15</v>
      </c>
    </row>
    <row r="1024" spans="3:3" hidden="1" outlineLevel="1" collapsed="1" x14ac:dyDescent="0.25">
      <c r="C1024" s="9">
        <f>Гамма!$B$1043</f>
        <v>168504.7</v>
      </c>
    </row>
    <row r="1025" spans="2:3" hidden="1" outlineLevel="1" collapsed="1" x14ac:dyDescent="0.25">
      <c r="C1025" s="9">
        <f>Гамма!$B$1068</f>
        <v>160876.79</v>
      </c>
    </row>
    <row r="1026" spans="2:3" hidden="1" outlineLevel="1" collapsed="1" x14ac:dyDescent="0.25">
      <c r="C1026" s="9">
        <f>Гамма!$B$1094</f>
        <v>101650.69</v>
      </c>
    </row>
    <row r="1027" spans="2:3" hidden="1" outlineLevel="1" collapsed="1" x14ac:dyDescent="0.25">
      <c r="C1027" s="9">
        <f>Гамма!$B$1118</f>
        <v>109067.71</v>
      </c>
    </row>
    <row r="1028" spans="2:3" hidden="1" outlineLevel="1" collapsed="1" x14ac:dyDescent="0.25">
      <c r="C1028" s="9">
        <f>Гамма!$B$1142</f>
        <v>118701.71</v>
      </c>
    </row>
    <row r="1029" spans="2:3" hidden="1" outlineLevel="1" collapsed="1" x14ac:dyDescent="0.25">
      <c r="C1029" s="9">
        <f>Гамма!$B$1168</f>
        <v>139823.18</v>
      </c>
    </row>
    <row r="1030" spans="2:3" hidden="1" outlineLevel="1" collapsed="1" x14ac:dyDescent="0.25">
      <c r="C1030" s="9">
        <f>Гамма!$B$1192</f>
        <v>134268.73000000001</v>
      </c>
    </row>
    <row r="1031" spans="2:3" hidden="1" outlineLevel="1" collapsed="1" x14ac:dyDescent="0.25">
      <c r="C1031" s="9">
        <f>Гамма!$B$1217</f>
        <v>140803.76999999999</v>
      </c>
    </row>
    <row r="1032" spans="2:3" hidden="1" outlineLevel="1" collapsed="1" x14ac:dyDescent="0.25">
      <c r="C1032" s="9">
        <f>Гамма!$B$1242</f>
        <v>109795.99</v>
      </c>
    </row>
    <row r="1033" spans="2:3" hidden="1" outlineLevel="1" collapsed="1" x14ac:dyDescent="0.25">
      <c r="B1033" t="s">
        <v>72</v>
      </c>
      <c r="C1033" s="9">
        <f>Дельта!$B$7</f>
        <v>125858.47</v>
      </c>
    </row>
    <row r="1034" spans="2:3" hidden="1" outlineLevel="1" collapsed="1" x14ac:dyDescent="0.25">
      <c r="C1034" s="9">
        <f>Дельта!$B$33</f>
        <v>153326.45000000001</v>
      </c>
    </row>
    <row r="1035" spans="2:3" hidden="1" outlineLevel="1" collapsed="1" x14ac:dyDescent="0.25">
      <c r="C1035" s="9">
        <f>Дельта!$B$59</f>
        <v>167862.63</v>
      </c>
    </row>
    <row r="1036" spans="2:3" hidden="1" outlineLevel="1" collapsed="1" x14ac:dyDescent="0.25">
      <c r="C1036" s="9">
        <f>Дельта!$B$85</f>
        <v>152322</v>
      </c>
    </row>
    <row r="1037" spans="2:3" hidden="1" outlineLevel="1" collapsed="1" x14ac:dyDescent="0.25">
      <c r="C1037" s="9">
        <f>Дельта!$B$111</f>
        <v>146017</v>
      </c>
    </row>
    <row r="1038" spans="2:3" hidden="1" outlineLevel="1" collapsed="1" x14ac:dyDescent="0.25">
      <c r="C1038" s="9">
        <f>Дельта!$B$137</f>
        <v>194311</v>
      </c>
    </row>
    <row r="1039" spans="2:3" hidden="1" outlineLevel="1" collapsed="1" x14ac:dyDescent="0.25">
      <c r="C1039" s="9">
        <f>Дельта!$B$162</f>
        <v>186287.42</v>
      </c>
    </row>
    <row r="1040" spans="2:3" hidden="1" outlineLevel="1" collapsed="1" x14ac:dyDescent="0.25">
      <c r="C1040" s="9">
        <f>Дельта!$B$188</f>
        <v>138907</v>
      </c>
    </row>
    <row r="1041" spans="3:3" hidden="1" outlineLevel="1" collapsed="1" x14ac:dyDescent="0.25">
      <c r="C1041" s="9">
        <f>Дельта!$B$214</f>
        <v>111715.45</v>
      </c>
    </row>
    <row r="1042" spans="3:3" hidden="1" outlineLevel="1" collapsed="1" x14ac:dyDescent="0.25">
      <c r="C1042" s="9">
        <f>Дельта!$B$239</f>
        <v>118317</v>
      </c>
    </row>
    <row r="1043" spans="3:3" hidden="1" outlineLevel="1" collapsed="1" x14ac:dyDescent="0.25">
      <c r="C1043" s="9">
        <f>Дельта!$B$265</f>
        <v>129802</v>
      </c>
    </row>
    <row r="1044" spans="3:3" hidden="1" outlineLevel="1" collapsed="1" x14ac:dyDescent="0.25">
      <c r="C1044" s="9">
        <f>Дельта!$B$291</f>
        <v>174681</v>
      </c>
    </row>
    <row r="1045" spans="3:3" hidden="1" outlineLevel="1" collapsed="1" x14ac:dyDescent="0.25">
      <c r="C1045" s="9">
        <f>Дельта!$B$317</f>
        <v>222525</v>
      </c>
    </row>
    <row r="1046" spans="3:3" hidden="1" outlineLevel="1" collapsed="1" x14ac:dyDescent="0.25">
      <c r="C1046" s="9">
        <f>Дельта!$B$343</f>
        <v>199238</v>
      </c>
    </row>
    <row r="1047" spans="3:3" hidden="1" outlineLevel="1" collapsed="1" x14ac:dyDescent="0.25">
      <c r="C1047" s="9">
        <f>Дельта!$B$369</f>
        <v>125234</v>
      </c>
    </row>
    <row r="1048" spans="3:3" hidden="1" outlineLevel="1" collapsed="1" x14ac:dyDescent="0.25">
      <c r="C1048" s="9">
        <f>Дельта!$B$395</f>
        <v>161539</v>
      </c>
    </row>
    <row r="1049" spans="3:3" hidden="1" outlineLevel="1" collapsed="1" x14ac:dyDescent="0.25">
      <c r="C1049" s="9">
        <f>Дельта!$B$421</f>
        <v>154605</v>
      </c>
    </row>
    <row r="1050" spans="3:3" hidden="1" outlineLevel="1" collapsed="1" x14ac:dyDescent="0.25">
      <c r="C1050" s="9">
        <f>Дельта!$B$447</f>
        <v>196252</v>
      </c>
    </row>
    <row r="1051" spans="3:3" hidden="1" outlineLevel="1" collapsed="1" x14ac:dyDescent="0.25">
      <c r="C1051" s="9">
        <f>Дельта!$B$473</f>
        <v>200162</v>
      </c>
    </row>
    <row r="1052" spans="3:3" hidden="1" outlineLevel="1" collapsed="1" x14ac:dyDescent="0.25">
      <c r="C1052" s="9">
        <f>Дельта!$B$499</f>
        <v>282899</v>
      </c>
    </row>
    <row r="1053" spans="3:3" hidden="1" outlineLevel="1" collapsed="1" x14ac:dyDescent="0.25">
      <c r="C1053" s="9">
        <f>Дельта!$B$525</f>
        <v>167193</v>
      </c>
    </row>
    <row r="1054" spans="3:3" hidden="1" outlineLevel="1" collapsed="1" x14ac:dyDescent="0.25">
      <c r="C1054" s="9">
        <f>Дельта!$B$551</f>
        <v>121209</v>
      </c>
    </row>
    <row r="1055" spans="3:3" hidden="1" outlineLevel="1" collapsed="1" x14ac:dyDescent="0.25">
      <c r="C1055" s="9">
        <f>Дельта!$B$577</f>
        <v>74640</v>
      </c>
    </row>
    <row r="1056" spans="3:3" hidden="1" outlineLevel="1" collapsed="1" x14ac:dyDescent="0.25">
      <c r="C1056" s="9">
        <f>Дельта!$B$603</f>
        <v>106987</v>
      </c>
    </row>
    <row r="1057" spans="3:3" hidden="1" outlineLevel="1" collapsed="1" x14ac:dyDescent="0.25">
      <c r="C1057" s="9">
        <f>Дельта!$B$628</f>
        <v>105462</v>
      </c>
    </row>
    <row r="1058" spans="3:3" hidden="1" outlineLevel="1" collapsed="1" x14ac:dyDescent="0.25">
      <c r="C1058" s="9">
        <f>Дельта!$B$654</f>
        <v>93925</v>
      </c>
    </row>
    <row r="1059" spans="3:3" hidden="1" outlineLevel="1" collapsed="1" x14ac:dyDescent="0.25">
      <c r="C1059" s="9">
        <f>Дельта!$B$681</f>
        <v>100304</v>
      </c>
    </row>
    <row r="1060" spans="3:3" hidden="1" outlineLevel="1" collapsed="1" x14ac:dyDescent="0.25">
      <c r="C1060" s="9">
        <f>Дельта!$B$707</f>
        <v>106264</v>
      </c>
    </row>
    <row r="1061" spans="3:3" hidden="1" outlineLevel="1" collapsed="1" x14ac:dyDescent="0.25">
      <c r="C1061" s="9">
        <f>Дельта!$B$732</f>
        <v>89424</v>
      </c>
    </row>
    <row r="1062" spans="3:3" hidden="1" outlineLevel="1" collapsed="1" x14ac:dyDescent="0.25">
      <c r="C1062" s="9">
        <f>Дельта!$B$758</f>
        <v>73948.899999999994</v>
      </c>
    </row>
    <row r="1063" spans="3:3" hidden="1" outlineLevel="1" collapsed="1" x14ac:dyDescent="0.25">
      <c r="C1063" s="9">
        <f>Дельта!$B$783</f>
        <v>57058</v>
      </c>
    </row>
    <row r="1064" spans="3:3" hidden="1" outlineLevel="1" collapsed="1" x14ac:dyDescent="0.25">
      <c r="C1064" s="9">
        <f>Дельта!$B$809</f>
        <v>58956</v>
      </c>
    </row>
    <row r="1065" spans="3:3" hidden="1" outlineLevel="1" collapsed="1" x14ac:dyDescent="0.25">
      <c r="C1065" s="9">
        <f>Дельта!$B$835</f>
        <v>95512</v>
      </c>
    </row>
    <row r="1066" spans="3:3" hidden="1" outlineLevel="1" collapsed="1" x14ac:dyDescent="0.25">
      <c r="C1066" s="9">
        <f>Дельта!$B$861</f>
        <v>133602</v>
      </c>
    </row>
    <row r="1067" spans="3:3" hidden="1" outlineLevel="1" collapsed="1" x14ac:dyDescent="0.25">
      <c r="C1067" s="9">
        <f>Дельта!$B$887</f>
        <v>134757</v>
      </c>
    </row>
    <row r="1068" spans="3:3" hidden="1" outlineLevel="1" collapsed="1" x14ac:dyDescent="0.25">
      <c r="C1068" s="9">
        <f>Дельта!$B$913</f>
        <v>90030</v>
      </c>
    </row>
    <row r="1069" spans="3:3" hidden="1" outlineLevel="1" collapsed="1" x14ac:dyDescent="0.25">
      <c r="C1069" s="9">
        <f>Дельта!$B$938</f>
        <v>92194</v>
      </c>
    </row>
    <row r="1070" spans="3:3" hidden="1" outlineLevel="1" collapsed="1" x14ac:dyDescent="0.25">
      <c r="C1070" s="9">
        <f>Дельта!$B$964</f>
        <v>84366.44</v>
      </c>
    </row>
    <row r="1071" spans="3:3" hidden="1" outlineLevel="1" collapsed="1" x14ac:dyDescent="0.25">
      <c r="C1071" s="9">
        <f>Дельта!$B$989</f>
        <v>73005</v>
      </c>
    </row>
    <row r="1072" spans="3:3" hidden="1" outlineLevel="1" collapsed="1" x14ac:dyDescent="0.25">
      <c r="C1072" s="9">
        <f>Дельта!$B$1015</f>
        <v>101792</v>
      </c>
    </row>
    <row r="1073" spans="1:3" hidden="1" outlineLevel="1" collapsed="1" x14ac:dyDescent="0.25">
      <c r="C1073" s="9">
        <f>Дельта!$B$1040</f>
        <v>103538</v>
      </c>
    </row>
    <row r="1074" spans="1:3" hidden="1" outlineLevel="1" collapsed="1" x14ac:dyDescent="0.25">
      <c r="C1074" s="9">
        <f>Дельта!$B$1066</f>
        <v>104404.48</v>
      </c>
    </row>
    <row r="1075" spans="1:3" hidden="1" outlineLevel="1" collapsed="1" x14ac:dyDescent="0.25">
      <c r="C1075" s="9">
        <f>Дельта!$B$1090</f>
        <v>80826</v>
      </c>
    </row>
    <row r="1076" spans="1:3" hidden="1" outlineLevel="1" collapsed="1" x14ac:dyDescent="0.25">
      <c r="C1076" s="9">
        <f>Дельта!$B$1115</f>
        <v>92274</v>
      </c>
    </row>
    <row r="1077" spans="1:3" hidden="1" outlineLevel="1" collapsed="1" x14ac:dyDescent="0.25">
      <c r="C1077" s="9">
        <f>Дельта!$B$1140</f>
        <v>74691</v>
      </c>
    </row>
    <row r="1078" spans="1:3" hidden="1" outlineLevel="1" collapsed="1" x14ac:dyDescent="0.25">
      <c r="C1078" s="9">
        <f>Дельта!$B$1164</f>
        <v>86771.24</v>
      </c>
    </row>
    <row r="1079" spans="1:3" hidden="1" outlineLevel="1" collapsed="1" x14ac:dyDescent="0.25">
      <c r="C1079" s="9">
        <f>Дельта!$B$1187</f>
        <v>136810.81</v>
      </c>
    </row>
    <row r="1080" spans="1:3" hidden="1" outlineLevel="1" collapsed="1" x14ac:dyDescent="0.25">
      <c r="C1080" s="9">
        <f>Дельта!$B$1213</f>
        <v>97863</v>
      </c>
    </row>
    <row r="1081" spans="1:3" hidden="1" outlineLevel="1" collapsed="1" x14ac:dyDescent="0.25">
      <c r="C1081" s="9">
        <f>Дельта!$B$1237</f>
        <v>83466</v>
      </c>
    </row>
    <row r="1082" spans="1:3" collapsed="1" x14ac:dyDescent="0.25">
      <c r="A1082" t="s">
        <v>7</v>
      </c>
      <c r="C1082" s="9">
        <f>SUM(C886:C1081)</f>
        <v>24642953.959999997</v>
      </c>
    </row>
    <row r="1083" spans="1:3" hidden="1" outlineLevel="1" x14ac:dyDescent="0.25">
      <c r="B1083" t="s">
        <v>72</v>
      </c>
      <c r="C1083" s="9">
        <f>Альфа!$B$8</f>
        <v>846540.17</v>
      </c>
    </row>
    <row r="1084" spans="1:3" hidden="1" outlineLevel="1" collapsed="1" x14ac:dyDescent="0.25">
      <c r="C1084" s="9">
        <f>Альфа!$B$34</f>
        <v>690201.65</v>
      </c>
    </row>
    <row r="1085" spans="1:3" hidden="1" outlineLevel="1" collapsed="1" x14ac:dyDescent="0.25">
      <c r="C1085" s="9">
        <f>Альфа!$B$60</f>
        <v>624136.11</v>
      </c>
    </row>
    <row r="1086" spans="1:3" hidden="1" outlineLevel="1" collapsed="1" x14ac:dyDescent="0.25">
      <c r="C1086" s="9">
        <f>Альфа!$B$86</f>
        <v>827350.94</v>
      </c>
    </row>
    <row r="1087" spans="1:3" hidden="1" outlineLevel="1" collapsed="1" x14ac:dyDescent="0.25">
      <c r="C1087" s="9">
        <f>Альфа!$B$112</f>
        <v>745928.41</v>
      </c>
    </row>
    <row r="1088" spans="1:3" hidden="1" outlineLevel="1" collapsed="1" x14ac:dyDescent="0.25">
      <c r="C1088" s="9">
        <f>Альфа!$B$139</f>
        <v>1048995.3899999999</v>
      </c>
    </row>
    <row r="1089" spans="3:3" hidden="1" outlineLevel="1" collapsed="1" x14ac:dyDescent="0.25">
      <c r="C1089" s="9">
        <f>Альфа!$B$165</f>
        <v>859080.94</v>
      </c>
    </row>
    <row r="1090" spans="3:3" hidden="1" outlineLevel="1" collapsed="1" x14ac:dyDescent="0.25">
      <c r="C1090" s="9">
        <f>Альфа!$B$191</f>
        <v>876524.68</v>
      </c>
    </row>
    <row r="1091" spans="3:3" hidden="1" outlineLevel="1" collapsed="1" x14ac:dyDescent="0.25">
      <c r="C1091" s="9">
        <f>Альфа!$B$217</f>
        <v>745202.73</v>
      </c>
    </row>
    <row r="1092" spans="3:3" hidden="1" outlineLevel="1" collapsed="1" x14ac:dyDescent="0.25">
      <c r="C1092" s="9">
        <f>Альфа!$B$244</f>
        <v>660077.09</v>
      </c>
    </row>
    <row r="1093" spans="3:3" hidden="1" outlineLevel="1" collapsed="1" x14ac:dyDescent="0.25">
      <c r="C1093" s="9">
        <f>Альфа!$B$270</f>
        <v>731962.54</v>
      </c>
    </row>
    <row r="1094" spans="3:3" hidden="1" outlineLevel="1" collapsed="1" x14ac:dyDescent="0.25">
      <c r="C1094" s="9">
        <f>Альфа!$B$296</f>
        <v>875078.31</v>
      </c>
    </row>
    <row r="1095" spans="3:3" hidden="1" outlineLevel="1" collapsed="1" x14ac:dyDescent="0.25">
      <c r="C1095" s="9">
        <f>Альфа!$B$322</f>
        <v>1020902.61</v>
      </c>
    </row>
    <row r="1096" spans="3:3" hidden="1" outlineLevel="1" collapsed="1" x14ac:dyDescent="0.25">
      <c r="C1096" s="9">
        <f>Альфа!$B$348</f>
        <v>886450</v>
      </c>
    </row>
    <row r="1097" spans="3:3" hidden="1" outlineLevel="1" collapsed="1" x14ac:dyDescent="0.25">
      <c r="C1097" s="9">
        <f>Альфа!$B$375</f>
        <v>778942.91</v>
      </c>
    </row>
    <row r="1098" spans="3:3" hidden="1" outlineLevel="1" collapsed="1" x14ac:dyDescent="0.25">
      <c r="C1098" s="9">
        <f>Альфа!$B$401</f>
        <v>792596.97</v>
      </c>
    </row>
    <row r="1099" spans="3:3" hidden="1" outlineLevel="1" collapsed="1" x14ac:dyDescent="0.25">
      <c r="C1099" s="9">
        <f>Альфа!$B$427</f>
        <v>1033466.7</v>
      </c>
    </row>
    <row r="1100" spans="3:3" hidden="1" outlineLevel="1" collapsed="1" x14ac:dyDescent="0.25">
      <c r="C1100" s="9">
        <f>Альфа!$B$452</f>
        <v>872963.45</v>
      </c>
    </row>
    <row r="1101" spans="3:3" hidden="1" outlineLevel="1" collapsed="1" x14ac:dyDescent="0.25">
      <c r="C1101" s="9">
        <f>Альфа!$B$478</f>
        <v>1020691.45</v>
      </c>
    </row>
    <row r="1102" spans="3:3" hidden="1" outlineLevel="1" collapsed="1" x14ac:dyDescent="0.25">
      <c r="C1102" s="9">
        <f>Альфа!$B$503</f>
        <v>1031960.57</v>
      </c>
    </row>
    <row r="1103" spans="3:3" hidden="1" outlineLevel="1" collapsed="1" x14ac:dyDescent="0.25">
      <c r="C1103" s="9">
        <f>Альфа!$B$528</f>
        <v>908353.92</v>
      </c>
    </row>
    <row r="1104" spans="3:3" hidden="1" outlineLevel="1" collapsed="1" x14ac:dyDescent="0.25">
      <c r="C1104" s="9">
        <f>Альфа!$B$553</f>
        <v>486847.37</v>
      </c>
    </row>
    <row r="1105" spans="3:3" hidden="1" outlineLevel="1" collapsed="1" x14ac:dyDescent="0.25">
      <c r="C1105" s="9">
        <f>Альфа!$B$578</f>
        <v>507303.73</v>
      </c>
    </row>
    <row r="1106" spans="3:3" hidden="1" outlineLevel="1" collapsed="1" x14ac:dyDescent="0.25">
      <c r="C1106" s="9">
        <f>Альфа!$B$602</f>
        <v>717239.49</v>
      </c>
    </row>
    <row r="1107" spans="3:3" hidden="1" outlineLevel="1" collapsed="1" x14ac:dyDescent="0.25">
      <c r="C1107" s="9">
        <f>Альфа!$B$627</f>
        <v>524442.13</v>
      </c>
    </row>
    <row r="1108" spans="3:3" hidden="1" outlineLevel="1" collapsed="1" x14ac:dyDescent="0.25">
      <c r="C1108" s="9">
        <f>Альфа!$B$652</f>
        <v>843222.27</v>
      </c>
    </row>
    <row r="1109" spans="3:3" hidden="1" outlineLevel="1" collapsed="1" x14ac:dyDescent="0.25">
      <c r="C1109" s="9">
        <f>Альфа!$B$677</f>
        <v>951208.52</v>
      </c>
    </row>
    <row r="1110" spans="3:3" hidden="1" outlineLevel="1" collapsed="1" x14ac:dyDescent="0.25">
      <c r="C1110" s="9">
        <f>Альфа!$B$702</f>
        <v>780338.4</v>
      </c>
    </row>
    <row r="1111" spans="3:3" hidden="1" outlineLevel="1" collapsed="1" x14ac:dyDescent="0.25">
      <c r="C1111" s="9">
        <f>Альфа!$B$727</f>
        <v>660629.15</v>
      </c>
    </row>
    <row r="1112" spans="3:3" hidden="1" outlineLevel="1" collapsed="1" x14ac:dyDescent="0.25">
      <c r="C1112" s="9">
        <f>Альфа!$B$752</f>
        <v>605040.81000000006</v>
      </c>
    </row>
    <row r="1113" spans="3:3" hidden="1" outlineLevel="1" collapsed="1" x14ac:dyDescent="0.25">
      <c r="C1113" s="9">
        <f>Альфа!$B$777</f>
        <v>526219.31000000006</v>
      </c>
    </row>
    <row r="1114" spans="3:3" hidden="1" outlineLevel="1" collapsed="1" x14ac:dyDescent="0.25">
      <c r="C1114" s="9">
        <f>Альфа!$B$800</f>
        <v>773002.78</v>
      </c>
    </row>
    <row r="1115" spans="3:3" hidden="1" outlineLevel="1" collapsed="1" x14ac:dyDescent="0.25">
      <c r="C1115" s="9">
        <f>Альфа!$B$824</f>
        <v>749075.58</v>
      </c>
    </row>
    <row r="1116" spans="3:3" hidden="1" outlineLevel="1" collapsed="1" x14ac:dyDescent="0.25">
      <c r="C1116" s="9">
        <f>Альфа!$B$849</f>
        <v>916364.36</v>
      </c>
    </row>
    <row r="1117" spans="3:3" hidden="1" outlineLevel="1" collapsed="1" x14ac:dyDescent="0.25">
      <c r="C1117" s="9">
        <f>Альфа!$B$874</f>
        <v>869569.9</v>
      </c>
    </row>
    <row r="1118" spans="3:3" hidden="1" outlineLevel="1" collapsed="1" x14ac:dyDescent="0.25">
      <c r="C1118" s="9">
        <f>Альфа!$B$899</f>
        <v>587487.56999999995</v>
      </c>
    </row>
    <row r="1119" spans="3:3" hidden="1" outlineLevel="1" collapsed="1" x14ac:dyDescent="0.25">
      <c r="C1119" s="9">
        <f>Альфа!$B$924</f>
        <v>642282.13</v>
      </c>
    </row>
    <row r="1120" spans="3:3" hidden="1" outlineLevel="1" collapsed="1" x14ac:dyDescent="0.25">
      <c r="C1120" s="9">
        <f>Альфа!$B$949</f>
        <v>391926.62</v>
      </c>
    </row>
    <row r="1121" spans="2:3" hidden="1" outlineLevel="1" collapsed="1" x14ac:dyDescent="0.25">
      <c r="C1121" s="9">
        <f>Альфа!$B$973</f>
        <v>399387.25</v>
      </c>
    </row>
    <row r="1122" spans="2:3" hidden="1" outlineLevel="1" collapsed="1" x14ac:dyDescent="0.25">
      <c r="C1122" s="9">
        <f>Альфа!$B$999</f>
        <v>560522.23</v>
      </c>
    </row>
    <row r="1123" spans="2:3" hidden="1" outlineLevel="1" collapsed="1" x14ac:dyDescent="0.25">
      <c r="C1123" s="9">
        <f>Альфа!$B$1024</f>
        <v>371127.71</v>
      </c>
    </row>
    <row r="1124" spans="2:3" hidden="1" outlineLevel="1" collapsed="1" x14ac:dyDescent="0.25">
      <c r="C1124" s="9">
        <f>Альфа!$B$1050</f>
        <v>381644.75</v>
      </c>
    </row>
    <row r="1125" spans="2:3" hidden="1" outlineLevel="1" collapsed="1" x14ac:dyDescent="0.25">
      <c r="C1125" s="9">
        <f>Альфа!$B$1075</f>
        <v>400012.79</v>
      </c>
    </row>
    <row r="1126" spans="2:3" hidden="1" outlineLevel="1" collapsed="1" x14ac:dyDescent="0.25">
      <c r="C1126" s="9">
        <f>Альфа!$B$1099</f>
        <v>503250.9</v>
      </c>
    </row>
    <row r="1127" spans="2:3" hidden="1" outlineLevel="1" collapsed="1" x14ac:dyDescent="0.25">
      <c r="C1127" s="9">
        <f>Альфа!$B$1124</f>
        <v>656217.67000000004</v>
      </c>
    </row>
    <row r="1128" spans="2:3" hidden="1" outlineLevel="1" collapsed="1" x14ac:dyDescent="0.25">
      <c r="C1128" s="9">
        <f>Альфа!$B$1149</f>
        <v>624742.47</v>
      </c>
    </row>
    <row r="1129" spans="2:3" hidden="1" outlineLevel="1" collapsed="1" x14ac:dyDescent="0.25">
      <c r="C1129" s="9">
        <f>Альфа!$B$1175</f>
        <v>652566.07999999996</v>
      </c>
    </row>
    <row r="1130" spans="2:3" hidden="1" outlineLevel="1" collapsed="1" x14ac:dyDescent="0.25">
      <c r="C1130" s="9">
        <f>Альфа!$B$1201</f>
        <v>602383.34</v>
      </c>
    </row>
    <row r="1131" spans="2:3" hidden="1" outlineLevel="1" collapsed="1" x14ac:dyDescent="0.25">
      <c r="C1131" s="9">
        <f>Альфа!$B$1227</f>
        <v>617324.05000000005</v>
      </c>
    </row>
    <row r="1132" spans="2:3" hidden="1" outlineLevel="1" collapsed="1" x14ac:dyDescent="0.25">
      <c r="B1132" t="s">
        <v>72</v>
      </c>
      <c r="C1132" s="9">
        <f>Бета!$B$8</f>
        <v>407615.55</v>
      </c>
    </row>
    <row r="1133" spans="2:3" hidden="1" outlineLevel="1" collapsed="1" x14ac:dyDescent="0.25">
      <c r="C1133" s="9">
        <f>Бета!$B$30</f>
        <v>217498.94</v>
      </c>
    </row>
    <row r="1134" spans="2:3" hidden="1" outlineLevel="1" collapsed="1" x14ac:dyDescent="0.25">
      <c r="C1134" s="9">
        <f>Бета!$B$52</f>
        <v>298270.90000000002</v>
      </c>
    </row>
    <row r="1135" spans="2:3" hidden="1" outlineLevel="1" collapsed="1" x14ac:dyDescent="0.25">
      <c r="C1135" s="9">
        <f>Бета!$B$74</f>
        <v>172370.6</v>
      </c>
    </row>
    <row r="1136" spans="2:3" hidden="1" outlineLevel="1" collapsed="1" x14ac:dyDescent="0.25">
      <c r="C1136" s="9">
        <f>Бета!$B$96</f>
        <v>149188.60999999999</v>
      </c>
    </row>
    <row r="1137" spans="3:3" hidden="1" outlineLevel="1" collapsed="1" x14ac:dyDescent="0.25">
      <c r="C1137" s="9">
        <f>Бета!$B$118</f>
        <v>322887.46000000002</v>
      </c>
    </row>
    <row r="1138" spans="3:3" hidden="1" outlineLevel="1" collapsed="1" x14ac:dyDescent="0.25">
      <c r="C1138" s="9">
        <f>Бета!$B$140</f>
        <v>225981.18</v>
      </c>
    </row>
    <row r="1139" spans="3:3" hidden="1" outlineLevel="1" collapsed="1" x14ac:dyDescent="0.25">
      <c r="C1139" s="9">
        <f>Бета!$B$162</f>
        <v>144367.23000000001</v>
      </c>
    </row>
    <row r="1140" spans="3:3" hidden="1" outlineLevel="1" collapsed="1" x14ac:dyDescent="0.25">
      <c r="C1140" s="9">
        <f>Бета!$B$184</f>
        <v>137995.93</v>
      </c>
    </row>
    <row r="1141" spans="3:3" hidden="1" outlineLevel="1" collapsed="1" x14ac:dyDescent="0.25">
      <c r="C1141" s="9">
        <f>Бета!$B$206</f>
        <v>129710</v>
      </c>
    </row>
    <row r="1142" spans="3:3" hidden="1" outlineLevel="1" collapsed="1" x14ac:dyDescent="0.25">
      <c r="C1142" s="9">
        <f>Бета!$B$228</f>
        <v>144060.89000000001</v>
      </c>
    </row>
    <row r="1143" spans="3:3" hidden="1" outlineLevel="1" collapsed="1" x14ac:dyDescent="0.25">
      <c r="C1143" s="9">
        <f>Бета!$B$250</f>
        <v>308124.87</v>
      </c>
    </row>
    <row r="1144" spans="3:3" hidden="1" outlineLevel="1" collapsed="1" x14ac:dyDescent="0.25">
      <c r="C1144" s="9">
        <f>Бета!$B$271</f>
        <v>271900.93</v>
      </c>
    </row>
    <row r="1145" spans="3:3" hidden="1" outlineLevel="1" collapsed="1" x14ac:dyDescent="0.25">
      <c r="C1145" s="9">
        <f>Бета!$B$293</f>
        <v>228922.34</v>
      </c>
    </row>
    <row r="1146" spans="3:3" hidden="1" outlineLevel="1" collapsed="1" x14ac:dyDescent="0.25">
      <c r="C1146" s="9">
        <f>Бета!$B$315</f>
        <v>155928.57</v>
      </c>
    </row>
    <row r="1147" spans="3:3" hidden="1" outlineLevel="1" collapsed="1" x14ac:dyDescent="0.25">
      <c r="C1147" s="9">
        <f>Бета!$B$336</f>
        <v>199955.11</v>
      </c>
    </row>
    <row r="1148" spans="3:3" hidden="1" outlineLevel="1" collapsed="1" x14ac:dyDescent="0.25">
      <c r="C1148" s="9">
        <f>Бета!$B$357</f>
        <v>177719.91</v>
      </c>
    </row>
    <row r="1149" spans="3:3" hidden="1" outlineLevel="1" collapsed="1" x14ac:dyDescent="0.25">
      <c r="C1149" s="9">
        <f>Бета!$B$378</f>
        <v>159932.71</v>
      </c>
    </row>
    <row r="1150" spans="3:3" hidden="1" outlineLevel="1" collapsed="1" x14ac:dyDescent="0.25">
      <c r="C1150" s="9">
        <f>Бета!$B$399</f>
        <v>145602.13</v>
      </c>
    </row>
    <row r="1151" spans="3:3" hidden="1" outlineLevel="1" collapsed="1" x14ac:dyDescent="0.25">
      <c r="C1151" s="9">
        <f>Бета!$B$420</f>
        <v>338462.83</v>
      </c>
    </row>
    <row r="1152" spans="3:3" hidden="1" outlineLevel="1" collapsed="1" x14ac:dyDescent="0.25">
      <c r="C1152" s="9">
        <f>Бета!$B$441</f>
        <v>228615.79</v>
      </c>
    </row>
    <row r="1153" spans="3:3" hidden="1" outlineLevel="1" collapsed="1" x14ac:dyDescent="0.25">
      <c r="C1153" s="9">
        <f>Бета!$B$462</f>
        <v>117287.84</v>
      </c>
    </row>
    <row r="1154" spans="3:3" hidden="1" outlineLevel="1" collapsed="1" x14ac:dyDescent="0.25">
      <c r="C1154" s="9">
        <f>Бета!$B$483</f>
        <v>110748.65</v>
      </c>
    </row>
    <row r="1155" spans="3:3" hidden="1" outlineLevel="1" collapsed="1" x14ac:dyDescent="0.25">
      <c r="C1155" s="9">
        <f>Бета!$B$504</f>
        <v>105245.86</v>
      </c>
    </row>
    <row r="1156" spans="3:3" hidden="1" outlineLevel="1" collapsed="1" x14ac:dyDescent="0.25">
      <c r="C1156" s="9">
        <f>Бета!$B$526</f>
        <v>184459.5</v>
      </c>
    </row>
    <row r="1157" spans="3:3" hidden="1" outlineLevel="1" collapsed="1" x14ac:dyDescent="0.25">
      <c r="C1157" s="9">
        <f>Бета!$B$545</f>
        <v>137308.29</v>
      </c>
    </row>
    <row r="1158" spans="3:3" hidden="1" outlineLevel="1" collapsed="1" x14ac:dyDescent="0.25">
      <c r="C1158" s="9">
        <f>Бета!$B$565</f>
        <v>234401.85</v>
      </c>
    </row>
    <row r="1159" spans="3:3" hidden="1" outlineLevel="1" collapsed="1" x14ac:dyDescent="0.25">
      <c r="C1159" s="9">
        <f>Бета!$B$585</f>
        <v>182495.08</v>
      </c>
    </row>
    <row r="1160" spans="3:3" hidden="1" outlineLevel="1" collapsed="1" x14ac:dyDescent="0.25">
      <c r="C1160" s="9">
        <f>Бета!$B$604</f>
        <v>115937.73</v>
      </c>
    </row>
    <row r="1161" spans="3:3" hidden="1" outlineLevel="1" collapsed="1" x14ac:dyDescent="0.25">
      <c r="C1161" s="9">
        <f>Бета!$B$624</f>
        <v>163616.85</v>
      </c>
    </row>
    <row r="1162" spans="3:3" hidden="1" outlineLevel="1" collapsed="1" x14ac:dyDescent="0.25">
      <c r="C1162" s="9">
        <f>Бета!$B$644</f>
        <v>147418.29999999999</v>
      </c>
    </row>
    <row r="1163" spans="3:3" hidden="1" outlineLevel="1" collapsed="1" x14ac:dyDescent="0.25">
      <c r="C1163" s="9">
        <f>Бета!$B$664</f>
        <v>147872.76</v>
      </c>
    </row>
    <row r="1164" spans="3:3" hidden="1" outlineLevel="1" collapsed="1" x14ac:dyDescent="0.25">
      <c r="C1164" s="9">
        <f>Бета!$B$685</f>
        <v>136205.81</v>
      </c>
    </row>
    <row r="1165" spans="3:3" hidden="1" outlineLevel="1" collapsed="1" x14ac:dyDescent="0.25">
      <c r="C1165" s="9">
        <f>Бета!$B$705</f>
        <v>210915.72</v>
      </c>
    </row>
    <row r="1166" spans="3:3" hidden="1" outlineLevel="1" collapsed="1" x14ac:dyDescent="0.25">
      <c r="C1166" s="9">
        <f>Бета!$B$726</f>
        <v>226504.67</v>
      </c>
    </row>
    <row r="1167" spans="3:3" hidden="1" outlineLevel="1" collapsed="1" x14ac:dyDescent="0.25">
      <c r="C1167" s="9">
        <f>Бета!$B$746</f>
        <v>143945.48000000001</v>
      </c>
    </row>
    <row r="1168" spans="3:3" hidden="1" outlineLevel="1" collapsed="1" x14ac:dyDescent="0.25">
      <c r="C1168" s="9">
        <f>Бета!$B$766</f>
        <v>129931.47</v>
      </c>
    </row>
    <row r="1169" spans="2:3" hidden="1" outlineLevel="1" collapsed="1" x14ac:dyDescent="0.25">
      <c r="C1169" s="9">
        <f>Бета!$B$786</f>
        <v>117542.45</v>
      </c>
    </row>
    <row r="1170" spans="2:3" hidden="1" outlineLevel="1" collapsed="1" x14ac:dyDescent="0.25">
      <c r="C1170" s="9">
        <f>Бета!$B$806</f>
        <v>76679.86</v>
      </c>
    </row>
    <row r="1171" spans="2:3" hidden="1" outlineLevel="1" collapsed="1" x14ac:dyDescent="0.25">
      <c r="C1171" s="9">
        <f>Бета!$B$826</f>
        <v>120142.28</v>
      </c>
    </row>
    <row r="1172" spans="2:3" hidden="1" outlineLevel="1" collapsed="1" x14ac:dyDescent="0.25">
      <c r="C1172" s="9">
        <f>Бета!$B$846</f>
        <v>179556.75</v>
      </c>
    </row>
    <row r="1173" spans="2:3" hidden="1" outlineLevel="1" collapsed="1" x14ac:dyDescent="0.25">
      <c r="C1173" s="9">
        <f>Бета!$B$866</f>
        <v>164910.19</v>
      </c>
    </row>
    <row r="1174" spans="2:3" hidden="1" outlineLevel="1" collapsed="1" x14ac:dyDescent="0.25">
      <c r="C1174" s="9">
        <f>Бета!$B$886</f>
        <v>138308.01</v>
      </c>
    </row>
    <row r="1175" spans="2:3" hidden="1" outlineLevel="1" collapsed="1" x14ac:dyDescent="0.25">
      <c r="C1175" s="9">
        <f>Бета!$B$906</f>
        <v>95329.91</v>
      </c>
    </row>
    <row r="1176" spans="2:3" hidden="1" outlineLevel="1" collapsed="1" x14ac:dyDescent="0.25">
      <c r="C1176" s="9">
        <f>Бета!$B$925</f>
        <v>120436.54</v>
      </c>
    </row>
    <row r="1177" spans="2:3" hidden="1" outlineLevel="1" collapsed="1" x14ac:dyDescent="0.25">
      <c r="C1177" s="9">
        <f>Бета!$B$945</f>
        <v>133728.49</v>
      </c>
    </row>
    <row r="1178" spans="2:3" hidden="1" outlineLevel="1" collapsed="1" x14ac:dyDescent="0.25">
      <c r="C1178" s="9">
        <f>Бета!$B$965</f>
        <v>125863.76</v>
      </c>
    </row>
    <row r="1179" spans="2:3" hidden="1" outlineLevel="1" collapsed="1" x14ac:dyDescent="0.25">
      <c r="C1179" s="9">
        <f>Бета!$B$985</f>
        <v>167230.15</v>
      </c>
    </row>
    <row r="1180" spans="2:3" hidden="1" outlineLevel="1" collapsed="1" x14ac:dyDescent="0.25">
      <c r="C1180" s="9">
        <f>Бета!$B$1005</f>
        <v>87723.22</v>
      </c>
    </row>
    <row r="1181" spans="2:3" hidden="1" outlineLevel="1" collapsed="1" x14ac:dyDescent="0.25">
      <c r="B1181" t="s">
        <v>72</v>
      </c>
      <c r="C1181" s="9">
        <f>Гамма!$B$8</f>
        <v>542280.32999999996</v>
      </c>
    </row>
    <row r="1182" spans="2:3" hidden="1" outlineLevel="1" collapsed="1" x14ac:dyDescent="0.25">
      <c r="C1182" s="9">
        <f>Гамма!$B$34</f>
        <v>626863.75</v>
      </c>
    </row>
    <row r="1183" spans="2:3" hidden="1" outlineLevel="1" collapsed="1" x14ac:dyDescent="0.25">
      <c r="C1183" s="9">
        <f>Гамма!$B$61</f>
        <v>578337.67000000004</v>
      </c>
    </row>
    <row r="1184" spans="2:3" hidden="1" outlineLevel="1" collapsed="1" x14ac:dyDescent="0.25">
      <c r="C1184" s="9">
        <f>Гамма!$B$88</f>
        <v>428261.27</v>
      </c>
    </row>
    <row r="1185" spans="3:3" hidden="1" outlineLevel="1" collapsed="1" x14ac:dyDescent="0.25">
      <c r="C1185" s="9">
        <f>Гамма!$B$114</f>
        <v>534792.36</v>
      </c>
    </row>
    <row r="1186" spans="3:3" hidden="1" outlineLevel="1" collapsed="1" x14ac:dyDescent="0.25">
      <c r="C1186" s="9">
        <f>Гамма!$B$140</f>
        <v>642982.51</v>
      </c>
    </row>
    <row r="1187" spans="3:3" hidden="1" outlineLevel="1" collapsed="1" x14ac:dyDescent="0.25">
      <c r="C1187" s="9">
        <f>Гамма!$B$166</f>
        <v>726807.45</v>
      </c>
    </row>
    <row r="1188" spans="3:3" hidden="1" outlineLevel="1" collapsed="1" x14ac:dyDescent="0.25">
      <c r="C1188" s="9">
        <f>Гамма!$B$193</f>
        <v>304174.94</v>
      </c>
    </row>
    <row r="1189" spans="3:3" hidden="1" outlineLevel="1" collapsed="1" x14ac:dyDescent="0.25">
      <c r="C1189" s="9">
        <f>Гамма!$B$220</f>
        <v>367032.22</v>
      </c>
    </row>
    <row r="1190" spans="3:3" hidden="1" outlineLevel="1" collapsed="1" x14ac:dyDescent="0.25">
      <c r="C1190" s="9">
        <f>Гамма!$B$246</f>
        <v>373623.64</v>
      </c>
    </row>
    <row r="1191" spans="3:3" hidden="1" outlineLevel="1" collapsed="1" x14ac:dyDescent="0.25">
      <c r="C1191" s="9">
        <f>Гамма!$B$272</f>
        <v>437967.44</v>
      </c>
    </row>
    <row r="1192" spans="3:3" hidden="1" outlineLevel="1" collapsed="1" x14ac:dyDescent="0.25">
      <c r="C1192" s="9">
        <f>Гамма!$B$298</f>
        <v>609869.49</v>
      </c>
    </row>
    <row r="1193" spans="3:3" hidden="1" outlineLevel="1" collapsed="1" x14ac:dyDescent="0.25">
      <c r="C1193" s="9">
        <f>Гамма!$B$324</f>
        <v>1062826.78</v>
      </c>
    </row>
    <row r="1194" spans="3:3" hidden="1" outlineLevel="1" collapsed="1" x14ac:dyDescent="0.25">
      <c r="C1194" s="9">
        <f>Гамма!$B$350</f>
        <v>857116.99</v>
      </c>
    </row>
    <row r="1195" spans="3:3" hidden="1" outlineLevel="1" collapsed="1" x14ac:dyDescent="0.25">
      <c r="C1195" s="9">
        <f>Гамма!$B$375</f>
        <v>551200.81000000006</v>
      </c>
    </row>
    <row r="1196" spans="3:3" hidden="1" outlineLevel="1" collapsed="1" x14ac:dyDescent="0.25">
      <c r="C1196" s="9">
        <f>Гамма!$B$401</f>
        <v>628435.97</v>
      </c>
    </row>
    <row r="1197" spans="3:3" hidden="1" outlineLevel="1" collapsed="1" x14ac:dyDescent="0.25">
      <c r="C1197" s="9">
        <f>Гамма!$B$428</f>
        <v>493034</v>
      </c>
    </row>
    <row r="1198" spans="3:3" hidden="1" outlineLevel="1" collapsed="1" x14ac:dyDescent="0.25">
      <c r="C1198" s="9">
        <f>Гамма!$B$455</f>
        <v>596552.14</v>
      </c>
    </row>
    <row r="1199" spans="3:3" hidden="1" outlineLevel="1" collapsed="1" x14ac:dyDescent="0.25">
      <c r="C1199" s="9">
        <f>Гамма!$B$481</f>
        <v>671439.43</v>
      </c>
    </row>
    <row r="1200" spans="3:3" hidden="1" outlineLevel="1" collapsed="1" x14ac:dyDescent="0.25">
      <c r="C1200" s="9">
        <f>Гамма!$B$507</f>
        <v>1032917.36</v>
      </c>
    </row>
    <row r="1201" spans="3:3" hidden="1" outlineLevel="1" collapsed="1" x14ac:dyDescent="0.25">
      <c r="C1201" s="9">
        <f>Гамма!$B$533</f>
        <v>550055.55000000005</v>
      </c>
    </row>
    <row r="1202" spans="3:3" hidden="1" outlineLevel="1" collapsed="1" x14ac:dyDescent="0.25">
      <c r="C1202" s="9">
        <f>Гамма!$B$559</f>
        <v>275701.57</v>
      </c>
    </row>
    <row r="1203" spans="3:3" hidden="1" outlineLevel="1" collapsed="1" x14ac:dyDescent="0.25">
      <c r="C1203" s="9">
        <f>Гамма!$B$584</f>
        <v>222419.32</v>
      </c>
    </row>
    <row r="1204" spans="3:3" hidden="1" outlineLevel="1" collapsed="1" x14ac:dyDescent="0.25">
      <c r="C1204" s="9">
        <f>Гамма!$B$610</f>
        <v>321355.17</v>
      </c>
    </row>
    <row r="1205" spans="3:3" hidden="1" outlineLevel="1" collapsed="1" x14ac:dyDescent="0.25">
      <c r="C1205" s="9">
        <f>Гамма!$B$636</f>
        <v>296888.81</v>
      </c>
    </row>
    <row r="1206" spans="3:3" hidden="1" outlineLevel="1" collapsed="1" x14ac:dyDescent="0.25">
      <c r="C1206" s="9">
        <f>Гамма!$B$662</f>
        <v>298692.81</v>
      </c>
    </row>
    <row r="1207" spans="3:3" hidden="1" outlineLevel="1" collapsed="1" x14ac:dyDescent="0.25">
      <c r="C1207" s="9">
        <f>Гамма!$B$688</f>
        <v>552219.79</v>
      </c>
    </row>
    <row r="1208" spans="3:3" hidden="1" outlineLevel="1" collapsed="1" x14ac:dyDescent="0.25">
      <c r="C1208" s="9">
        <f>Гамма!$B$714</f>
        <v>477166.15</v>
      </c>
    </row>
    <row r="1209" spans="3:3" hidden="1" outlineLevel="1" collapsed="1" x14ac:dyDescent="0.25">
      <c r="C1209" s="9">
        <f>Гамма!$B$738</f>
        <v>299204.81</v>
      </c>
    </row>
    <row r="1210" spans="3:3" hidden="1" outlineLevel="1" collapsed="1" x14ac:dyDescent="0.25">
      <c r="C1210" s="9">
        <f>Гамма!$B$764</f>
        <v>427857.33</v>
      </c>
    </row>
    <row r="1211" spans="3:3" hidden="1" outlineLevel="1" collapsed="1" x14ac:dyDescent="0.25">
      <c r="C1211" s="9">
        <f>Гамма!$B$788</f>
        <v>451102.25</v>
      </c>
    </row>
    <row r="1212" spans="3:3" hidden="1" outlineLevel="1" collapsed="1" x14ac:dyDescent="0.25">
      <c r="C1212" s="9">
        <f>Гамма!$B$814</f>
        <v>457472.92</v>
      </c>
    </row>
    <row r="1213" spans="3:3" hidden="1" outlineLevel="1" collapsed="1" x14ac:dyDescent="0.25">
      <c r="C1213" s="9">
        <f>Гамма!$B$840</f>
        <v>514287.65</v>
      </c>
    </row>
    <row r="1214" spans="3:3" hidden="1" outlineLevel="1" collapsed="1" x14ac:dyDescent="0.25">
      <c r="C1214" s="9">
        <f>Гамма!$B$866</f>
        <v>739419.85</v>
      </c>
    </row>
    <row r="1215" spans="3:3" hidden="1" outlineLevel="1" collapsed="1" x14ac:dyDescent="0.25">
      <c r="C1215" s="9">
        <f>Гамма!$B$892</f>
        <v>672596.78</v>
      </c>
    </row>
    <row r="1216" spans="3:3" hidden="1" outlineLevel="1" collapsed="1" x14ac:dyDescent="0.25">
      <c r="C1216" s="9">
        <f>Гамма!$B$918</f>
        <v>473476.18</v>
      </c>
    </row>
    <row r="1217" spans="2:3" hidden="1" outlineLevel="1" collapsed="1" x14ac:dyDescent="0.25">
      <c r="C1217" s="9">
        <f>Гамма!$B$943</f>
        <v>418794.03</v>
      </c>
    </row>
    <row r="1218" spans="2:3" hidden="1" outlineLevel="1" collapsed="1" x14ac:dyDescent="0.25">
      <c r="C1218" s="9">
        <f>Гамма!$B$969</f>
        <v>284752.14</v>
      </c>
    </row>
    <row r="1219" spans="2:3" hidden="1" outlineLevel="1" collapsed="1" x14ac:dyDescent="0.25">
      <c r="C1219" s="9">
        <f>Гамма!$B$995</f>
        <v>343285.08</v>
      </c>
    </row>
    <row r="1220" spans="2:3" hidden="1" outlineLevel="1" collapsed="1" x14ac:dyDescent="0.25">
      <c r="C1220" s="9">
        <f>Гамма!$B$1020</f>
        <v>350496.07</v>
      </c>
    </row>
    <row r="1221" spans="2:3" hidden="1" outlineLevel="1" collapsed="1" x14ac:dyDescent="0.25">
      <c r="C1221" s="9">
        <f>Гамма!$B$1044</f>
        <v>440986.97</v>
      </c>
    </row>
    <row r="1222" spans="2:3" hidden="1" outlineLevel="1" collapsed="1" x14ac:dyDescent="0.25">
      <c r="C1222" s="9">
        <f>Гамма!$B$1069</f>
        <v>455922.34</v>
      </c>
    </row>
    <row r="1223" spans="2:3" hidden="1" outlineLevel="1" collapsed="1" x14ac:dyDescent="0.25">
      <c r="C1223" s="9">
        <f>Гамма!$B$1095</f>
        <v>354651.88</v>
      </c>
    </row>
    <row r="1224" spans="2:3" hidden="1" outlineLevel="1" collapsed="1" x14ac:dyDescent="0.25">
      <c r="C1224" s="9">
        <f>Гамма!$B$1119</f>
        <v>343374.17</v>
      </c>
    </row>
    <row r="1225" spans="2:3" hidden="1" outlineLevel="1" collapsed="1" x14ac:dyDescent="0.25">
      <c r="C1225" s="9">
        <f>Гамма!$B$1143</f>
        <v>307054.33</v>
      </c>
    </row>
    <row r="1226" spans="2:3" hidden="1" outlineLevel="1" collapsed="1" x14ac:dyDescent="0.25">
      <c r="C1226" s="9">
        <f>Гамма!$B$1169</f>
        <v>343629.81</v>
      </c>
    </row>
    <row r="1227" spans="2:3" hidden="1" outlineLevel="1" collapsed="1" x14ac:dyDescent="0.25">
      <c r="C1227" s="9">
        <f>Гамма!$B$1193</f>
        <v>312829.07</v>
      </c>
    </row>
    <row r="1228" spans="2:3" hidden="1" outlineLevel="1" collapsed="1" x14ac:dyDescent="0.25">
      <c r="C1228" s="9">
        <f>Гамма!$B$1218</f>
        <v>295129.51</v>
      </c>
    </row>
    <row r="1229" spans="2:3" hidden="1" outlineLevel="1" collapsed="1" x14ac:dyDescent="0.25">
      <c r="C1229" s="9">
        <f>Гамма!$B$1243</f>
        <v>218298.51</v>
      </c>
    </row>
    <row r="1230" spans="2:3" hidden="1" outlineLevel="1" collapsed="1" x14ac:dyDescent="0.25">
      <c r="B1230" t="s">
        <v>72</v>
      </c>
      <c r="C1230" s="9">
        <f>Дельта!$B$8</f>
        <v>447084.74</v>
      </c>
    </row>
    <row r="1231" spans="2:3" hidden="1" outlineLevel="1" collapsed="1" x14ac:dyDescent="0.25">
      <c r="C1231" s="9">
        <f>Дельта!$B$34</f>
        <v>484846.31</v>
      </c>
    </row>
    <row r="1232" spans="2:3" hidden="1" outlineLevel="1" collapsed="1" x14ac:dyDescent="0.25">
      <c r="C1232" s="9">
        <f>Дельта!$B$60</f>
        <v>569301.56000000006</v>
      </c>
    </row>
    <row r="1233" spans="3:3" hidden="1" outlineLevel="1" collapsed="1" x14ac:dyDescent="0.25">
      <c r="C1233" s="9">
        <f>Дельта!$B$86</f>
        <v>416888</v>
      </c>
    </row>
    <row r="1234" spans="3:3" hidden="1" outlineLevel="1" collapsed="1" x14ac:dyDescent="0.25">
      <c r="C1234" s="9">
        <f>Дельта!$B$112</f>
        <v>456960</v>
      </c>
    </row>
    <row r="1235" spans="3:3" hidden="1" outlineLevel="1" collapsed="1" x14ac:dyDescent="0.25">
      <c r="C1235" s="9">
        <f>Дельта!$B$138</f>
        <v>674046</v>
      </c>
    </row>
    <row r="1236" spans="3:3" hidden="1" outlineLevel="1" collapsed="1" x14ac:dyDescent="0.25">
      <c r="C1236" s="9">
        <f>Дельта!$B$163</f>
        <v>481028.62</v>
      </c>
    </row>
    <row r="1237" spans="3:3" hidden="1" outlineLevel="1" collapsed="1" x14ac:dyDescent="0.25">
      <c r="C1237" s="9">
        <f>Дельта!$B$189</f>
        <v>417460</v>
      </c>
    </row>
    <row r="1238" spans="3:3" hidden="1" outlineLevel="1" collapsed="1" x14ac:dyDescent="0.25">
      <c r="C1238" s="9">
        <f>Дельта!$B$215</f>
        <v>383812.96</v>
      </c>
    </row>
    <row r="1239" spans="3:3" hidden="1" outlineLevel="1" collapsed="1" x14ac:dyDescent="0.25">
      <c r="C1239" s="9">
        <f>Дельта!$B$240</f>
        <v>340882</v>
      </c>
    </row>
    <row r="1240" spans="3:3" hidden="1" outlineLevel="1" collapsed="1" x14ac:dyDescent="0.25">
      <c r="C1240" s="9">
        <f>Дельта!$B$266</f>
        <v>388949</v>
      </c>
    </row>
    <row r="1241" spans="3:3" hidden="1" outlineLevel="1" collapsed="1" x14ac:dyDescent="0.25">
      <c r="C1241" s="9">
        <f>Дельта!$B$292</f>
        <v>530962</v>
      </c>
    </row>
    <row r="1242" spans="3:3" hidden="1" outlineLevel="1" collapsed="1" x14ac:dyDescent="0.25">
      <c r="C1242" s="9">
        <f>Дельта!$B$318</f>
        <v>767307</v>
      </c>
    </row>
    <row r="1243" spans="3:3" hidden="1" outlineLevel="1" collapsed="1" x14ac:dyDescent="0.25">
      <c r="C1243" s="9">
        <f>Дельта!$B$344</f>
        <v>747587</v>
      </c>
    </row>
    <row r="1244" spans="3:3" hidden="1" outlineLevel="1" collapsed="1" x14ac:dyDescent="0.25">
      <c r="C1244" s="9">
        <f>Дельта!$B$370</f>
        <v>452404</v>
      </c>
    </row>
    <row r="1245" spans="3:3" hidden="1" outlineLevel="1" collapsed="1" x14ac:dyDescent="0.25">
      <c r="C1245" s="9">
        <f>Дельта!$B$396</f>
        <v>487258</v>
      </c>
    </row>
    <row r="1246" spans="3:3" hidden="1" outlineLevel="1" collapsed="1" x14ac:dyDescent="0.25">
      <c r="C1246" s="9">
        <f>Дельта!$B$422</f>
        <v>455894</v>
      </c>
    </row>
    <row r="1247" spans="3:3" hidden="1" outlineLevel="1" collapsed="1" x14ac:dyDescent="0.25">
      <c r="C1247" s="9">
        <f>Дельта!$B$448</f>
        <v>565673</v>
      </c>
    </row>
    <row r="1248" spans="3:3" hidden="1" outlineLevel="1" collapsed="1" x14ac:dyDescent="0.25">
      <c r="C1248" s="9">
        <f>Дельта!$B$474</f>
        <v>580014</v>
      </c>
    </row>
    <row r="1249" spans="3:3" hidden="1" outlineLevel="1" collapsed="1" x14ac:dyDescent="0.25">
      <c r="C1249" s="9">
        <f>Дельта!$B$500</f>
        <v>1028976</v>
      </c>
    </row>
    <row r="1250" spans="3:3" hidden="1" outlineLevel="1" collapsed="1" x14ac:dyDescent="0.25">
      <c r="C1250" s="9">
        <f>Дельта!$B$526</f>
        <v>688732</v>
      </c>
    </row>
    <row r="1251" spans="3:3" hidden="1" outlineLevel="1" collapsed="1" x14ac:dyDescent="0.25">
      <c r="C1251" s="9">
        <f>Дельта!$B$552</f>
        <v>412583</v>
      </c>
    </row>
    <row r="1252" spans="3:3" hidden="1" outlineLevel="1" collapsed="1" x14ac:dyDescent="0.25">
      <c r="C1252" s="9">
        <f>Дельта!$B$578</f>
        <v>266913</v>
      </c>
    </row>
    <row r="1253" spans="3:3" hidden="1" outlineLevel="1" collapsed="1" x14ac:dyDescent="0.25">
      <c r="C1253" s="9">
        <f>Дельта!$B$604</f>
        <v>407177</v>
      </c>
    </row>
    <row r="1254" spans="3:3" hidden="1" outlineLevel="1" collapsed="1" x14ac:dyDescent="0.25">
      <c r="C1254" s="9">
        <f>Дельта!$B$629</f>
        <v>467870</v>
      </c>
    </row>
    <row r="1255" spans="3:3" hidden="1" outlineLevel="1" collapsed="1" x14ac:dyDescent="0.25">
      <c r="C1255" s="9">
        <f>Дельта!$B$655</f>
        <v>328775</v>
      </c>
    </row>
    <row r="1256" spans="3:3" hidden="1" outlineLevel="1" collapsed="1" x14ac:dyDescent="0.25">
      <c r="C1256" s="9">
        <f>Дельта!$B$682</f>
        <v>355729</v>
      </c>
    </row>
    <row r="1257" spans="3:3" hidden="1" outlineLevel="1" collapsed="1" x14ac:dyDescent="0.25">
      <c r="C1257" s="9">
        <f>Дельта!$B$708</f>
        <v>280999</v>
      </c>
    </row>
    <row r="1258" spans="3:3" hidden="1" outlineLevel="1" collapsed="1" x14ac:dyDescent="0.25">
      <c r="C1258" s="9">
        <f>Дельта!$B$733</f>
        <v>243047</v>
      </c>
    </row>
    <row r="1259" spans="3:3" hidden="1" outlineLevel="1" collapsed="1" x14ac:dyDescent="0.25">
      <c r="C1259" s="9">
        <f>Дельта!$B$759</f>
        <v>189371.02</v>
      </c>
    </row>
    <row r="1260" spans="3:3" hidden="1" outlineLevel="1" collapsed="1" x14ac:dyDescent="0.25">
      <c r="C1260" s="9">
        <f>Дельта!$B$784</f>
        <v>248750</v>
      </c>
    </row>
    <row r="1261" spans="3:3" hidden="1" outlineLevel="1" collapsed="1" x14ac:dyDescent="0.25">
      <c r="C1261" s="9">
        <f>Дельта!$B$810</f>
        <v>371186</v>
      </c>
    </row>
    <row r="1262" spans="3:3" hidden="1" outlineLevel="1" collapsed="1" x14ac:dyDescent="0.25">
      <c r="C1262" s="9">
        <f>Дельта!$B$836</f>
        <v>394184</v>
      </c>
    </row>
    <row r="1263" spans="3:3" hidden="1" outlineLevel="1" collapsed="1" x14ac:dyDescent="0.25">
      <c r="C1263" s="9">
        <f>Дельта!$B$862</f>
        <v>646951</v>
      </c>
    </row>
    <row r="1264" spans="3:3" hidden="1" outlineLevel="1" collapsed="1" x14ac:dyDescent="0.25">
      <c r="C1264" s="9">
        <f>Дельта!$B$888</f>
        <v>496487</v>
      </c>
    </row>
    <row r="1265" spans="1:3" hidden="1" outlineLevel="1" collapsed="1" x14ac:dyDescent="0.25">
      <c r="C1265" s="9">
        <f>Дельта!$B$914</f>
        <v>347894</v>
      </c>
    </row>
    <row r="1266" spans="1:3" hidden="1" outlineLevel="1" collapsed="1" x14ac:dyDescent="0.25">
      <c r="C1266" s="9">
        <f>Дельта!$B$939</f>
        <v>256327</v>
      </c>
    </row>
    <row r="1267" spans="1:3" hidden="1" outlineLevel="1" collapsed="1" x14ac:dyDescent="0.25">
      <c r="C1267" s="9">
        <f>Дельта!$B$965</f>
        <v>213886.4</v>
      </c>
    </row>
    <row r="1268" spans="1:3" hidden="1" outlineLevel="1" collapsed="1" x14ac:dyDescent="0.25">
      <c r="C1268" s="9">
        <f>Дельта!$B$990</f>
        <v>249260</v>
      </c>
    </row>
    <row r="1269" spans="1:3" hidden="1" outlineLevel="1" collapsed="1" x14ac:dyDescent="0.25">
      <c r="C1269" s="9">
        <f>Дельта!$B$1016</f>
        <v>229983</v>
      </c>
    </row>
    <row r="1270" spans="1:3" hidden="1" outlineLevel="1" collapsed="1" x14ac:dyDescent="0.25">
      <c r="C1270" s="9">
        <f>Дельта!$B$1041</f>
        <v>370503.6</v>
      </c>
    </row>
    <row r="1271" spans="1:3" hidden="1" outlineLevel="1" collapsed="1" x14ac:dyDescent="0.25">
      <c r="C1271" s="9">
        <f>Дельта!$B$1067</f>
        <v>309134.33</v>
      </c>
    </row>
    <row r="1272" spans="1:3" hidden="1" outlineLevel="1" collapsed="1" x14ac:dyDescent="0.25">
      <c r="C1272" s="9">
        <f>Дельта!$B$1091</f>
        <v>321946</v>
      </c>
    </row>
    <row r="1273" spans="1:3" hidden="1" outlineLevel="1" collapsed="1" x14ac:dyDescent="0.25">
      <c r="C1273" s="9">
        <f>Дельта!$B$1116</f>
        <v>320003</v>
      </c>
    </row>
    <row r="1274" spans="1:3" hidden="1" outlineLevel="1" collapsed="1" x14ac:dyDescent="0.25">
      <c r="C1274" s="9">
        <f>Дельта!$B$1141</f>
        <v>351996</v>
      </c>
    </row>
    <row r="1275" spans="1:3" hidden="1" outlineLevel="1" collapsed="1" x14ac:dyDescent="0.25">
      <c r="C1275" s="9">
        <f>Дельта!$B$1165</f>
        <v>278497.39</v>
      </c>
    </row>
    <row r="1276" spans="1:3" hidden="1" outlineLevel="1" collapsed="1" x14ac:dyDescent="0.25">
      <c r="C1276" s="9">
        <f>Дельта!$B$1188</f>
        <v>393166.54</v>
      </c>
    </row>
    <row r="1277" spans="1:3" hidden="1" outlineLevel="1" collapsed="1" x14ac:dyDescent="0.25">
      <c r="C1277" s="9">
        <f>Дельта!$B$1214</f>
        <v>317855</v>
      </c>
    </row>
    <row r="1278" spans="1:3" hidden="1" outlineLevel="1" collapsed="1" x14ac:dyDescent="0.25">
      <c r="C1278" s="9">
        <f>Дельта!$B$1238</f>
        <v>233493</v>
      </c>
    </row>
    <row r="1279" spans="1:3" collapsed="1" x14ac:dyDescent="0.25">
      <c r="A1279" t="s">
        <v>8</v>
      </c>
      <c r="C1279" s="9">
        <f>SUM(C1083:C1278)</f>
        <v>88001317.719999984</v>
      </c>
    </row>
    <row r="1280" spans="1:3" hidden="1" outlineLevel="1" x14ac:dyDescent="0.25">
      <c r="B1280" t="s">
        <v>72</v>
      </c>
      <c r="C1280" s="9">
        <f>Альфа!$B$9</f>
        <v>155003.84</v>
      </c>
    </row>
    <row r="1281" spans="3:3" hidden="1" outlineLevel="1" collapsed="1" x14ac:dyDescent="0.25">
      <c r="C1281" s="9">
        <f>Альфа!$B$35</f>
        <v>184643.88</v>
      </c>
    </row>
    <row r="1282" spans="3:3" hidden="1" outlineLevel="1" collapsed="1" x14ac:dyDescent="0.25">
      <c r="C1282" s="9">
        <f>Альфа!$B$61</f>
        <v>152311.51</v>
      </c>
    </row>
    <row r="1283" spans="3:3" hidden="1" outlineLevel="1" collapsed="1" x14ac:dyDescent="0.25">
      <c r="C1283" s="9">
        <f>Альфа!$B$87</f>
        <v>165404.28</v>
      </c>
    </row>
    <row r="1284" spans="3:3" hidden="1" outlineLevel="1" collapsed="1" x14ac:dyDescent="0.25">
      <c r="C1284" s="9">
        <f>Альфа!$B$113</f>
        <v>175935.22</v>
      </c>
    </row>
    <row r="1285" spans="3:3" hidden="1" outlineLevel="1" collapsed="1" x14ac:dyDescent="0.25">
      <c r="C1285" s="9">
        <f>Альфа!$B$140</f>
        <v>237267.79</v>
      </c>
    </row>
    <row r="1286" spans="3:3" hidden="1" outlineLevel="1" collapsed="1" x14ac:dyDescent="0.25">
      <c r="C1286" s="9">
        <f>Альфа!$B$166</f>
        <v>168928.99</v>
      </c>
    </row>
    <row r="1287" spans="3:3" hidden="1" outlineLevel="1" collapsed="1" x14ac:dyDescent="0.25">
      <c r="C1287" s="9">
        <f>Альфа!$B$192</f>
        <v>149540.37</v>
      </c>
    </row>
    <row r="1288" spans="3:3" hidden="1" outlineLevel="1" collapsed="1" x14ac:dyDescent="0.25">
      <c r="C1288" s="9">
        <f>Альфа!$B$218</f>
        <v>95463.98</v>
      </c>
    </row>
    <row r="1289" spans="3:3" hidden="1" outlineLevel="1" collapsed="1" x14ac:dyDescent="0.25">
      <c r="C1289" s="9">
        <f>Альфа!$B$245</f>
        <v>137820.67000000001</v>
      </c>
    </row>
    <row r="1290" spans="3:3" hidden="1" outlineLevel="1" collapsed="1" x14ac:dyDescent="0.25">
      <c r="C1290" s="9">
        <f>Альфа!$B$271</f>
        <v>131298.91</v>
      </c>
    </row>
    <row r="1291" spans="3:3" hidden="1" outlineLevel="1" collapsed="1" x14ac:dyDescent="0.25">
      <c r="C1291" s="9">
        <f>Альфа!$B$297</f>
        <v>183271.75</v>
      </c>
    </row>
    <row r="1292" spans="3:3" hidden="1" outlineLevel="1" collapsed="1" x14ac:dyDescent="0.25">
      <c r="C1292" s="9">
        <f>Альфа!$B$323</f>
        <v>180597.07</v>
      </c>
    </row>
    <row r="1293" spans="3:3" hidden="1" outlineLevel="1" collapsed="1" x14ac:dyDescent="0.25">
      <c r="C1293" s="9">
        <f>Альфа!$B$349</f>
        <v>138097</v>
      </c>
    </row>
    <row r="1294" spans="3:3" hidden="1" outlineLevel="1" collapsed="1" x14ac:dyDescent="0.25">
      <c r="C1294" s="9">
        <f>Альфа!$B$376</f>
        <v>110758.45</v>
      </c>
    </row>
    <row r="1295" spans="3:3" hidden="1" outlineLevel="1" collapsed="1" x14ac:dyDescent="0.25">
      <c r="C1295" s="9">
        <f>Альфа!$B$402</f>
        <v>144933.9</v>
      </c>
    </row>
    <row r="1296" spans="3:3" hidden="1" outlineLevel="1" collapsed="1" x14ac:dyDescent="0.25">
      <c r="C1296" s="9">
        <f>Альфа!$B$428</f>
        <v>136715.56</v>
      </c>
    </row>
    <row r="1297" spans="3:3" hidden="1" outlineLevel="1" collapsed="1" x14ac:dyDescent="0.25">
      <c r="C1297" s="9">
        <f>Альфа!$B$453</f>
        <v>203929.73</v>
      </c>
    </row>
    <row r="1298" spans="3:3" hidden="1" outlineLevel="1" collapsed="1" x14ac:dyDescent="0.25">
      <c r="C1298" s="9">
        <f>Альфа!$B$479</f>
        <v>252487.49</v>
      </c>
    </row>
    <row r="1299" spans="3:3" hidden="1" outlineLevel="1" collapsed="1" x14ac:dyDescent="0.25">
      <c r="C1299" s="9">
        <f>Альфа!$B$504</f>
        <v>298713.46999999997</v>
      </c>
    </row>
    <row r="1300" spans="3:3" hidden="1" outlineLevel="1" collapsed="1" x14ac:dyDescent="0.25">
      <c r="C1300" s="9">
        <f>Альфа!$B$529</f>
        <v>221327.7</v>
      </c>
    </row>
    <row r="1301" spans="3:3" hidden="1" outlineLevel="1" collapsed="1" x14ac:dyDescent="0.25">
      <c r="C1301" s="9">
        <f>Альфа!$B$554</f>
        <v>138057.42000000001</v>
      </c>
    </row>
    <row r="1302" spans="3:3" hidden="1" outlineLevel="1" collapsed="1" x14ac:dyDescent="0.25">
      <c r="C1302" s="9">
        <f>Альфа!$B$579</f>
        <v>89732.800000000003</v>
      </c>
    </row>
    <row r="1303" spans="3:3" hidden="1" outlineLevel="1" collapsed="1" x14ac:dyDescent="0.25">
      <c r="C1303" s="9">
        <f>Альфа!$B$603</f>
        <v>95300</v>
      </c>
    </row>
    <row r="1304" spans="3:3" hidden="1" outlineLevel="1" collapsed="1" x14ac:dyDescent="0.25">
      <c r="C1304" s="9">
        <f>Альфа!$B$628</f>
        <v>130737.03</v>
      </c>
    </row>
    <row r="1305" spans="3:3" hidden="1" outlineLevel="1" collapsed="1" x14ac:dyDescent="0.25">
      <c r="C1305" s="9">
        <f>Альфа!$B$653</f>
        <v>150000.26999999999</v>
      </c>
    </row>
    <row r="1306" spans="3:3" hidden="1" outlineLevel="1" collapsed="1" x14ac:dyDescent="0.25">
      <c r="C1306" s="9">
        <f>Альфа!$B$678</f>
        <v>161130.49</v>
      </c>
    </row>
    <row r="1307" spans="3:3" hidden="1" outlineLevel="1" collapsed="1" x14ac:dyDescent="0.25">
      <c r="C1307" s="9">
        <f>Альфа!$B$703</f>
        <v>131223.51</v>
      </c>
    </row>
    <row r="1308" spans="3:3" hidden="1" outlineLevel="1" collapsed="1" x14ac:dyDescent="0.25">
      <c r="C1308" s="9">
        <f>Альфа!$B$728</f>
        <v>89927.58</v>
      </c>
    </row>
    <row r="1309" spans="3:3" hidden="1" outlineLevel="1" collapsed="1" x14ac:dyDescent="0.25">
      <c r="C1309" s="9">
        <f>Альфа!$B$753</f>
        <v>116087.26</v>
      </c>
    </row>
    <row r="1310" spans="3:3" hidden="1" outlineLevel="1" collapsed="1" x14ac:dyDescent="0.25">
      <c r="C1310" s="9">
        <f>Альфа!$B$778</f>
        <v>80017.919999999998</v>
      </c>
    </row>
    <row r="1311" spans="3:3" hidden="1" outlineLevel="1" collapsed="1" x14ac:dyDescent="0.25">
      <c r="C1311" s="9">
        <f>Альфа!$B$801</f>
        <v>201750.88</v>
      </c>
    </row>
    <row r="1312" spans="3:3" hidden="1" outlineLevel="1" collapsed="1" x14ac:dyDescent="0.25">
      <c r="C1312" s="9">
        <f>Альфа!$B$825</f>
        <v>172293.81</v>
      </c>
    </row>
    <row r="1313" spans="3:3" hidden="1" outlineLevel="1" collapsed="1" x14ac:dyDescent="0.25">
      <c r="C1313" s="9">
        <f>Альфа!$B$850</f>
        <v>228237.28</v>
      </c>
    </row>
    <row r="1314" spans="3:3" hidden="1" outlineLevel="1" collapsed="1" x14ac:dyDescent="0.25">
      <c r="C1314" s="9">
        <f>Альфа!$B$875</f>
        <v>229446.49</v>
      </c>
    </row>
    <row r="1315" spans="3:3" hidden="1" outlineLevel="1" collapsed="1" x14ac:dyDescent="0.25">
      <c r="C1315" s="9">
        <f>Альфа!$B$900</f>
        <v>130528</v>
      </c>
    </row>
    <row r="1316" spans="3:3" hidden="1" outlineLevel="1" collapsed="1" x14ac:dyDescent="0.25">
      <c r="C1316" s="9">
        <f>Альфа!$B$925</f>
        <v>92469.07</v>
      </c>
    </row>
    <row r="1317" spans="3:3" hidden="1" outlineLevel="1" collapsed="1" x14ac:dyDescent="0.25">
      <c r="C1317" s="9">
        <f>Альфа!$B$950</f>
        <v>110935.14</v>
      </c>
    </row>
    <row r="1318" spans="3:3" hidden="1" outlineLevel="1" collapsed="1" x14ac:dyDescent="0.25">
      <c r="C1318" s="9">
        <f>Альфа!$B$974</f>
        <v>99881.22</v>
      </c>
    </row>
    <row r="1319" spans="3:3" hidden="1" outlineLevel="1" collapsed="1" x14ac:dyDescent="0.25">
      <c r="C1319" s="9">
        <f>Альфа!$B$1000</f>
        <v>102674.15</v>
      </c>
    </row>
    <row r="1320" spans="3:3" hidden="1" outlineLevel="1" collapsed="1" x14ac:dyDescent="0.25">
      <c r="C1320" s="9">
        <f>Альфа!$B$1025</f>
        <v>111378.68</v>
      </c>
    </row>
    <row r="1321" spans="3:3" hidden="1" outlineLevel="1" collapsed="1" x14ac:dyDescent="0.25">
      <c r="C1321" s="9">
        <f>Альфа!$B$1051</f>
        <v>134848.44</v>
      </c>
    </row>
    <row r="1322" spans="3:3" hidden="1" outlineLevel="1" collapsed="1" x14ac:dyDescent="0.25">
      <c r="C1322" s="9">
        <f>Альфа!$B$1076</f>
        <v>88911.62</v>
      </c>
    </row>
    <row r="1323" spans="3:3" hidden="1" outlineLevel="1" collapsed="1" x14ac:dyDescent="0.25">
      <c r="C1323" s="9">
        <f>Альфа!$B$1100</f>
        <v>98716.28</v>
      </c>
    </row>
    <row r="1324" spans="3:3" hidden="1" outlineLevel="1" collapsed="1" x14ac:dyDescent="0.25">
      <c r="C1324" s="9">
        <f>Альфа!$B$1125</f>
        <v>96405</v>
      </c>
    </row>
    <row r="1325" spans="3:3" hidden="1" outlineLevel="1" collapsed="1" x14ac:dyDescent="0.25">
      <c r="C1325" s="9">
        <f>Альфа!$B$1150</f>
        <v>91977.84</v>
      </c>
    </row>
    <row r="1326" spans="3:3" hidden="1" outlineLevel="1" collapsed="1" x14ac:dyDescent="0.25">
      <c r="C1326" s="9">
        <f>Альфа!$B$1176</f>
        <v>121243.92</v>
      </c>
    </row>
    <row r="1327" spans="3:3" hidden="1" outlineLevel="1" collapsed="1" x14ac:dyDescent="0.25">
      <c r="C1327" s="9">
        <f>Альфа!$B$1202</f>
        <v>173563.33</v>
      </c>
    </row>
    <row r="1328" spans="3:3" hidden="1" outlineLevel="1" collapsed="1" x14ac:dyDescent="0.25">
      <c r="C1328" s="9">
        <f>Альфа!$B$1228</f>
        <v>100844.89</v>
      </c>
    </row>
    <row r="1329" spans="2:3" hidden="1" outlineLevel="1" collapsed="1" x14ac:dyDescent="0.25">
      <c r="B1329" t="s">
        <v>72</v>
      </c>
      <c r="C1329" s="9">
        <f>Бета!$B$9</f>
        <v>28027</v>
      </c>
    </row>
    <row r="1330" spans="2:3" hidden="1" outlineLevel="1" collapsed="1" x14ac:dyDescent="0.25">
      <c r="C1330" s="9">
        <f>Бета!$B$31</f>
        <v>40741</v>
      </c>
    </row>
    <row r="1331" spans="2:3" hidden="1" outlineLevel="1" collapsed="1" x14ac:dyDescent="0.25">
      <c r="C1331" s="9">
        <f>Бета!$B$53</f>
        <v>34244</v>
      </c>
    </row>
    <row r="1332" spans="2:3" hidden="1" outlineLevel="1" collapsed="1" x14ac:dyDescent="0.25">
      <c r="C1332" s="9">
        <f>Бета!$B$75</f>
        <v>25780.18</v>
      </c>
    </row>
    <row r="1333" spans="2:3" hidden="1" outlineLevel="1" collapsed="1" x14ac:dyDescent="0.25">
      <c r="C1333" s="9">
        <f>Бета!$B$97</f>
        <v>32639.13</v>
      </c>
    </row>
    <row r="1334" spans="2:3" hidden="1" outlineLevel="1" collapsed="1" x14ac:dyDescent="0.25">
      <c r="C1334" s="9">
        <f>Бета!$B$119</f>
        <v>67860.98</v>
      </c>
    </row>
    <row r="1335" spans="2:3" hidden="1" outlineLevel="1" collapsed="1" x14ac:dyDescent="0.25">
      <c r="C1335" s="9">
        <f>Бета!$B$141</f>
        <v>64950.18</v>
      </c>
    </row>
    <row r="1336" spans="2:3" hidden="1" outlineLevel="1" collapsed="1" x14ac:dyDescent="0.25">
      <c r="C1336" s="9">
        <f>Бета!$B$163</f>
        <v>44961.83</v>
      </c>
    </row>
    <row r="1337" spans="2:3" hidden="1" outlineLevel="1" collapsed="1" x14ac:dyDescent="0.25">
      <c r="C1337" s="9">
        <f>Бета!$B$185</f>
        <v>31720.6</v>
      </c>
    </row>
    <row r="1338" spans="2:3" hidden="1" outlineLevel="1" collapsed="1" x14ac:dyDescent="0.25">
      <c r="C1338" s="9">
        <f>Бета!$B$207</f>
        <v>31395.279999999999</v>
      </c>
    </row>
    <row r="1339" spans="2:3" hidden="1" outlineLevel="1" collapsed="1" x14ac:dyDescent="0.25">
      <c r="C1339" s="9">
        <f>Бета!$B$229</f>
        <v>34098.47</v>
      </c>
    </row>
    <row r="1340" spans="2:3" hidden="1" outlineLevel="1" collapsed="1" x14ac:dyDescent="0.25">
      <c r="C1340" s="9">
        <f>Бета!$B$251</f>
        <v>41367.26</v>
      </c>
    </row>
    <row r="1341" spans="2:3" hidden="1" outlineLevel="1" collapsed="1" x14ac:dyDescent="0.25">
      <c r="C1341" s="9">
        <f>Бета!$B$272</f>
        <v>66495.11</v>
      </c>
    </row>
    <row r="1342" spans="2:3" hidden="1" outlineLevel="1" collapsed="1" x14ac:dyDescent="0.25">
      <c r="C1342" s="9">
        <f>Бета!$B$294</f>
        <v>52868.49</v>
      </c>
    </row>
    <row r="1343" spans="2:3" hidden="1" outlineLevel="1" collapsed="1" x14ac:dyDescent="0.25">
      <c r="C1343" s="9">
        <f>Бета!$B$316</f>
        <v>23145.25</v>
      </c>
    </row>
    <row r="1344" spans="2:3" hidden="1" outlineLevel="1" collapsed="1" x14ac:dyDescent="0.25">
      <c r="C1344" s="9">
        <f>Бета!$B$337</f>
        <v>40530.6</v>
      </c>
    </row>
    <row r="1345" spans="3:3" hidden="1" outlineLevel="1" collapsed="1" x14ac:dyDescent="0.25">
      <c r="C1345" s="9">
        <f>Бета!$B$358</f>
        <v>35171.14</v>
      </c>
    </row>
    <row r="1346" spans="3:3" hidden="1" outlineLevel="1" collapsed="1" x14ac:dyDescent="0.25">
      <c r="C1346" s="9">
        <f>Бета!$B$379</f>
        <v>29141.66</v>
      </c>
    </row>
    <row r="1347" spans="3:3" hidden="1" outlineLevel="1" collapsed="1" x14ac:dyDescent="0.25">
      <c r="C1347" s="9">
        <f>Бета!$B$400</f>
        <v>27363.360000000001</v>
      </c>
    </row>
    <row r="1348" spans="3:3" hidden="1" outlineLevel="1" collapsed="1" x14ac:dyDescent="0.25">
      <c r="C1348" s="9">
        <f>Бета!$B$421</f>
        <v>83545.679999999993</v>
      </c>
    </row>
    <row r="1349" spans="3:3" hidden="1" outlineLevel="1" collapsed="1" x14ac:dyDescent="0.25">
      <c r="C1349" s="9">
        <f>Бета!$B$442</f>
        <v>52525.3</v>
      </c>
    </row>
    <row r="1350" spans="3:3" hidden="1" outlineLevel="1" collapsed="1" x14ac:dyDescent="0.25">
      <c r="C1350" s="9">
        <f>Бета!$B$463</f>
        <v>22803</v>
      </c>
    </row>
    <row r="1351" spans="3:3" hidden="1" outlineLevel="1" collapsed="1" x14ac:dyDescent="0.25">
      <c r="C1351" s="9">
        <f>Бета!$B$484</f>
        <v>12662</v>
      </c>
    </row>
    <row r="1352" spans="3:3" hidden="1" outlineLevel="1" collapsed="1" x14ac:dyDescent="0.25">
      <c r="C1352" s="9">
        <f>Бета!$B$505</f>
        <v>19367</v>
      </c>
    </row>
    <row r="1353" spans="3:3" hidden="1" outlineLevel="1" collapsed="1" x14ac:dyDescent="0.25">
      <c r="C1353" s="9">
        <f>Бета!$B$527</f>
        <v>17224</v>
      </c>
    </row>
    <row r="1354" spans="3:3" hidden="1" outlineLevel="1" collapsed="1" x14ac:dyDescent="0.25">
      <c r="C1354" s="9">
        <f>Бета!$B$546</f>
        <v>14830</v>
      </c>
    </row>
    <row r="1355" spans="3:3" hidden="1" outlineLevel="1" collapsed="1" x14ac:dyDescent="0.25">
      <c r="C1355" s="9">
        <f>Бета!$B$566</f>
        <v>36713</v>
      </c>
    </row>
    <row r="1356" spans="3:3" hidden="1" outlineLevel="1" collapsed="1" x14ac:dyDescent="0.25">
      <c r="C1356" s="9">
        <f>Бета!$B$586</f>
        <v>30349</v>
      </c>
    </row>
    <row r="1357" spans="3:3" hidden="1" outlineLevel="1" collapsed="1" x14ac:dyDescent="0.25">
      <c r="C1357" s="9">
        <f>Бета!$B$605</f>
        <v>8209</v>
      </c>
    </row>
    <row r="1358" spans="3:3" hidden="1" outlineLevel="1" collapsed="1" x14ac:dyDescent="0.25">
      <c r="C1358" s="9">
        <f>Бета!$B$625</f>
        <v>16424</v>
      </c>
    </row>
    <row r="1359" spans="3:3" hidden="1" outlineLevel="1" collapsed="1" x14ac:dyDescent="0.25">
      <c r="C1359" s="9">
        <f>Бета!$B$645</f>
        <v>10362.299999999999</v>
      </c>
    </row>
    <row r="1360" spans="3:3" hidden="1" outlineLevel="1" collapsed="1" x14ac:dyDescent="0.25">
      <c r="C1360" s="9">
        <f>Бета!$B$665</f>
        <v>25436.34</v>
      </c>
    </row>
    <row r="1361" spans="3:3" hidden="1" outlineLevel="1" collapsed="1" x14ac:dyDescent="0.25">
      <c r="C1361" s="9">
        <f>Бета!$B$686</f>
        <v>20380.55</v>
      </c>
    </row>
    <row r="1362" spans="3:3" hidden="1" outlineLevel="1" collapsed="1" x14ac:dyDescent="0.25">
      <c r="C1362" s="9">
        <f>Бета!$B$706</f>
        <v>52300.34</v>
      </c>
    </row>
    <row r="1363" spans="3:3" hidden="1" outlineLevel="1" collapsed="1" x14ac:dyDescent="0.25">
      <c r="C1363" s="9">
        <f>Бета!$B$727</f>
        <v>37601.68</v>
      </c>
    </row>
    <row r="1364" spans="3:3" hidden="1" outlineLevel="1" collapsed="1" x14ac:dyDescent="0.25">
      <c r="C1364" s="9">
        <f>Бета!$B$747</f>
        <v>31248.46</v>
      </c>
    </row>
    <row r="1365" spans="3:3" hidden="1" outlineLevel="1" collapsed="1" x14ac:dyDescent="0.25">
      <c r="C1365" s="9">
        <f>Бета!$B$767</f>
        <v>18377.3</v>
      </c>
    </row>
    <row r="1366" spans="3:3" hidden="1" outlineLevel="1" collapsed="1" x14ac:dyDescent="0.25">
      <c r="C1366" s="9">
        <f>Бета!$B$787</f>
        <v>12339.38</v>
      </c>
    </row>
    <row r="1367" spans="3:3" hidden="1" outlineLevel="1" collapsed="1" x14ac:dyDescent="0.25">
      <c r="C1367" s="9">
        <f>Бета!$B$807</f>
        <v>12048.58</v>
      </c>
    </row>
    <row r="1368" spans="3:3" hidden="1" outlineLevel="1" collapsed="1" x14ac:dyDescent="0.25">
      <c r="C1368" s="9">
        <f>Бета!$B$827</f>
        <v>18577.59</v>
      </c>
    </row>
    <row r="1369" spans="3:3" hidden="1" outlineLevel="1" collapsed="1" x14ac:dyDescent="0.25">
      <c r="C1369" s="9">
        <f>Бета!$B$847</f>
        <v>32884.54</v>
      </c>
    </row>
    <row r="1370" spans="3:3" hidden="1" outlineLevel="1" collapsed="1" x14ac:dyDescent="0.25">
      <c r="C1370" s="9">
        <f>Бета!$B$867</f>
        <v>31164.74</v>
      </c>
    </row>
    <row r="1371" spans="3:3" hidden="1" outlineLevel="1" collapsed="1" x14ac:dyDescent="0.25">
      <c r="C1371" s="9">
        <f>Бета!$B$887</f>
        <v>17303.22</v>
      </c>
    </row>
    <row r="1372" spans="3:3" hidden="1" outlineLevel="1" collapsed="1" x14ac:dyDescent="0.25">
      <c r="C1372" s="9">
        <f>Бета!$B$907</f>
        <v>16108.9</v>
      </c>
    </row>
    <row r="1373" spans="3:3" hidden="1" outlineLevel="1" collapsed="1" x14ac:dyDescent="0.25">
      <c r="C1373" s="9">
        <f>Бета!$B$926</f>
        <v>24066.06</v>
      </c>
    </row>
    <row r="1374" spans="3:3" hidden="1" outlineLevel="1" collapsed="1" x14ac:dyDescent="0.25">
      <c r="C1374" s="9">
        <f>Бета!$B$946</f>
        <v>19155.650000000001</v>
      </c>
    </row>
    <row r="1375" spans="3:3" hidden="1" outlineLevel="1" collapsed="1" x14ac:dyDescent="0.25">
      <c r="C1375" s="9">
        <f>Бета!$B$966</f>
        <v>22349.86</v>
      </c>
    </row>
    <row r="1376" spans="3:3" hidden="1" outlineLevel="1" collapsed="1" x14ac:dyDescent="0.25">
      <c r="C1376" s="9">
        <f>Бета!$B$986</f>
        <v>28306.1</v>
      </c>
    </row>
    <row r="1377" spans="2:3" hidden="1" outlineLevel="1" collapsed="1" x14ac:dyDescent="0.25">
      <c r="C1377" s="9">
        <f>Бета!$B$1006</f>
        <v>12862.13</v>
      </c>
    </row>
    <row r="1378" spans="2:3" hidden="1" outlineLevel="1" collapsed="1" x14ac:dyDescent="0.25">
      <c r="B1378" t="s">
        <v>72</v>
      </c>
      <c r="C1378" s="9">
        <f>Гамма!$B$9</f>
        <v>173640.95999999999</v>
      </c>
    </row>
    <row r="1379" spans="2:3" hidden="1" outlineLevel="1" collapsed="1" x14ac:dyDescent="0.25">
      <c r="C1379" s="9">
        <f>Гамма!$B$35</f>
        <v>134719.96</v>
      </c>
    </row>
    <row r="1380" spans="2:3" hidden="1" outlineLevel="1" collapsed="1" x14ac:dyDescent="0.25">
      <c r="C1380" s="9">
        <f>Гамма!$B$62</f>
        <v>142102.94</v>
      </c>
    </row>
    <row r="1381" spans="2:3" hidden="1" outlineLevel="1" collapsed="1" x14ac:dyDescent="0.25">
      <c r="C1381" s="9">
        <f>Гамма!$B$89</f>
        <v>141345.03</v>
      </c>
    </row>
    <row r="1382" spans="2:3" hidden="1" outlineLevel="1" collapsed="1" x14ac:dyDescent="0.25">
      <c r="C1382" s="9">
        <f>Гамма!$B$115</f>
        <v>155714.23000000001</v>
      </c>
    </row>
    <row r="1383" spans="2:3" hidden="1" outlineLevel="1" collapsed="1" x14ac:dyDescent="0.25">
      <c r="C1383" s="9">
        <f>Гамма!$B$141</f>
        <v>234457.96</v>
      </c>
    </row>
    <row r="1384" spans="2:3" hidden="1" outlineLevel="1" collapsed="1" x14ac:dyDescent="0.25">
      <c r="C1384" s="9">
        <f>Гамма!$B$167</f>
        <v>187942.95</v>
      </c>
    </row>
    <row r="1385" spans="2:3" hidden="1" outlineLevel="1" collapsed="1" x14ac:dyDescent="0.25">
      <c r="C1385" s="9">
        <f>Гамма!$B$194</f>
        <v>110522.1</v>
      </c>
    </row>
    <row r="1386" spans="2:3" hidden="1" outlineLevel="1" collapsed="1" x14ac:dyDescent="0.25">
      <c r="C1386" s="9">
        <f>Гамма!$B$221</f>
        <v>91614.85</v>
      </c>
    </row>
    <row r="1387" spans="2:3" hidden="1" outlineLevel="1" collapsed="1" x14ac:dyDescent="0.25">
      <c r="C1387" s="9">
        <f>Гамма!$B$247</f>
        <v>143828.35999999999</v>
      </c>
    </row>
    <row r="1388" spans="2:3" hidden="1" outlineLevel="1" collapsed="1" x14ac:dyDescent="0.25">
      <c r="C1388" s="9">
        <f>Гамма!$B$273</f>
        <v>124716.68</v>
      </c>
    </row>
    <row r="1389" spans="2:3" hidden="1" outlineLevel="1" collapsed="1" x14ac:dyDescent="0.25">
      <c r="C1389" s="9">
        <f>Гамма!$B$299</f>
        <v>140906.16</v>
      </c>
    </row>
    <row r="1390" spans="2:3" hidden="1" outlineLevel="1" collapsed="1" x14ac:dyDescent="0.25">
      <c r="C1390" s="9">
        <f>Гамма!$B$325</f>
        <v>247331.75</v>
      </c>
    </row>
    <row r="1391" spans="2:3" hidden="1" outlineLevel="1" collapsed="1" x14ac:dyDescent="0.25">
      <c r="C1391" s="9">
        <f>Гамма!$B$351</f>
        <v>163017.35</v>
      </c>
    </row>
    <row r="1392" spans="2:3" hidden="1" outlineLevel="1" collapsed="1" x14ac:dyDescent="0.25">
      <c r="C1392" s="9">
        <f>Гамма!$B$376</f>
        <v>126250.05</v>
      </c>
    </row>
    <row r="1393" spans="3:3" hidden="1" outlineLevel="1" collapsed="1" x14ac:dyDescent="0.25">
      <c r="C1393" s="9">
        <f>Гамма!$B$402</f>
        <v>139692.85999999999</v>
      </c>
    </row>
    <row r="1394" spans="3:3" hidden="1" outlineLevel="1" collapsed="1" x14ac:dyDescent="0.25">
      <c r="C1394" s="9">
        <f>Гамма!$B$429</f>
        <v>144706.82999999999</v>
      </c>
    </row>
    <row r="1395" spans="3:3" hidden="1" outlineLevel="1" collapsed="1" x14ac:dyDescent="0.25">
      <c r="C1395" s="9">
        <f>Гамма!$B$456</f>
        <v>211893.51</v>
      </c>
    </row>
    <row r="1396" spans="3:3" hidden="1" outlineLevel="1" collapsed="1" x14ac:dyDescent="0.25">
      <c r="C1396" s="9">
        <f>Гамма!$B$482</f>
        <v>206049.35</v>
      </c>
    </row>
    <row r="1397" spans="3:3" hidden="1" outlineLevel="1" collapsed="1" x14ac:dyDescent="0.25">
      <c r="C1397" s="9">
        <f>Гамма!$B$508</f>
        <v>298364.07</v>
      </c>
    </row>
    <row r="1398" spans="3:3" hidden="1" outlineLevel="1" collapsed="1" x14ac:dyDescent="0.25">
      <c r="C1398" s="9">
        <f>Гамма!$B$534</f>
        <v>195755.38</v>
      </c>
    </row>
    <row r="1399" spans="3:3" hidden="1" outlineLevel="1" collapsed="1" x14ac:dyDescent="0.25">
      <c r="C1399" s="9">
        <f>Гамма!$B$560</f>
        <v>78287.820000000007</v>
      </c>
    </row>
    <row r="1400" spans="3:3" hidden="1" outlineLevel="1" collapsed="1" x14ac:dyDescent="0.25">
      <c r="C1400" s="9">
        <f>Гамма!$B$585</f>
        <v>80362.070000000007</v>
      </c>
    </row>
    <row r="1401" spans="3:3" hidden="1" outlineLevel="1" collapsed="1" x14ac:dyDescent="0.25">
      <c r="C1401" s="9">
        <f>Гамма!$B$611</f>
        <v>96686.16</v>
      </c>
    </row>
    <row r="1402" spans="3:3" hidden="1" outlineLevel="1" collapsed="1" x14ac:dyDescent="0.25">
      <c r="C1402" s="9">
        <f>Гамма!$B$637</f>
        <v>89734.17</v>
      </c>
    </row>
    <row r="1403" spans="3:3" hidden="1" outlineLevel="1" collapsed="1" x14ac:dyDescent="0.25">
      <c r="C1403" s="9">
        <f>Гамма!$B$663</f>
        <v>96525.26</v>
      </c>
    </row>
    <row r="1404" spans="3:3" hidden="1" outlineLevel="1" collapsed="1" x14ac:dyDescent="0.25">
      <c r="C1404" s="9">
        <f>Гамма!$B$689</f>
        <v>165823.35999999999</v>
      </c>
    </row>
    <row r="1405" spans="3:3" hidden="1" outlineLevel="1" collapsed="1" x14ac:dyDescent="0.25">
      <c r="C1405" s="9">
        <f>Гамма!$B$715</f>
        <v>114416.83</v>
      </c>
    </row>
    <row r="1406" spans="3:3" hidden="1" outlineLevel="1" collapsed="1" x14ac:dyDescent="0.25">
      <c r="C1406" s="9">
        <f>Гамма!$B$739</f>
        <v>93558.37</v>
      </c>
    </row>
    <row r="1407" spans="3:3" hidden="1" outlineLevel="1" collapsed="1" x14ac:dyDescent="0.25">
      <c r="C1407" s="9">
        <f>Гамма!$B$765</f>
        <v>76870.080000000002</v>
      </c>
    </row>
    <row r="1408" spans="3:3" hidden="1" outlineLevel="1" collapsed="1" x14ac:dyDescent="0.25">
      <c r="C1408" s="9">
        <f>Гамма!$B$789</f>
        <v>110808.98</v>
      </c>
    </row>
    <row r="1409" spans="3:3" hidden="1" outlineLevel="1" collapsed="1" x14ac:dyDescent="0.25">
      <c r="C1409" s="9">
        <f>Гамма!$B$815</f>
        <v>101059.64</v>
      </c>
    </row>
    <row r="1410" spans="3:3" hidden="1" outlineLevel="1" collapsed="1" x14ac:dyDescent="0.25">
      <c r="C1410" s="9">
        <f>Гамма!$B$841</f>
        <v>162658.87</v>
      </c>
    </row>
    <row r="1411" spans="3:3" hidden="1" outlineLevel="1" collapsed="1" x14ac:dyDescent="0.25">
      <c r="C1411" s="9">
        <f>Гамма!$B$867</f>
        <v>229940.46</v>
      </c>
    </row>
    <row r="1412" spans="3:3" hidden="1" outlineLevel="1" collapsed="1" x14ac:dyDescent="0.25">
      <c r="C1412" s="9">
        <f>Гамма!$B$893</f>
        <v>169210.64</v>
      </c>
    </row>
    <row r="1413" spans="3:3" hidden="1" outlineLevel="1" collapsed="1" x14ac:dyDescent="0.25">
      <c r="C1413" s="9">
        <f>Гамма!$B$919</f>
        <v>131265.31</v>
      </c>
    </row>
    <row r="1414" spans="3:3" hidden="1" outlineLevel="1" collapsed="1" x14ac:dyDescent="0.25">
      <c r="C1414" s="9">
        <f>Гамма!$B$944</f>
        <v>100057.59</v>
      </c>
    </row>
    <row r="1415" spans="3:3" hidden="1" outlineLevel="1" collapsed="1" x14ac:dyDescent="0.25">
      <c r="C1415" s="9">
        <f>Гамма!$B$970</f>
        <v>59390.51</v>
      </c>
    </row>
    <row r="1416" spans="3:3" hidden="1" outlineLevel="1" collapsed="1" x14ac:dyDescent="0.25">
      <c r="C1416" s="9">
        <f>Гамма!$B$996</f>
        <v>65553.039999999994</v>
      </c>
    </row>
    <row r="1417" spans="3:3" hidden="1" outlineLevel="1" collapsed="1" x14ac:dyDescent="0.25">
      <c r="C1417" s="9">
        <f>Гамма!$B$1021</f>
        <v>81288.97</v>
      </c>
    </row>
    <row r="1418" spans="3:3" hidden="1" outlineLevel="1" collapsed="1" x14ac:dyDescent="0.25">
      <c r="C1418" s="9">
        <f>Гамма!$B$1045</f>
        <v>114898.79</v>
      </c>
    </row>
    <row r="1419" spans="3:3" hidden="1" outlineLevel="1" collapsed="1" x14ac:dyDescent="0.25">
      <c r="C1419" s="9">
        <f>Гамма!$B$1070</f>
        <v>93573.19</v>
      </c>
    </row>
    <row r="1420" spans="3:3" hidden="1" outlineLevel="1" collapsed="1" x14ac:dyDescent="0.25">
      <c r="C1420" s="9">
        <f>Гамма!$B$1096</f>
        <v>72168.53</v>
      </c>
    </row>
    <row r="1421" spans="3:3" hidden="1" outlineLevel="1" collapsed="1" x14ac:dyDescent="0.25">
      <c r="C1421" s="9">
        <f>Гамма!$B$1120</f>
        <v>72029.899999999994</v>
      </c>
    </row>
    <row r="1422" spans="3:3" hidden="1" outlineLevel="1" collapsed="1" x14ac:dyDescent="0.25">
      <c r="C1422" s="9">
        <f>Гамма!$B$1144</f>
        <v>95669.08</v>
      </c>
    </row>
    <row r="1423" spans="3:3" hidden="1" outlineLevel="1" collapsed="1" x14ac:dyDescent="0.25">
      <c r="C1423" s="9">
        <f>Гамма!$B$1170</f>
        <v>87230.93</v>
      </c>
    </row>
    <row r="1424" spans="3:3" hidden="1" outlineLevel="1" collapsed="1" x14ac:dyDescent="0.25">
      <c r="C1424" s="9">
        <f>Гамма!$B$1194</f>
        <v>112710.79</v>
      </c>
    </row>
    <row r="1425" spans="2:3" hidden="1" outlineLevel="1" collapsed="1" x14ac:dyDescent="0.25">
      <c r="C1425" s="9">
        <f>Гамма!$B$1219</f>
        <v>124297.2</v>
      </c>
    </row>
    <row r="1426" spans="2:3" hidden="1" outlineLevel="1" collapsed="1" x14ac:dyDescent="0.25">
      <c r="C1426" s="9">
        <f>Гамма!$B$1244</f>
        <v>71897.91</v>
      </c>
    </row>
    <row r="1427" spans="2:3" hidden="1" outlineLevel="1" collapsed="1" x14ac:dyDescent="0.25">
      <c r="B1427" t="s">
        <v>72</v>
      </c>
      <c r="C1427" s="9">
        <f>Дельта!$B$9</f>
        <v>108571.97</v>
      </c>
    </row>
    <row r="1428" spans="2:3" hidden="1" outlineLevel="1" collapsed="1" x14ac:dyDescent="0.25">
      <c r="C1428" s="9">
        <f>Дельта!$B$35</f>
        <v>106785.94</v>
      </c>
    </row>
    <row r="1429" spans="2:3" hidden="1" outlineLevel="1" collapsed="1" x14ac:dyDescent="0.25">
      <c r="C1429" s="9">
        <f>Дельта!$B$61</f>
        <v>154846.97</v>
      </c>
    </row>
    <row r="1430" spans="2:3" hidden="1" outlineLevel="1" collapsed="1" x14ac:dyDescent="0.25">
      <c r="C1430" s="9">
        <f>Дельта!$B$87</f>
        <v>101591</v>
      </c>
    </row>
    <row r="1431" spans="2:3" hidden="1" outlineLevel="1" collapsed="1" x14ac:dyDescent="0.25">
      <c r="C1431" s="9">
        <f>Дельта!$B$113</f>
        <v>184667</v>
      </c>
    </row>
    <row r="1432" spans="2:3" hidden="1" outlineLevel="1" collapsed="1" x14ac:dyDescent="0.25">
      <c r="C1432" s="9">
        <f>Дельта!$B$139</f>
        <v>180098</v>
      </c>
    </row>
    <row r="1433" spans="2:3" hidden="1" outlineLevel="1" collapsed="1" x14ac:dyDescent="0.25">
      <c r="C1433" s="9">
        <f>Дельта!$B$164</f>
        <v>153160.44</v>
      </c>
    </row>
    <row r="1434" spans="2:3" hidden="1" outlineLevel="1" collapsed="1" x14ac:dyDescent="0.25">
      <c r="C1434" s="9">
        <f>Дельта!$B$190</f>
        <v>122785</v>
      </c>
    </row>
    <row r="1435" spans="2:3" hidden="1" outlineLevel="1" collapsed="1" x14ac:dyDescent="0.25">
      <c r="C1435" s="9">
        <f>Дельта!$B$216</f>
        <v>85020.7</v>
      </c>
    </row>
    <row r="1436" spans="2:3" hidden="1" outlineLevel="1" collapsed="1" x14ac:dyDescent="0.25">
      <c r="C1436" s="9">
        <f>Дельта!$B$241</f>
        <v>92116</v>
      </c>
    </row>
    <row r="1437" spans="2:3" hidden="1" outlineLevel="1" collapsed="1" x14ac:dyDescent="0.25">
      <c r="C1437" s="9">
        <f>Дельта!$B$267</f>
        <v>114086</v>
      </c>
    </row>
    <row r="1438" spans="2:3" hidden="1" outlineLevel="1" collapsed="1" x14ac:dyDescent="0.25">
      <c r="C1438" s="9">
        <f>Дельта!$B$293</f>
        <v>105365</v>
      </c>
    </row>
    <row r="1439" spans="2:3" hidden="1" outlineLevel="1" collapsed="1" x14ac:dyDescent="0.25">
      <c r="C1439" s="9">
        <f>Дельта!$B$319</f>
        <v>164344</v>
      </c>
    </row>
    <row r="1440" spans="2:3" hidden="1" outlineLevel="1" collapsed="1" x14ac:dyDescent="0.25">
      <c r="C1440" s="9">
        <f>Дельта!$B$345</f>
        <v>127734</v>
      </c>
    </row>
    <row r="1441" spans="3:3" hidden="1" outlineLevel="1" collapsed="1" x14ac:dyDescent="0.25">
      <c r="C1441" s="9">
        <f>Дельта!$B$371</f>
        <v>104023</v>
      </c>
    </row>
    <row r="1442" spans="3:3" hidden="1" outlineLevel="1" collapsed="1" x14ac:dyDescent="0.25">
      <c r="C1442" s="9">
        <f>Дельта!$B$397</f>
        <v>115798</v>
      </c>
    </row>
    <row r="1443" spans="3:3" hidden="1" outlineLevel="1" collapsed="1" x14ac:dyDescent="0.25">
      <c r="C1443" s="9">
        <f>Дельта!$B$423</f>
        <v>87079</v>
      </c>
    </row>
    <row r="1444" spans="3:3" hidden="1" outlineLevel="1" collapsed="1" x14ac:dyDescent="0.25">
      <c r="C1444" s="9">
        <f>Дельта!$B$449</f>
        <v>134631</v>
      </c>
    </row>
    <row r="1445" spans="3:3" hidden="1" outlineLevel="1" collapsed="1" x14ac:dyDescent="0.25">
      <c r="C1445" s="9">
        <f>Дельта!$B$475</f>
        <v>160042</v>
      </c>
    </row>
    <row r="1446" spans="3:3" hidden="1" outlineLevel="1" collapsed="1" x14ac:dyDescent="0.25">
      <c r="C1446" s="9">
        <f>Дельта!$B$501</f>
        <v>244677</v>
      </c>
    </row>
    <row r="1447" spans="3:3" hidden="1" outlineLevel="1" collapsed="1" x14ac:dyDescent="0.25">
      <c r="C1447" s="9">
        <f>Дельта!$B$527</f>
        <v>151234</v>
      </c>
    </row>
    <row r="1448" spans="3:3" hidden="1" outlineLevel="1" collapsed="1" x14ac:dyDescent="0.25">
      <c r="C1448" s="9">
        <f>Дельта!$B$553</f>
        <v>83018</v>
      </c>
    </row>
    <row r="1449" spans="3:3" hidden="1" outlineLevel="1" collapsed="1" x14ac:dyDescent="0.25">
      <c r="C1449" s="9">
        <f>Дельта!$B$579</f>
        <v>47859</v>
      </c>
    </row>
    <row r="1450" spans="3:3" hidden="1" outlineLevel="1" collapsed="1" x14ac:dyDescent="0.25">
      <c r="C1450" s="9">
        <f>Дельта!$B$605</f>
        <v>82697</v>
      </c>
    </row>
    <row r="1451" spans="3:3" hidden="1" outlineLevel="1" collapsed="1" x14ac:dyDescent="0.25">
      <c r="C1451" s="9">
        <f>Дельта!$B$630</f>
        <v>72436</v>
      </c>
    </row>
    <row r="1452" spans="3:3" hidden="1" outlineLevel="1" collapsed="1" x14ac:dyDescent="0.25">
      <c r="C1452" s="9">
        <f>Дельта!$B$656</f>
        <v>133747</v>
      </c>
    </row>
    <row r="1453" spans="3:3" hidden="1" outlineLevel="1" collapsed="1" x14ac:dyDescent="0.25">
      <c r="C1453" s="9">
        <f>Дельта!$B$683</f>
        <v>116355</v>
      </c>
    </row>
    <row r="1454" spans="3:3" hidden="1" outlineLevel="1" collapsed="1" x14ac:dyDescent="0.25">
      <c r="C1454" s="9">
        <f>Дельта!$B$709</f>
        <v>107798</v>
      </c>
    </row>
    <row r="1455" spans="3:3" hidden="1" outlineLevel="1" collapsed="1" x14ac:dyDescent="0.25">
      <c r="C1455" s="9">
        <f>Дельта!$B$734</f>
        <v>68299</v>
      </c>
    </row>
    <row r="1456" spans="3:3" hidden="1" outlineLevel="1" collapsed="1" x14ac:dyDescent="0.25">
      <c r="C1456" s="9">
        <f>Дельта!$B$760</f>
        <v>44972.21</v>
      </c>
    </row>
    <row r="1457" spans="3:3" hidden="1" outlineLevel="1" collapsed="1" x14ac:dyDescent="0.25">
      <c r="C1457" s="9">
        <f>Дельта!$B$785</f>
        <v>69728</v>
      </c>
    </row>
    <row r="1458" spans="3:3" hidden="1" outlineLevel="1" collapsed="1" x14ac:dyDescent="0.25">
      <c r="C1458" s="9">
        <f>Дельта!$B$811</f>
        <v>86102</v>
      </c>
    </row>
    <row r="1459" spans="3:3" hidden="1" outlineLevel="1" collapsed="1" x14ac:dyDescent="0.25">
      <c r="C1459" s="9">
        <f>Дельта!$B$837</f>
        <v>101110</v>
      </c>
    </row>
    <row r="1460" spans="3:3" hidden="1" outlineLevel="1" collapsed="1" x14ac:dyDescent="0.25">
      <c r="C1460" s="9">
        <f>Дельта!$B$863</f>
        <v>163816</v>
      </c>
    </row>
    <row r="1461" spans="3:3" hidden="1" outlineLevel="1" collapsed="1" x14ac:dyDescent="0.25">
      <c r="C1461" s="9">
        <f>Дельта!$B$889</f>
        <v>132293</v>
      </c>
    </row>
    <row r="1462" spans="3:3" hidden="1" outlineLevel="1" collapsed="1" x14ac:dyDescent="0.25">
      <c r="C1462" s="9">
        <f>Дельта!$B$915</f>
        <v>87406</v>
      </c>
    </row>
    <row r="1463" spans="3:3" hidden="1" outlineLevel="1" collapsed="1" x14ac:dyDescent="0.25">
      <c r="C1463" s="9">
        <f>Дельта!$B$940</f>
        <v>56524</v>
      </c>
    </row>
    <row r="1464" spans="3:3" hidden="1" outlineLevel="1" collapsed="1" x14ac:dyDescent="0.25">
      <c r="C1464" s="9">
        <f>Дельта!$B$966</f>
        <v>44423.13</v>
      </c>
    </row>
    <row r="1465" spans="3:3" hidden="1" outlineLevel="1" collapsed="1" x14ac:dyDescent="0.25">
      <c r="C1465" s="9">
        <f>Дельта!$B$991</f>
        <v>51775</v>
      </c>
    </row>
    <row r="1466" spans="3:3" hidden="1" outlineLevel="1" collapsed="1" x14ac:dyDescent="0.25">
      <c r="C1466" s="9">
        <f>Дельта!$B$1017</f>
        <v>63943</v>
      </c>
    </row>
    <row r="1467" spans="3:3" hidden="1" outlineLevel="1" collapsed="1" x14ac:dyDescent="0.25">
      <c r="C1467" s="9">
        <f>Дельта!$B$1042</f>
        <v>99057.4</v>
      </c>
    </row>
    <row r="1468" spans="3:3" hidden="1" outlineLevel="1" collapsed="1" x14ac:dyDescent="0.25">
      <c r="C1468" s="9">
        <f>Дельта!$B$1068</f>
        <v>75113.14</v>
      </c>
    </row>
    <row r="1469" spans="3:3" hidden="1" outlineLevel="1" collapsed="1" x14ac:dyDescent="0.25">
      <c r="C1469" s="9">
        <f>Дельта!$B$1092</f>
        <v>53252</v>
      </c>
    </row>
    <row r="1470" spans="3:3" hidden="1" outlineLevel="1" collapsed="1" x14ac:dyDescent="0.25">
      <c r="C1470" s="9">
        <f>Дельта!$B$1117</f>
        <v>59756</v>
      </c>
    </row>
    <row r="1471" spans="3:3" hidden="1" outlineLevel="1" collapsed="1" x14ac:dyDescent="0.25">
      <c r="C1471" s="9">
        <f>Дельта!$B$1142</f>
        <v>57443</v>
      </c>
    </row>
    <row r="1472" spans="3:3" hidden="1" outlineLevel="1" collapsed="1" x14ac:dyDescent="0.25">
      <c r="C1472" s="9">
        <f>Дельта!$B$1166</f>
        <v>37573.29</v>
      </c>
    </row>
    <row r="1473" spans="1:3" hidden="1" outlineLevel="1" collapsed="1" x14ac:dyDescent="0.25">
      <c r="C1473" s="9">
        <f>Дельта!$B$1189</f>
        <v>91647.16</v>
      </c>
    </row>
    <row r="1474" spans="1:3" hidden="1" outlineLevel="1" collapsed="1" x14ac:dyDescent="0.25">
      <c r="C1474" s="9">
        <f>Дельта!$B$1215</f>
        <v>75298</v>
      </c>
    </row>
    <row r="1475" spans="1:3" hidden="1" outlineLevel="1" collapsed="1" x14ac:dyDescent="0.25">
      <c r="C1475" s="9">
        <f>Дельта!$B$1239</f>
        <v>35717</v>
      </c>
    </row>
    <row r="1476" spans="1:3" collapsed="1" x14ac:dyDescent="0.25">
      <c r="A1476" t="s">
        <v>9</v>
      </c>
      <c r="C1476" s="9">
        <f>SUM(C1280:C1475)</f>
        <v>20163161.229999997</v>
      </c>
    </row>
    <row r="1477" spans="1:3" hidden="1" outlineLevel="1" x14ac:dyDescent="0.25">
      <c r="B1477" t="s">
        <v>72</v>
      </c>
      <c r="C1477" s="9">
        <f>Альфа!$B$10</f>
        <v>264540.7</v>
      </c>
    </row>
    <row r="1478" spans="1:3" hidden="1" outlineLevel="1" collapsed="1" x14ac:dyDescent="0.25">
      <c r="C1478" s="9">
        <f>Альфа!$B$36</f>
        <v>427475.1</v>
      </c>
    </row>
    <row r="1479" spans="1:3" hidden="1" outlineLevel="1" collapsed="1" x14ac:dyDescent="0.25">
      <c r="C1479" s="9">
        <f>Альфа!$B$62</f>
        <v>344656.89</v>
      </c>
    </row>
    <row r="1480" spans="1:3" hidden="1" outlineLevel="1" collapsed="1" x14ac:dyDescent="0.25">
      <c r="C1480" s="9">
        <f>Альфа!$B$88</f>
        <v>409805.45</v>
      </c>
    </row>
    <row r="1481" spans="1:3" hidden="1" outlineLevel="1" collapsed="1" x14ac:dyDescent="0.25">
      <c r="C1481" s="9">
        <f>Альфа!$B$114</f>
        <v>372338.91</v>
      </c>
    </row>
    <row r="1482" spans="1:3" hidden="1" outlineLevel="1" collapsed="1" x14ac:dyDescent="0.25">
      <c r="C1482" s="9">
        <f>Альфа!$B$141</f>
        <v>474253.91</v>
      </c>
    </row>
    <row r="1483" spans="1:3" hidden="1" outlineLevel="1" collapsed="1" x14ac:dyDescent="0.25">
      <c r="C1483" s="9">
        <f>Альфа!$B$167</f>
        <v>415616.13</v>
      </c>
    </row>
    <row r="1484" spans="1:3" hidden="1" outlineLevel="1" collapsed="1" x14ac:dyDescent="0.25">
      <c r="C1484" s="9">
        <f>Альфа!$B$193</f>
        <v>329764.09999999998</v>
      </c>
    </row>
    <row r="1485" spans="1:3" hidden="1" outlineLevel="1" collapsed="1" x14ac:dyDescent="0.25">
      <c r="C1485" s="9">
        <f>Альфа!$B$219</f>
        <v>276111.99</v>
      </c>
    </row>
    <row r="1486" spans="1:3" hidden="1" outlineLevel="1" collapsed="1" x14ac:dyDescent="0.25">
      <c r="C1486" s="9">
        <f>Альфа!$B$246</f>
        <v>278578.14</v>
      </c>
    </row>
    <row r="1487" spans="1:3" hidden="1" outlineLevel="1" collapsed="1" x14ac:dyDescent="0.25">
      <c r="C1487" s="9">
        <f>Альфа!$B$272</f>
        <v>273562.40999999997</v>
      </c>
    </row>
    <row r="1488" spans="1:3" hidden="1" outlineLevel="1" collapsed="1" x14ac:dyDescent="0.25">
      <c r="C1488" s="9">
        <f>Альфа!$B$298</f>
        <v>346553.17</v>
      </c>
    </row>
    <row r="1489" spans="3:3" hidden="1" outlineLevel="1" collapsed="1" x14ac:dyDescent="0.25">
      <c r="C1489" s="9">
        <f>Альфа!$B$324</f>
        <v>445883.46</v>
      </c>
    </row>
    <row r="1490" spans="3:3" hidden="1" outlineLevel="1" collapsed="1" x14ac:dyDescent="0.25">
      <c r="C1490" s="9">
        <f>Альфа!$B$350</f>
        <v>395878</v>
      </c>
    </row>
    <row r="1491" spans="3:3" hidden="1" outlineLevel="1" collapsed="1" x14ac:dyDescent="0.25">
      <c r="C1491" s="9">
        <f>Альфа!$B$377</f>
        <v>301966.59000000003</v>
      </c>
    </row>
    <row r="1492" spans="3:3" hidden="1" outlineLevel="1" collapsed="1" x14ac:dyDescent="0.25">
      <c r="C1492" s="9">
        <f>Альфа!$B$403</f>
        <v>337763.82</v>
      </c>
    </row>
    <row r="1493" spans="3:3" hidden="1" outlineLevel="1" collapsed="1" x14ac:dyDescent="0.25">
      <c r="C1493" s="9">
        <f>Альфа!$B$429</f>
        <v>278397.03999999998</v>
      </c>
    </row>
    <row r="1494" spans="3:3" hidden="1" outlineLevel="1" collapsed="1" x14ac:dyDescent="0.25">
      <c r="C1494" s="9">
        <f>Альфа!$B$454</f>
        <v>277148.81</v>
      </c>
    </row>
    <row r="1495" spans="3:3" hidden="1" outlineLevel="1" collapsed="1" x14ac:dyDescent="0.25">
      <c r="C1495" s="9">
        <f>Альфа!$B$480</f>
        <v>308180.07</v>
      </c>
    </row>
    <row r="1496" spans="3:3" hidden="1" outlineLevel="1" collapsed="1" x14ac:dyDescent="0.25">
      <c r="C1496" s="9">
        <f>Альфа!$B$505</f>
        <v>373267.19</v>
      </c>
    </row>
    <row r="1497" spans="3:3" hidden="1" outlineLevel="1" collapsed="1" x14ac:dyDescent="0.25">
      <c r="C1497" s="9">
        <f>Альфа!$B$530</f>
        <v>307370.32</v>
      </c>
    </row>
    <row r="1498" spans="3:3" hidden="1" outlineLevel="1" collapsed="1" x14ac:dyDescent="0.25">
      <c r="C1498" s="9">
        <f>Альфа!$B$555</f>
        <v>197673.04</v>
      </c>
    </row>
    <row r="1499" spans="3:3" hidden="1" outlineLevel="1" collapsed="1" x14ac:dyDescent="0.25">
      <c r="C1499" s="9">
        <f>Альфа!$B$580</f>
        <v>166634.54999999999</v>
      </c>
    </row>
    <row r="1500" spans="3:3" hidden="1" outlineLevel="1" collapsed="1" x14ac:dyDescent="0.25">
      <c r="C1500" s="9">
        <f>Альфа!$B$604</f>
        <v>301641.39</v>
      </c>
    </row>
    <row r="1501" spans="3:3" hidden="1" outlineLevel="1" collapsed="1" x14ac:dyDescent="0.25">
      <c r="C1501" s="9">
        <f>Альфа!$B$629</f>
        <v>333543.14</v>
      </c>
    </row>
    <row r="1502" spans="3:3" hidden="1" outlineLevel="1" collapsed="1" x14ac:dyDescent="0.25">
      <c r="C1502" s="9">
        <f>Альфа!$B$654</f>
        <v>320041.17</v>
      </c>
    </row>
    <row r="1503" spans="3:3" hidden="1" outlineLevel="1" collapsed="1" x14ac:dyDescent="0.25">
      <c r="C1503" s="9">
        <f>Альфа!$B$679</f>
        <v>386398.09</v>
      </c>
    </row>
    <row r="1504" spans="3:3" hidden="1" outlineLevel="1" collapsed="1" x14ac:dyDescent="0.25">
      <c r="C1504" s="9">
        <f>Альфа!$B$704</f>
        <v>328199.15999999997</v>
      </c>
    </row>
    <row r="1505" spans="3:3" hidden="1" outlineLevel="1" collapsed="1" x14ac:dyDescent="0.25">
      <c r="C1505" s="9">
        <f>Альфа!$B$729</f>
        <v>240167.76</v>
      </c>
    </row>
    <row r="1506" spans="3:3" hidden="1" outlineLevel="1" collapsed="1" x14ac:dyDescent="0.25">
      <c r="C1506" s="9">
        <f>Альфа!$B$754</f>
        <v>237633.49</v>
      </c>
    </row>
    <row r="1507" spans="3:3" hidden="1" outlineLevel="1" collapsed="1" x14ac:dyDescent="0.25">
      <c r="C1507" s="9">
        <f>Альфа!$B$779</f>
        <v>176765.7</v>
      </c>
    </row>
    <row r="1508" spans="3:3" hidden="1" outlineLevel="1" collapsed="1" x14ac:dyDescent="0.25">
      <c r="C1508" s="9">
        <f>Альфа!$B$802</f>
        <v>206779.93</v>
      </c>
    </row>
    <row r="1509" spans="3:3" hidden="1" outlineLevel="1" collapsed="1" x14ac:dyDescent="0.25">
      <c r="C1509" s="9">
        <f>Альфа!$B$826</f>
        <v>329216.82</v>
      </c>
    </row>
    <row r="1510" spans="3:3" hidden="1" outlineLevel="1" collapsed="1" x14ac:dyDescent="0.25">
      <c r="C1510" s="9">
        <f>Альфа!$B$851</f>
        <v>390460.89</v>
      </c>
    </row>
    <row r="1511" spans="3:3" hidden="1" outlineLevel="1" collapsed="1" x14ac:dyDescent="0.25">
      <c r="C1511" s="9">
        <f>Альфа!$B$876</f>
        <v>384037.93</v>
      </c>
    </row>
    <row r="1512" spans="3:3" hidden="1" outlineLevel="1" collapsed="1" x14ac:dyDescent="0.25">
      <c r="C1512" s="9">
        <f>Альфа!$B$901</f>
        <v>161428.92000000001</v>
      </c>
    </row>
    <row r="1513" spans="3:3" hidden="1" outlineLevel="1" collapsed="1" x14ac:dyDescent="0.25">
      <c r="C1513" s="9">
        <f>Альфа!$B$926</f>
        <v>97346.64</v>
      </c>
    </row>
    <row r="1514" spans="3:3" hidden="1" outlineLevel="1" collapsed="1" x14ac:dyDescent="0.25">
      <c r="C1514" s="9">
        <f>Альфа!$B$951</f>
        <v>111157.9</v>
      </c>
    </row>
    <row r="1515" spans="3:3" hidden="1" outlineLevel="1" collapsed="1" x14ac:dyDescent="0.25">
      <c r="C1515" s="9">
        <f>Альфа!$B$975</f>
        <v>109292.5</v>
      </c>
    </row>
    <row r="1516" spans="3:3" hidden="1" outlineLevel="1" collapsed="1" x14ac:dyDescent="0.25">
      <c r="C1516" s="9">
        <f>Альфа!$B$1001</f>
        <v>112788.56</v>
      </c>
    </row>
    <row r="1517" spans="3:3" hidden="1" outlineLevel="1" collapsed="1" x14ac:dyDescent="0.25">
      <c r="C1517" s="9">
        <f>Альфа!$B$1026</f>
        <v>127607.71</v>
      </c>
    </row>
    <row r="1518" spans="3:3" hidden="1" outlineLevel="1" collapsed="1" x14ac:dyDescent="0.25">
      <c r="C1518" s="9">
        <f>Альфа!$B$1052</f>
        <v>131771.48000000001</v>
      </c>
    </row>
    <row r="1519" spans="3:3" hidden="1" outlineLevel="1" collapsed="1" x14ac:dyDescent="0.25">
      <c r="C1519" s="9">
        <f>Альфа!$B$1077</f>
        <v>118848.59</v>
      </c>
    </row>
    <row r="1520" spans="3:3" hidden="1" outlineLevel="1" collapsed="1" x14ac:dyDescent="0.25">
      <c r="C1520" s="9">
        <f>Альфа!$B$1101</f>
        <v>220549.95</v>
      </c>
    </row>
    <row r="1521" spans="2:3" hidden="1" outlineLevel="1" collapsed="1" x14ac:dyDescent="0.25">
      <c r="C1521" s="9">
        <f>Альфа!$B$1126</f>
        <v>232057.16</v>
      </c>
    </row>
    <row r="1522" spans="2:3" hidden="1" outlineLevel="1" collapsed="1" x14ac:dyDescent="0.25">
      <c r="C1522" s="9">
        <f>Альфа!$B$1151</f>
        <v>217825.59</v>
      </c>
    </row>
    <row r="1523" spans="2:3" hidden="1" outlineLevel="1" collapsed="1" x14ac:dyDescent="0.25">
      <c r="C1523" s="9">
        <f>Альфа!$B$1177</f>
        <v>294085.05</v>
      </c>
    </row>
    <row r="1524" spans="2:3" hidden="1" outlineLevel="1" collapsed="1" x14ac:dyDescent="0.25">
      <c r="C1524" s="9">
        <f>Альфа!$B$1203</f>
        <v>199184.76</v>
      </c>
    </row>
    <row r="1525" spans="2:3" hidden="1" outlineLevel="1" collapsed="1" x14ac:dyDescent="0.25">
      <c r="C1525" s="9">
        <f>Альфа!$B$1229</f>
        <v>228653.48</v>
      </c>
    </row>
    <row r="1526" spans="2:3" hidden="1" outlineLevel="1" collapsed="1" x14ac:dyDescent="0.25">
      <c r="B1526" t="s">
        <v>72</v>
      </c>
      <c r="C1526" s="9">
        <f>Бета!$B$10</f>
        <v>72917.289999999994</v>
      </c>
    </row>
    <row r="1527" spans="2:3" hidden="1" outlineLevel="1" collapsed="1" x14ac:dyDescent="0.25">
      <c r="C1527" s="9">
        <f>Бета!$B$32</f>
        <v>72940.91</v>
      </c>
    </row>
    <row r="1528" spans="2:3" hidden="1" outlineLevel="1" collapsed="1" x14ac:dyDescent="0.25">
      <c r="C1528" s="9">
        <f>Бета!$B$54</f>
        <v>79713.75</v>
      </c>
    </row>
    <row r="1529" spans="2:3" hidden="1" outlineLevel="1" collapsed="1" x14ac:dyDescent="0.25">
      <c r="C1529" s="9">
        <f>Бета!$B$76</f>
        <v>56256.66</v>
      </c>
    </row>
    <row r="1530" spans="2:3" hidden="1" outlineLevel="1" collapsed="1" x14ac:dyDescent="0.25">
      <c r="C1530" s="9">
        <f>Бета!$B$98</f>
        <v>64334.720000000001</v>
      </c>
    </row>
    <row r="1531" spans="2:3" hidden="1" outlineLevel="1" collapsed="1" x14ac:dyDescent="0.25">
      <c r="C1531" s="9">
        <f>Бета!$B$120</f>
        <v>109622.55</v>
      </c>
    </row>
    <row r="1532" spans="2:3" hidden="1" outlineLevel="1" collapsed="1" x14ac:dyDescent="0.25">
      <c r="C1532" s="9">
        <f>Бета!$B$142</f>
        <v>112005.69</v>
      </c>
    </row>
    <row r="1533" spans="2:3" hidden="1" outlineLevel="1" collapsed="1" x14ac:dyDescent="0.25">
      <c r="C1533" s="9">
        <f>Бета!$B$164</f>
        <v>46689.18</v>
      </c>
    </row>
    <row r="1534" spans="2:3" hidden="1" outlineLevel="1" collapsed="1" x14ac:dyDescent="0.25">
      <c r="C1534" s="9">
        <f>Бета!$B$186</f>
        <v>51926.73</v>
      </c>
    </row>
    <row r="1535" spans="2:3" hidden="1" outlineLevel="1" collapsed="1" x14ac:dyDescent="0.25">
      <c r="C1535" s="9">
        <f>Бета!$B$208</f>
        <v>56389.55</v>
      </c>
    </row>
    <row r="1536" spans="2:3" hidden="1" outlineLevel="1" collapsed="1" x14ac:dyDescent="0.25">
      <c r="C1536" s="9">
        <f>Бета!$B$230</f>
        <v>54472.21</v>
      </c>
    </row>
    <row r="1537" spans="3:3" hidden="1" outlineLevel="1" collapsed="1" x14ac:dyDescent="0.25">
      <c r="C1537" s="9">
        <f>Бета!$B$252</f>
        <v>53744.54</v>
      </c>
    </row>
    <row r="1538" spans="3:3" hidden="1" outlineLevel="1" collapsed="1" x14ac:dyDescent="0.25">
      <c r="C1538" s="9">
        <f>Бета!$B$273</f>
        <v>105517.66</v>
      </c>
    </row>
    <row r="1539" spans="3:3" hidden="1" outlineLevel="1" collapsed="1" x14ac:dyDescent="0.25">
      <c r="C1539" s="9">
        <f>Бета!$B$295</f>
        <v>91994.76</v>
      </c>
    </row>
    <row r="1540" spans="3:3" hidden="1" outlineLevel="1" collapsed="1" x14ac:dyDescent="0.25">
      <c r="C1540" s="9">
        <f>Бета!$B$317</f>
        <v>51221.67</v>
      </c>
    </row>
    <row r="1541" spans="3:3" hidden="1" outlineLevel="1" collapsed="1" x14ac:dyDescent="0.25">
      <c r="C1541" s="9">
        <f>Бета!$B$338</f>
        <v>51949.83</v>
      </c>
    </row>
    <row r="1542" spans="3:3" hidden="1" outlineLevel="1" collapsed="1" x14ac:dyDescent="0.25">
      <c r="C1542" s="9">
        <f>Бета!$B$359</f>
        <v>71466.28</v>
      </c>
    </row>
    <row r="1543" spans="3:3" hidden="1" outlineLevel="1" collapsed="1" x14ac:dyDescent="0.25">
      <c r="C1543" s="9">
        <f>Бета!$B$380</f>
        <v>56297.91</v>
      </c>
    </row>
    <row r="1544" spans="3:3" hidden="1" outlineLevel="1" collapsed="1" x14ac:dyDescent="0.25">
      <c r="C1544" s="9">
        <f>Бета!$B$401</f>
        <v>64665.919999999998</v>
      </c>
    </row>
    <row r="1545" spans="3:3" hidden="1" outlineLevel="1" collapsed="1" x14ac:dyDescent="0.25">
      <c r="C1545" s="9">
        <f>Бета!$B$422</f>
        <v>125282.75</v>
      </c>
    </row>
    <row r="1546" spans="3:3" hidden="1" outlineLevel="1" collapsed="1" x14ac:dyDescent="0.25">
      <c r="C1546" s="9">
        <f>Бета!$B$443</f>
        <v>95620.17</v>
      </c>
    </row>
    <row r="1547" spans="3:3" hidden="1" outlineLevel="1" collapsed="1" x14ac:dyDescent="0.25">
      <c r="C1547" s="9">
        <f>Бета!$B$464</f>
        <v>40793.49</v>
      </c>
    </row>
    <row r="1548" spans="3:3" hidden="1" outlineLevel="1" collapsed="1" x14ac:dyDescent="0.25">
      <c r="C1548" s="9">
        <f>Бета!$B$485</f>
        <v>38316.36</v>
      </c>
    </row>
    <row r="1549" spans="3:3" hidden="1" outlineLevel="1" collapsed="1" x14ac:dyDescent="0.25">
      <c r="C1549" s="9">
        <f>Бета!$B$506</f>
        <v>40220.92</v>
      </c>
    </row>
    <row r="1550" spans="3:3" hidden="1" outlineLevel="1" collapsed="1" x14ac:dyDescent="0.25">
      <c r="C1550" s="9">
        <f>Бета!$B$528</f>
        <v>44278.33</v>
      </c>
    </row>
    <row r="1551" spans="3:3" hidden="1" outlineLevel="1" collapsed="1" x14ac:dyDescent="0.25">
      <c r="C1551" s="9">
        <f>Бета!$B$547</f>
        <v>44780.35</v>
      </c>
    </row>
    <row r="1552" spans="3:3" hidden="1" outlineLevel="1" collapsed="1" x14ac:dyDescent="0.25">
      <c r="C1552" s="9">
        <f>Бета!$B$567</f>
        <v>89577.57</v>
      </c>
    </row>
    <row r="1553" spans="3:3" hidden="1" outlineLevel="1" collapsed="1" x14ac:dyDescent="0.25">
      <c r="C1553" s="9">
        <f>Бета!$B$587</f>
        <v>67916.11</v>
      </c>
    </row>
    <row r="1554" spans="3:3" hidden="1" outlineLevel="1" collapsed="1" x14ac:dyDescent="0.25">
      <c r="C1554" s="9">
        <f>Бета!$B$606</f>
        <v>40516.379999999997</v>
      </c>
    </row>
    <row r="1555" spans="3:3" hidden="1" outlineLevel="1" collapsed="1" x14ac:dyDescent="0.25">
      <c r="C1555" s="9">
        <f>Бета!$B$626</f>
        <v>52739.02</v>
      </c>
    </row>
    <row r="1556" spans="3:3" hidden="1" outlineLevel="1" collapsed="1" x14ac:dyDescent="0.25">
      <c r="C1556" s="9">
        <f>Бета!$B$646</f>
        <v>41024.36</v>
      </c>
    </row>
    <row r="1557" spans="3:3" hidden="1" outlineLevel="1" collapsed="1" x14ac:dyDescent="0.25">
      <c r="C1557" s="9">
        <f>Бета!$B$666</f>
        <v>42772.15</v>
      </c>
    </row>
    <row r="1558" spans="3:3" hidden="1" outlineLevel="1" collapsed="1" x14ac:dyDescent="0.25">
      <c r="C1558" s="9">
        <f>Бета!$B$687</f>
        <v>36287.81</v>
      </c>
    </row>
    <row r="1559" spans="3:3" hidden="1" outlineLevel="1" collapsed="1" x14ac:dyDescent="0.25">
      <c r="C1559" s="9">
        <f>Бета!$B$707</f>
        <v>68094.53</v>
      </c>
    </row>
    <row r="1560" spans="3:3" hidden="1" outlineLevel="1" collapsed="1" x14ac:dyDescent="0.25">
      <c r="C1560" s="9">
        <f>Бета!$B$728</f>
        <v>66097.03</v>
      </c>
    </row>
    <row r="1561" spans="3:3" hidden="1" outlineLevel="1" collapsed="1" x14ac:dyDescent="0.25">
      <c r="C1561" s="9">
        <f>Бета!$B$748</f>
        <v>45886.2</v>
      </c>
    </row>
    <row r="1562" spans="3:3" hidden="1" outlineLevel="1" collapsed="1" x14ac:dyDescent="0.25">
      <c r="C1562" s="9">
        <f>Бета!$B$768</f>
        <v>20968.45</v>
      </c>
    </row>
    <row r="1563" spans="3:3" hidden="1" outlineLevel="1" collapsed="1" x14ac:dyDescent="0.25">
      <c r="C1563" s="9">
        <f>Бета!$B$788</f>
        <v>25499.08</v>
      </c>
    </row>
    <row r="1564" spans="3:3" hidden="1" outlineLevel="1" collapsed="1" x14ac:dyDescent="0.25">
      <c r="C1564" s="9">
        <f>Бета!$B$808</f>
        <v>22962.65</v>
      </c>
    </row>
    <row r="1565" spans="3:3" hidden="1" outlineLevel="1" collapsed="1" x14ac:dyDescent="0.25">
      <c r="C1565" s="9">
        <f>Бета!$B$828</f>
        <v>29949.98</v>
      </c>
    </row>
    <row r="1566" spans="3:3" hidden="1" outlineLevel="1" collapsed="1" x14ac:dyDescent="0.25">
      <c r="C1566" s="9">
        <f>Бета!$B$848</f>
        <v>38039.99</v>
      </c>
    </row>
    <row r="1567" spans="3:3" hidden="1" outlineLevel="1" collapsed="1" x14ac:dyDescent="0.25">
      <c r="C1567" s="9">
        <f>Бета!$B$868</f>
        <v>45307.62</v>
      </c>
    </row>
    <row r="1568" spans="3:3" hidden="1" outlineLevel="1" collapsed="1" x14ac:dyDescent="0.25">
      <c r="C1568" s="9">
        <f>Бета!$B$888</f>
        <v>30357.29</v>
      </c>
    </row>
    <row r="1569" spans="2:3" hidden="1" outlineLevel="1" collapsed="1" x14ac:dyDescent="0.25">
      <c r="C1569" s="9">
        <f>Бета!$B$908</f>
        <v>33105.51</v>
      </c>
    </row>
    <row r="1570" spans="2:3" hidden="1" outlineLevel="1" collapsed="1" x14ac:dyDescent="0.25">
      <c r="C1570" s="9">
        <f>Бета!$B$927</f>
        <v>37291.47</v>
      </c>
    </row>
    <row r="1571" spans="2:3" hidden="1" outlineLevel="1" collapsed="1" x14ac:dyDescent="0.25">
      <c r="C1571" s="9">
        <f>Бета!$B$947</f>
        <v>50390.07</v>
      </c>
    </row>
    <row r="1572" spans="2:3" hidden="1" outlineLevel="1" collapsed="1" x14ac:dyDescent="0.25">
      <c r="C1572" s="9">
        <f>Бета!$B$967</f>
        <v>47273.01</v>
      </c>
    </row>
    <row r="1573" spans="2:3" hidden="1" outlineLevel="1" collapsed="1" x14ac:dyDescent="0.25">
      <c r="C1573" s="9">
        <f>Бета!$B$987</f>
        <v>49333.59</v>
      </c>
    </row>
    <row r="1574" spans="2:3" hidden="1" outlineLevel="1" collapsed="1" x14ac:dyDescent="0.25">
      <c r="C1574" s="9">
        <f>Бета!$B$1007</f>
        <v>22727.98</v>
      </c>
    </row>
    <row r="1575" spans="2:3" hidden="1" outlineLevel="1" collapsed="1" x14ac:dyDescent="0.25">
      <c r="B1575" t="s">
        <v>72</v>
      </c>
      <c r="C1575" s="9">
        <f>Гамма!$B$10</f>
        <v>229364.07</v>
      </c>
    </row>
    <row r="1576" spans="2:3" hidden="1" outlineLevel="1" collapsed="1" x14ac:dyDescent="0.25">
      <c r="C1576" s="9">
        <f>Гамма!$B$36</f>
        <v>187358.49</v>
      </c>
    </row>
    <row r="1577" spans="2:3" hidden="1" outlineLevel="1" collapsed="1" x14ac:dyDescent="0.25">
      <c r="C1577" s="9">
        <f>Гамма!$B$63</f>
        <v>244903.41</v>
      </c>
    </row>
    <row r="1578" spans="2:3" hidden="1" outlineLevel="1" collapsed="1" x14ac:dyDescent="0.25">
      <c r="C1578" s="9">
        <f>Гамма!$B$90</f>
        <v>231460.17</v>
      </c>
    </row>
    <row r="1579" spans="2:3" hidden="1" outlineLevel="1" collapsed="1" x14ac:dyDescent="0.25">
      <c r="C1579" s="9">
        <f>Гамма!$B$116</f>
        <v>243283.89</v>
      </c>
    </row>
    <row r="1580" spans="2:3" hidden="1" outlineLevel="1" collapsed="1" x14ac:dyDescent="0.25">
      <c r="C1580" s="9">
        <f>Гамма!$B$142</f>
        <v>396566.05</v>
      </c>
    </row>
    <row r="1581" spans="2:3" hidden="1" outlineLevel="1" collapsed="1" x14ac:dyDescent="0.25">
      <c r="C1581" s="9">
        <f>Гамма!$B$168</f>
        <v>333945.87</v>
      </c>
    </row>
    <row r="1582" spans="2:3" hidden="1" outlineLevel="1" collapsed="1" x14ac:dyDescent="0.25">
      <c r="C1582" s="9">
        <f>Гамма!$B$195</f>
        <v>189824.15</v>
      </c>
    </row>
    <row r="1583" spans="2:3" hidden="1" outlineLevel="1" collapsed="1" x14ac:dyDescent="0.25">
      <c r="C1583" s="9">
        <f>Гамма!$B$222</f>
        <v>194274.53</v>
      </c>
    </row>
    <row r="1584" spans="2:3" hidden="1" outlineLevel="1" collapsed="1" x14ac:dyDescent="0.25">
      <c r="C1584" s="9">
        <f>Гамма!$B$248</f>
        <v>162737.74</v>
      </c>
    </row>
    <row r="1585" spans="3:3" hidden="1" outlineLevel="1" collapsed="1" x14ac:dyDescent="0.25">
      <c r="C1585" s="9">
        <f>Гамма!$B$274</f>
        <v>183870.91</v>
      </c>
    </row>
    <row r="1586" spans="3:3" hidden="1" outlineLevel="1" collapsed="1" x14ac:dyDescent="0.25">
      <c r="C1586" s="9">
        <f>Гамма!$B$300</f>
        <v>259567.82</v>
      </c>
    </row>
    <row r="1587" spans="3:3" hidden="1" outlineLevel="1" collapsed="1" x14ac:dyDescent="0.25">
      <c r="C1587" s="9">
        <f>Гамма!$B$326</f>
        <v>328847.46999999997</v>
      </c>
    </row>
    <row r="1588" spans="3:3" hidden="1" outlineLevel="1" collapsed="1" x14ac:dyDescent="0.25">
      <c r="C1588" s="9">
        <f>Гамма!$B$352</f>
        <v>310995.18</v>
      </c>
    </row>
    <row r="1589" spans="3:3" hidden="1" outlineLevel="1" collapsed="1" x14ac:dyDescent="0.25">
      <c r="C1589" s="9">
        <f>Гамма!$B$377</f>
        <v>187501.4</v>
      </c>
    </row>
    <row r="1590" spans="3:3" hidden="1" outlineLevel="1" collapsed="1" x14ac:dyDescent="0.25">
      <c r="C1590" s="9">
        <f>Гамма!$B$403</f>
        <v>220947.20000000001</v>
      </c>
    </row>
    <row r="1591" spans="3:3" hidden="1" outlineLevel="1" collapsed="1" x14ac:dyDescent="0.25">
      <c r="C1591" s="9">
        <f>Гамма!$B$430</f>
        <v>219920.4</v>
      </c>
    </row>
    <row r="1592" spans="3:3" hidden="1" outlineLevel="1" collapsed="1" x14ac:dyDescent="0.25">
      <c r="C1592" s="9">
        <f>Гамма!$B$457</f>
        <v>211000.8</v>
      </c>
    </row>
    <row r="1593" spans="3:3" hidden="1" outlineLevel="1" collapsed="1" x14ac:dyDescent="0.25">
      <c r="C1593" s="9">
        <f>Гамма!$B$483</f>
        <v>173538.6</v>
      </c>
    </row>
    <row r="1594" spans="3:3" hidden="1" outlineLevel="1" collapsed="1" x14ac:dyDescent="0.25">
      <c r="C1594" s="9">
        <f>Гамма!$B$509</f>
        <v>293917.2</v>
      </c>
    </row>
    <row r="1595" spans="3:3" hidden="1" outlineLevel="1" collapsed="1" x14ac:dyDescent="0.25">
      <c r="C1595" s="9">
        <f>Гамма!$B$535</f>
        <v>205720</v>
      </c>
    </row>
    <row r="1596" spans="3:3" hidden="1" outlineLevel="1" collapsed="1" x14ac:dyDescent="0.25">
      <c r="C1596" s="9">
        <f>Гамма!$B$561</f>
        <v>107987</v>
      </c>
    </row>
    <row r="1597" spans="3:3" hidden="1" outlineLevel="1" collapsed="1" x14ac:dyDescent="0.25">
      <c r="C1597" s="9">
        <f>Гамма!$B$586</f>
        <v>91200</v>
      </c>
    </row>
    <row r="1598" spans="3:3" hidden="1" outlineLevel="1" collapsed="1" x14ac:dyDescent="0.25">
      <c r="C1598" s="9">
        <f>Гамма!$B$612</f>
        <v>117490.61</v>
      </c>
    </row>
    <row r="1599" spans="3:3" hidden="1" outlineLevel="1" collapsed="1" x14ac:dyDescent="0.25">
      <c r="C1599" s="9">
        <f>Гамма!$B$638</f>
        <v>135395.1</v>
      </c>
    </row>
    <row r="1600" spans="3:3" hidden="1" outlineLevel="1" collapsed="1" x14ac:dyDescent="0.25">
      <c r="C1600" s="9">
        <f>Гамма!$B$664</f>
        <v>145185.82</v>
      </c>
    </row>
    <row r="1601" spans="3:3" hidden="1" outlineLevel="1" collapsed="1" x14ac:dyDescent="0.25">
      <c r="C1601" s="9">
        <f>Гамма!$B$690</f>
        <v>231639.62</v>
      </c>
    </row>
    <row r="1602" spans="3:3" hidden="1" outlineLevel="1" collapsed="1" x14ac:dyDescent="0.25">
      <c r="C1602" s="9">
        <f>Гамма!$B$716</f>
        <v>192399.14</v>
      </c>
    </row>
    <row r="1603" spans="3:3" hidden="1" outlineLevel="1" collapsed="1" x14ac:dyDescent="0.25">
      <c r="C1603" s="9">
        <f>Гамма!$B$740</f>
        <v>141308.07</v>
      </c>
    </row>
    <row r="1604" spans="3:3" hidden="1" outlineLevel="1" collapsed="1" x14ac:dyDescent="0.25">
      <c r="C1604" s="9">
        <f>Гамма!$B$766</f>
        <v>155743.01999999999</v>
      </c>
    </row>
    <row r="1605" spans="3:3" hidden="1" outlineLevel="1" collapsed="1" x14ac:dyDescent="0.25">
      <c r="C1605" s="9">
        <f>Гамма!$B$790</f>
        <v>167001</v>
      </c>
    </row>
    <row r="1606" spans="3:3" hidden="1" outlineLevel="1" collapsed="1" x14ac:dyDescent="0.25">
      <c r="C1606" s="9">
        <f>Гамма!$B$816</f>
        <v>150001.95000000001</v>
      </c>
    </row>
    <row r="1607" spans="3:3" hidden="1" outlineLevel="1" collapsed="1" x14ac:dyDescent="0.25">
      <c r="C1607" s="9">
        <f>Гамма!$B$842</f>
        <v>207036.35</v>
      </c>
    </row>
    <row r="1608" spans="3:3" hidden="1" outlineLevel="1" collapsed="1" x14ac:dyDescent="0.25">
      <c r="C1608" s="9">
        <f>Гамма!$B$868</f>
        <v>327979.65000000002</v>
      </c>
    </row>
    <row r="1609" spans="3:3" hidden="1" outlineLevel="1" collapsed="1" x14ac:dyDescent="0.25">
      <c r="C1609" s="9">
        <f>Гамма!$B$894</f>
        <v>279622.64</v>
      </c>
    </row>
    <row r="1610" spans="3:3" hidden="1" outlineLevel="1" collapsed="1" x14ac:dyDescent="0.25">
      <c r="C1610" s="9">
        <f>Гамма!$B$920</f>
        <v>197925.54</v>
      </c>
    </row>
    <row r="1611" spans="3:3" hidden="1" outlineLevel="1" collapsed="1" x14ac:dyDescent="0.25">
      <c r="C1611" s="9">
        <f>Гамма!$B$945</f>
        <v>128091.16</v>
      </c>
    </row>
    <row r="1612" spans="3:3" hidden="1" outlineLevel="1" collapsed="1" x14ac:dyDescent="0.25">
      <c r="C1612" s="9">
        <f>Гамма!$B$971</f>
        <v>91749.57</v>
      </c>
    </row>
    <row r="1613" spans="3:3" hidden="1" outlineLevel="1" collapsed="1" x14ac:dyDescent="0.25">
      <c r="C1613" s="9">
        <f>Гамма!$B$997</f>
        <v>104763.61</v>
      </c>
    </row>
    <row r="1614" spans="3:3" hidden="1" outlineLevel="1" collapsed="1" x14ac:dyDescent="0.25">
      <c r="C1614" s="9">
        <f>Гамма!$B$1022</f>
        <v>130995.29</v>
      </c>
    </row>
    <row r="1615" spans="3:3" hidden="1" outlineLevel="1" collapsed="1" x14ac:dyDescent="0.25">
      <c r="C1615" s="9">
        <f>Гамма!$B$1046</f>
        <v>169091.51</v>
      </c>
    </row>
    <row r="1616" spans="3:3" hidden="1" outlineLevel="1" collapsed="1" x14ac:dyDescent="0.25">
      <c r="C1616" s="9">
        <f>Гамма!$B$1071</f>
        <v>183156.69</v>
      </c>
    </row>
    <row r="1617" spans="2:3" hidden="1" outlineLevel="1" collapsed="1" x14ac:dyDescent="0.25">
      <c r="C1617" s="9">
        <f>Гамма!$B$1097</f>
        <v>148478.66</v>
      </c>
    </row>
    <row r="1618" spans="2:3" hidden="1" outlineLevel="1" collapsed="1" x14ac:dyDescent="0.25">
      <c r="C1618" s="9">
        <f>Гамма!$B$1121</f>
        <v>124509.98</v>
      </c>
    </row>
    <row r="1619" spans="2:3" hidden="1" outlineLevel="1" collapsed="1" x14ac:dyDescent="0.25">
      <c r="C1619" s="9">
        <f>Гамма!$B$1145</f>
        <v>129484.42</v>
      </c>
    </row>
    <row r="1620" spans="2:3" hidden="1" outlineLevel="1" collapsed="1" x14ac:dyDescent="0.25">
      <c r="C1620" s="9">
        <f>Гамма!$B$1171</f>
        <v>177841.07</v>
      </c>
    </row>
    <row r="1621" spans="2:3" hidden="1" outlineLevel="1" collapsed="1" x14ac:dyDescent="0.25">
      <c r="C1621" s="9">
        <f>Гамма!$B$1195</f>
        <v>194274.74</v>
      </c>
    </row>
    <row r="1622" spans="2:3" hidden="1" outlineLevel="1" collapsed="1" x14ac:dyDescent="0.25">
      <c r="C1622" s="9">
        <f>Гамма!$B$1220</f>
        <v>214850.22</v>
      </c>
    </row>
    <row r="1623" spans="2:3" hidden="1" outlineLevel="1" collapsed="1" x14ac:dyDescent="0.25">
      <c r="C1623" s="9">
        <f>Гамма!$B$1245</f>
        <v>154174.85999999999</v>
      </c>
    </row>
    <row r="1624" spans="2:3" hidden="1" outlineLevel="1" collapsed="1" x14ac:dyDescent="0.25">
      <c r="B1624" t="s">
        <v>72</v>
      </c>
      <c r="C1624" s="9">
        <f>Дельта!$B$10</f>
        <v>178209.93</v>
      </c>
    </row>
    <row r="1625" spans="2:3" hidden="1" outlineLevel="1" collapsed="1" x14ac:dyDescent="0.25">
      <c r="C1625" s="9">
        <f>Дельта!$B$36</f>
        <v>186225.29</v>
      </c>
    </row>
    <row r="1626" spans="2:3" hidden="1" outlineLevel="1" collapsed="1" x14ac:dyDescent="0.25">
      <c r="C1626" s="9">
        <f>Дельта!$B$62</f>
        <v>188988.76</v>
      </c>
    </row>
    <row r="1627" spans="2:3" hidden="1" outlineLevel="1" collapsed="1" x14ac:dyDescent="0.25">
      <c r="C1627" s="9">
        <f>Дельта!$B$88</f>
        <v>172980</v>
      </c>
    </row>
    <row r="1628" spans="2:3" hidden="1" outlineLevel="1" collapsed="1" x14ac:dyDescent="0.25">
      <c r="C1628" s="9">
        <f>Дельта!$B$114</f>
        <v>208377</v>
      </c>
    </row>
    <row r="1629" spans="2:3" hidden="1" outlineLevel="1" collapsed="1" x14ac:dyDescent="0.25">
      <c r="C1629" s="9">
        <f>Дельта!$B$140</f>
        <v>264053</v>
      </c>
    </row>
    <row r="1630" spans="2:3" hidden="1" outlineLevel="1" collapsed="1" x14ac:dyDescent="0.25">
      <c r="C1630" s="9">
        <f>Дельта!$B$165</f>
        <v>218128.21</v>
      </c>
    </row>
    <row r="1631" spans="2:3" hidden="1" outlineLevel="1" collapsed="1" x14ac:dyDescent="0.25">
      <c r="C1631" s="9">
        <f>Дельта!$B$191</f>
        <v>154480</v>
      </c>
    </row>
    <row r="1632" spans="2:3" hidden="1" outlineLevel="1" collapsed="1" x14ac:dyDescent="0.25">
      <c r="C1632" s="9">
        <f>Дельта!$B$217</f>
        <v>161355.88</v>
      </c>
    </row>
    <row r="1633" spans="3:3" hidden="1" outlineLevel="1" collapsed="1" x14ac:dyDescent="0.25">
      <c r="C1633" s="9">
        <f>Дельта!$B$242</f>
        <v>133832</v>
      </c>
    </row>
    <row r="1634" spans="3:3" hidden="1" outlineLevel="1" collapsed="1" x14ac:dyDescent="0.25">
      <c r="C1634" s="9">
        <f>Дельта!$B$268</f>
        <v>143238</v>
      </c>
    </row>
    <row r="1635" spans="3:3" hidden="1" outlineLevel="1" collapsed="1" x14ac:dyDescent="0.25">
      <c r="C1635" s="9">
        <f>Дельта!$B$294</f>
        <v>165857</v>
      </c>
    </row>
    <row r="1636" spans="3:3" hidden="1" outlineLevel="1" collapsed="1" x14ac:dyDescent="0.25">
      <c r="C1636" s="9">
        <f>Дельта!$B$320</f>
        <v>321561</v>
      </c>
    </row>
    <row r="1637" spans="3:3" hidden="1" outlineLevel="1" collapsed="1" x14ac:dyDescent="0.25">
      <c r="C1637" s="9">
        <f>Дельта!$B$346</f>
        <v>270378</v>
      </c>
    </row>
    <row r="1638" spans="3:3" hidden="1" outlineLevel="1" collapsed="1" x14ac:dyDescent="0.25">
      <c r="C1638" s="9">
        <f>Дельта!$B$372</f>
        <v>192053</v>
      </c>
    </row>
    <row r="1639" spans="3:3" hidden="1" outlineLevel="1" collapsed="1" x14ac:dyDescent="0.25">
      <c r="C1639" s="9">
        <f>Дельта!$B$398</f>
        <v>204483</v>
      </c>
    </row>
    <row r="1640" spans="3:3" hidden="1" outlineLevel="1" collapsed="1" x14ac:dyDescent="0.25">
      <c r="C1640" s="9">
        <f>Дельта!$B$424</f>
        <v>189774</v>
      </c>
    </row>
    <row r="1641" spans="3:3" hidden="1" outlineLevel="1" collapsed="1" x14ac:dyDescent="0.25">
      <c r="C1641" s="9">
        <f>Дельта!$B$450</f>
        <v>222372</v>
      </c>
    </row>
    <row r="1642" spans="3:3" hidden="1" outlineLevel="1" collapsed="1" x14ac:dyDescent="0.25">
      <c r="C1642" s="9">
        <f>Дельта!$B$476</f>
        <v>223491</v>
      </c>
    </row>
    <row r="1643" spans="3:3" hidden="1" outlineLevel="1" collapsed="1" x14ac:dyDescent="0.25">
      <c r="C1643" s="9">
        <f>Дельта!$B$502</f>
        <v>370436</v>
      </c>
    </row>
    <row r="1644" spans="3:3" hidden="1" outlineLevel="1" collapsed="1" x14ac:dyDescent="0.25">
      <c r="C1644" s="9">
        <f>Дельта!$B$528</f>
        <v>224023</v>
      </c>
    </row>
    <row r="1645" spans="3:3" hidden="1" outlineLevel="1" collapsed="1" x14ac:dyDescent="0.25">
      <c r="C1645" s="9">
        <f>Дельта!$B$554</f>
        <v>129093</v>
      </c>
    </row>
    <row r="1646" spans="3:3" hidden="1" outlineLevel="1" collapsed="1" x14ac:dyDescent="0.25">
      <c r="C1646" s="9">
        <f>Дельта!$B$580</f>
        <v>84878</v>
      </c>
    </row>
    <row r="1647" spans="3:3" hidden="1" outlineLevel="1" collapsed="1" x14ac:dyDescent="0.25">
      <c r="C1647" s="9">
        <f>Дельта!$B$606</f>
        <v>130882</v>
      </c>
    </row>
    <row r="1648" spans="3:3" hidden="1" outlineLevel="1" collapsed="1" x14ac:dyDescent="0.25">
      <c r="C1648" s="9">
        <f>Дельта!$B$631</f>
        <v>115999</v>
      </c>
    </row>
    <row r="1649" spans="3:3" hidden="1" outlineLevel="1" collapsed="1" x14ac:dyDescent="0.25">
      <c r="C1649" s="9">
        <f>Дельта!$B$657</f>
        <v>99806</v>
      </c>
    </row>
    <row r="1650" spans="3:3" hidden="1" outlineLevel="1" collapsed="1" x14ac:dyDescent="0.25">
      <c r="C1650" s="9">
        <f>Дельта!$B$684</f>
        <v>139921</v>
      </c>
    </row>
    <row r="1651" spans="3:3" hidden="1" outlineLevel="1" collapsed="1" x14ac:dyDescent="0.25">
      <c r="C1651" s="9">
        <f>Дельта!$B$710</f>
        <v>102505</v>
      </c>
    </row>
    <row r="1652" spans="3:3" hidden="1" outlineLevel="1" collapsed="1" x14ac:dyDescent="0.25">
      <c r="C1652" s="9">
        <f>Дельта!$B$735</f>
        <v>71274</v>
      </c>
    </row>
    <row r="1653" spans="3:3" hidden="1" outlineLevel="1" collapsed="1" x14ac:dyDescent="0.25">
      <c r="C1653" s="9">
        <f>Дельта!$B$761</f>
        <v>67126.929999999993</v>
      </c>
    </row>
    <row r="1654" spans="3:3" hidden="1" outlineLevel="1" collapsed="1" x14ac:dyDescent="0.25">
      <c r="C1654" s="9">
        <f>Дельта!$B$786</f>
        <v>69203</v>
      </c>
    </row>
    <row r="1655" spans="3:3" hidden="1" outlineLevel="1" collapsed="1" x14ac:dyDescent="0.25">
      <c r="C1655" s="9">
        <f>Дельта!$B$812</f>
        <v>96426</v>
      </c>
    </row>
    <row r="1656" spans="3:3" hidden="1" outlineLevel="1" collapsed="1" x14ac:dyDescent="0.25">
      <c r="C1656" s="9">
        <f>Дельта!$B$838</f>
        <v>138177</v>
      </c>
    </row>
    <row r="1657" spans="3:3" hidden="1" outlineLevel="1" collapsed="1" x14ac:dyDescent="0.25">
      <c r="C1657" s="9">
        <f>Дельта!$B$864</f>
        <v>225819</v>
      </c>
    </row>
    <row r="1658" spans="3:3" hidden="1" outlineLevel="1" collapsed="1" x14ac:dyDescent="0.25">
      <c r="C1658" s="9">
        <f>Дельта!$B$890</f>
        <v>204868</v>
      </c>
    </row>
    <row r="1659" spans="3:3" hidden="1" outlineLevel="1" collapsed="1" x14ac:dyDescent="0.25">
      <c r="C1659" s="9">
        <f>Дельта!$B$916</f>
        <v>116333</v>
      </c>
    </row>
    <row r="1660" spans="3:3" hidden="1" outlineLevel="1" collapsed="1" x14ac:dyDescent="0.25">
      <c r="C1660" s="9">
        <f>Дельта!$B$941</f>
        <v>96223</v>
      </c>
    </row>
    <row r="1661" spans="3:3" hidden="1" outlineLevel="1" collapsed="1" x14ac:dyDescent="0.25">
      <c r="C1661" s="9">
        <f>Дельта!$B$967</f>
        <v>91036.98</v>
      </c>
    </row>
    <row r="1662" spans="3:3" hidden="1" outlineLevel="1" collapsed="1" x14ac:dyDescent="0.25">
      <c r="C1662" s="9">
        <f>Дельта!$B$992</f>
        <v>65864</v>
      </c>
    </row>
    <row r="1663" spans="3:3" hidden="1" outlineLevel="1" collapsed="1" x14ac:dyDescent="0.25">
      <c r="C1663" s="9">
        <f>Дельта!$B$1018</f>
        <v>75822</v>
      </c>
    </row>
    <row r="1664" spans="3:3" hidden="1" outlineLevel="1" collapsed="1" x14ac:dyDescent="0.25">
      <c r="C1664" s="9">
        <f>Дельта!$B$1043</f>
        <v>112911</v>
      </c>
    </row>
    <row r="1665" spans="1:3" hidden="1" outlineLevel="1" collapsed="1" x14ac:dyDescent="0.25">
      <c r="C1665" s="9">
        <f>Дельта!$B$1069</f>
        <v>109404.04</v>
      </c>
    </row>
    <row r="1666" spans="1:3" hidden="1" outlineLevel="1" collapsed="1" x14ac:dyDescent="0.25">
      <c r="C1666" s="9">
        <f>Дельта!$B$1093</f>
        <v>82337</v>
      </c>
    </row>
    <row r="1667" spans="1:3" hidden="1" outlineLevel="1" collapsed="1" x14ac:dyDescent="0.25">
      <c r="C1667" s="9">
        <f>Дельта!$B$1118</f>
        <v>96040</v>
      </c>
    </row>
    <row r="1668" spans="1:3" hidden="1" outlineLevel="1" collapsed="1" x14ac:dyDescent="0.25">
      <c r="C1668" s="9">
        <f>Дельта!$B$1143</f>
        <v>59767</v>
      </c>
    </row>
    <row r="1669" spans="1:3" hidden="1" outlineLevel="1" collapsed="1" x14ac:dyDescent="0.25">
      <c r="C1669" s="9">
        <f>Дельта!$B$1167</f>
        <v>60592.71</v>
      </c>
    </row>
    <row r="1670" spans="1:3" hidden="1" outlineLevel="1" collapsed="1" x14ac:dyDescent="0.25">
      <c r="C1670" s="9">
        <f>Дельта!$B$1190</f>
        <v>109888.58</v>
      </c>
    </row>
    <row r="1671" spans="1:3" hidden="1" outlineLevel="1" collapsed="1" x14ac:dyDescent="0.25">
      <c r="C1671" s="9">
        <f>Дельта!$B$1216</f>
        <v>95106</v>
      </c>
    </row>
    <row r="1672" spans="1:3" hidden="1" outlineLevel="1" collapsed="1" x14ac:dyDescent="0.25">
      <c r="C1672" s="9">
        <f>Дельта!$B$1240</f>
        <v>72057</v>
      </c>
    </row>
    <row r="1673" spans="1:3" collapsed="1" x14ac:dyDescent="0.25">
      <c r="A1673" t="s">
        <v>10</v>
      </c>
      <c r="C1673" s="9">
        <f>SUM(C1477:C1672)</f>
        <v>33281020.530000001</v>
      </c>
    </row>
    <row r="1674" spans="1:3" hidden="1" outlineLevel="1" x14ac:dyDescent="0.25">
      <c r="B1674" t="s">
        <v>72</v>
      </c>
      <c r="C1674" s="9">
        <f>Альфа!$B$11</f>
        <v>1642185.39</v>
      </c>
    </row>
    <row r="1675" spans="1:3" hidden="1" outlineLevel="1" collapsed="1" x14ac:dyDescent="0.25">
      <c r="C1675" s="9">
        <f>Альфа!$B$37</f>
        <v>942577.51</v>
      </c>
    </row>
    <row r="1676" spans="1:3" hidden="1" outlineLevel="1" collapsed="1" x14ac:dyDescent="0.25">
      <c r="C1676" s="9">
        <f>Альфа!$B$63</f>
        <v>495989.49</v>
      </c>
    </row>
    <row r="1677" spans="1:3" hidden="1" outlineLevel="1" collapsed="1" x14ac:dyDescent="0.25">
      <c r="C1677" s="9">
        <f>Альфа!$B$89</f>
        <v>566883.78</v>
      </c>
    </row>
    <row r="1678" spans="1:3" hidden="1" outlineLevel="1" collapsed="1" x14ac:dyDescent="0.25">
      <c r="C1678" s="9">
        <f>Альфа!$B$115</f>
        <v>946750.28</v>
      </c>
    </row>
    <row r="1679" spans="1:3" hidden="1" outlineLevel="1" collapsed="1" x14ac:dyDescent="0.25">
      <c r="C1679" s="9">
        <f>Альфа!$B$142</f>
        <v>895284.99</v>
      </c>
    </row>
    <row r="1680" spans="1:3" hidden="1" outlineLevel="1" collapsed="1" x14ac:dyDescent="0.25">
      <c r="C1680" s="9">
        <f>Альфа!$B$168</f>
        <v>571208.71</v>
      </c>
    </row>
    <row r="1681" spans="3:3" hidden="1" outlineLevel="1" collapsed="1" x14ac:dyDescent="0.25">
      <c r="C1681" s="9">
        <f>Альфа!$B$194</f>
        <v>887055.34</v>
      </c>
    </row>
    <row r="1682" spans="3:3" hidden="1" outlineLevel="1" collapsed="1" x14ac:dyDescent="0.25">
      <c r="C1682" s="9">
        <f>Альфа!$B$220</f>
        <v>631649.68999999994</v>
      </c>
    </row>
    <row r="1683" spans="3:3" hidden="1" outlineLevel="1" collapsed="1" x14ac:dyDescent="0.25">
      <c r="C1683" s="9">
        <f>Альфа!$B$247</f>
        <v>458429.94</v>
      </c>
    </row>
    <row r="1684" spans="3:3" hidden="1" outlineLevel="1" collapsed="1" x14ac:dyDescent="0.25">
      <c r="C1684" s="9">
        <f>Альфа!$B$273</f>
        <v>556262.94999999995</v>
      </c>
    </row>
    <row r="1685" spans="3:3" hidden="1" outlineLevel="1" collapsed="1" x14ac:dyDescent="0.25">
      <c r="C1685" s="9">
        <f>Альфа!$B$299</f>
        <v>761982.41</v>
      </c>
    </row>
    <row r="1686" spans="3:3" hidden="1" outlineLevel="1" collapsed="1" x14ac:dyDescent="0.25">
      <c r="C1686" s="9">
        <f>Альфа!$B$325</f>
        <v>770041.4</v>
      </c>
    </row>
    <row r="1687" spans="3:3" hidden="1" outlineLevel="1" collapsed="1" x14ac:dyDescent="0.25">
      <c r="C1687" s="9">
        <f>Альфа!$B$351</f>
        <v>498169.42</v>
      </c>
    </row>
    <row r="1688" spans="3:3" hidden="1" outlineLevel="1" collapsed="1" x14ac:dyDescent="0.25">
      <c r="C1688" s="9">
        <f>Альфа!$B$378</f>
        <v>407780.47</v>
      </c>
    </row>
    <row r="1689" spans="3:3" hidden="1" outlineLevel="1" collapsed="1" x14ac:dyDescent="0.25">
      <c r="C1689" s="9">
        <f>Альфа!$B$404</f>
        <v>427832.47</v>
      </c>
    </row>
    <row r="1690" spans="3:3" hidden="1" outlineLevel="1" collapsed="1" x14ac:dyDescent="0.25">
      <c r="C1690" s="9">
        <f>Альфа!$B$430</f>
        <v>606967.91</v>
      </c>
    </row>
    <row r="1691" spans="3:3" hidden="1" outlineLevel="1" collapsed="1" x14ac:dyDescent="0.25">
      <c r="C1691" s="9">
        <f>Альфа!$B$455</f>
        <v>1127346.18</v>
      </c>
    </row>
    <row r="1692" spans="3:3" hidden="1" outlineLevel="1" collapsed="1" x14ac:dyDescent="0.25">
      <c r="C1692" s="9">
        <f>Альфа!$B$481</f>
        <v>1225095.8899999999</v>
      </c>
    </row>
    <row r="1693" spans="3:3" hidden="1" outlineLevel="1" collapsed="1" x14ac:dyDescent="0.25">
      <c r="C1693" s="9">
        <f>Альфа!$B$506</f>
        <v>944689.98</v>
      </c>
    </row>
    <row r="1694" spans="3:3" hidden="1" outlineLevel="1" collapsed="1" x14ac:dyDescent="0.25">
      <c r="C1694" s="9">
        <f>Альфа!$B$531</f>
        <v>984477.5</v>
      </c>
    </row>
    <row r="1695" spans="3:3" hidden="1" outlineLevel="1" collapsed="1" x14ac:dyDescent="0.25">
      <c r="C1695" s="9">
        <f>Альфа!$B$556</f>
        <v>769295.95</v>
      </c>
    </row>
    <row r="1696" spans="3:3" hidden="1" outlineLevel="1" collapsed="1" x14ac:dyDescent="0.25">
      <c r="C1696" s="9">
        <f>Альфа!$B$581</f>
        <v>224477</v>
      </c>
    </row>
    <row r="1697" spans="3:3" hidden="1" outlineLevel="1" collapsed="1" x14ac:dyDescent="0.25">
      <c r="C1697" s="9">
        <f>Альфа!$B$605</f>
        <v>317141.46999999997</v>
      </c>
    </row>
    <row r="1698" spans="3:3" hidden="1" outlineLevel="1" collapsed="1" x14ac:dyDescent="0.25">
      <c r="C1698" s="9">
        <f>Альфа!$B$630</f>
        <v>461168.91</v>
      </c>
    </row>
    <row r="1699" spans="3:3" hidden="1" outlineLevel="1" collapsed="1" x14ac:dyDescent="0.25">
      <c r="C1699" s="9">
        <f>Альфа!$B$655</f>
        <v>680297.2</v>
      </c>
    </row>
    <row r="1700" spans="3:3" hidden="1" outlineLevel="1" collapsed="1" x14ac:dyDescent="0.25">
      <c r="C1700" s="9">
        <f>Альфа!$B$680</f>
        <v>813115.63</v>
      </c>
    </row>
    <row r="1701" spans="3:3" hidden="1" outlineLevel="1" collapsed="1" x14ac:dyDescent="0.25">
      <c r="C1701" s="9">
        <f>Альфа!$B$705</f>
        <v>465034.93</v>
      </c>
    </row>
    <row r="1702" spans="3:3" hidden="1" outlineLevel="1" collapsed="1" x14ac:dyDescent="0.25">
      <c r="C1702" s="9">
        <f>Альфа!$B$730</f>
        <v>423272.41</v>
      </c>
    </row>
    <row r="1703" spans="3:3" hidden="1" outlineLevel="1" collapsed="1" x14ac:dyDescent="0.25">
      <c r="C1703" s="9">
        <f>Альфа!$B$755</f>
        <v>405379.43</v>
      </c>
    </row>
    <row r="1704" spans="3:3" hidden="1" outlineLevel="1" collapsed="1" x14ac:dyDescent="0.25">
      <c r="C1704" s="9">
        <f>Альфа!$B$780</f>
        <v>634489.43000000005</v>
      </c>
    </row>
    <row r="1705" spans="3:3" hidden="1" outlineLevel="1" collapsed="1" x14ac:dyDescent="0.25">
      <c r="C1705" s="9">
        <f>Альфа!$B$803</f>
        <v>368433.47</v>
      </c>
    </row>
    <row r="1706" spans="3:3" hidden="1" outlineLevel="1" collapsed="1" x14ac:dyDescent="0.25">
      <c r="C1706" s="9">
        <f>Альфа!$B$827</f>
        <v>822868.76</v>
      </c>
    </row>
    <row r="1707" spans="3:3" hidden="1" outlineLevel="1" collapsed="1" x14ac:dyDescent="0.25">
      <c r="C1707" s="9">
        <f>Альфа!$B$852</f>
        <v>863947.79</v>
      </c>
    </row>
    <row r="1708" spans="3:3" hidden="1" outlineLevel="1" collapsed="1" x14ac:dyDescent="0.25">
      <c r="C1708" s="9">
        <f>Альфа!$B$877</f>
        <v>811487.49</v>
      </c>
    </row>
    <row r="1709" spans="3:3" hidden="1" outlineLevel="1" collapsed="1" x14ac:dyDescent="0.25">
      <c r="C1709" s="9">
        <f>Альфа!$B$902</f>
        <v>716180.73</v>
      </c>
    </row>
    <row r="1710" spans="3:3" hidden="1" outlineLevel="1" collapsed="1" x14ac:dyDescent="0.25">
      <c r="C1710" s="9">
        <f>Альфа!$B$927</f>
        <v>326618</v>
      </c>
    </row>
    <row r="1711" spans="3:3" hidden="1" outlineLevel="1" collapsed="1" x14ac:dyDescent="0.25">
      <c r="C1711" s="9">
        <f>Альфа!$B$952</f>
        <v>262230</v>
      </c>
    </row>
    <row r="1712" spans="3:3" hidden="1" outlineLevel="1" collapsed="1" x14ac:dyDescent="0.25">
      <c r="C1712" s="9">
        <f>Альфа!$B$976</f>
        <v>383887</v>
      </c>
    </row>
    <row r="1713" spans="2:3" hidden="1" outlineLevel="1" collapsed="1" x14ac:dyDescent="0.25">
      <c r="C1713" s="9">
        <f>Альфа!$B$1002</f>
        <v>370605.5</v>
      </c>
    </row>
    <row r="1714" spans="2:3" hidden="1" outlineLevel="1" collapsed="1" x14ac:dyDescent="0.25">
      <c r="C1714" s="9">
        <f>Альфа!$B$1027</f>
        <v>336277.11</v>
      </c>
    </row>
    <row r="1715" spans="2:3" hidden="1" outlineLevel="1" collapsed="1" x14ac:dyDescent="0.25">
      <c r="C1715" s="9">
        <f>Альфа!$B$1053</f>
        <v>277501</v>
      </c>
    </row>
    <row r="1716" spans="2:3" hidden="1" outlineLevel="1" collapsed="1" x14ac:dyDescent="0.25">
      <c r="C1716" s="9">
        <f>Альфа!$B$1078</f>
        <v>233061</v>
      </c>
    </row>
    <row r="1717" spans="2:3" hidden="1" outlineLevel="1" collapsed="1" x14ac:dyDescent="0.25">
      <c r="C1717" s="9">
        <f>Альфа!$B$1102</f>
        <v>214549</v>
      </c>
    </row>
    <row r="1718" spans="2:3" hidden="1" outlineLevel="1" collapsed="1" x14ac:dyDescent="0.25">
      <c r="C1718" s="9">
        <f>Альфа!$B$1127</f>
        <v>297658.96999999997</v>
      </c>
    </row>
    <row r="1719" spans="2:3" hidden="1" outlineLevel="1" collapsed="1" x14ac:dyDescent="0.25">
      <c r="C1719" s="9">
        <f>Альфа!$B$1152</f>
        <v>316703.93</v>
      </c>
    </row>
    <row r="1720" spans="2:3" hidden="1" outlineLevel="1" collapsed="1" x14ac:dyDescent="0.25">
      <c r="C1720" s="9">
        <f>Альфа!$B$1178</f>
        <v>489852.36</v>
      </c>
    </row>
    <row r="1721" spans="2:3" hidden="1" outlineLevel="1" collapsed="1" x14ac:dyDescent="0.25">
      <c r="C1721" s="9">
        <f>Альфа!$B$1204</f>
        <v>645267.84</v>
      </c>
    </row>
    <row r="1722" spans="2:3" hidden="1" outlineLevel="1" collapsed="1" x14ac:dyDescent="0.25">
      <c r="C1722" s="9">
        <f>Альфа!$B$1230</f>
        <v>408639.77</v>
      </c>
    </row>
    <row r="1723" spans="2:3" hidden="1" outlineLevel="1" collapsed="1" x14ac:dyDescent="0.25">
      <c r="B1723" t="s">
        <v>72</v>
      </c>
      <c r="C1723" s="9">
        <f>Бета!$B$11</f>
        <v>108895.48</v>
      </c>
    </row>
    <row r="1724" spans="2:3" hidden="1" outlineLevel="1" collapsed="1" x14ac:dyDescent="0.25">
      <c r="C1724" s="9">
        <f>Бета!$B$33</f>
        <v>125633.47</v>
      </c>
    </row>
    <row r="1725" spans="2:3" hidden="1" outlineLevel="1" collapsed="1" x14ac:dyDescent="0.25">
      <c r="C1725" s="9">
        <f>Бета!$B$55</f>
        <v>124325.12</v>
      </c>
    </row>
    <row r="1726" spans="2:3" hidden="1" outlineLevel="1" collapsed="1" x14ac:dyDescent="0.25">
      <c r="C1726" s="9">
        <f>Бета!$B$77</f>
        <v>168191.47</v>
      </c>
    </row>
    <row r="1727" spans="2:3" hidden="1" outlineLevel="1" collapsed="1" x14ac:dyDescent="0.25">
      <c r="C1727" s="9">
        <f>Бета!$B$99</f>
        <v>227637.98</v>
      </c>
    </row>
    <row r="1728" spans="2:3" hidden="1" outlineLevel="1" collapsed="1" x14ac:dyDescent="0.25">
      <c r="C1728" s="9">
        <f>Бета!$B$121</f>
        <v>293751.7</v>
      </c>
    </row>
    <row r="1729" spans="3:3" hidden="1" outlineLevel="1" collapsed="1" x14ac:dyDescent="0.25">
      <c r="C1729" s="9">
        <f>Бета!$B$143</f>
        <v>302973.90999999997</v>
      </c>
    </row>
    <row r="1730" spans="3:3" hidden="1" outlineLevel="1" collapsed="1" x14ac:dyDescent="0.25">
      <c r="C1730" s="9">
        <f>Бета!$B$165</f>
        <v>158538.35999999999</v>
      </c>
    </row>
    <row r="1731" spans="3:3" hidden="1" outlineLevel="1" collapsed="1" x14ac:dyDescent="0.25">
      <c r="C1731" s="9">
        <f>Бета!$B$187</f>
        <v>114743.65</v>
      </c>
    </row>
    <row r="1732" spans="3:3" hidden="1" outlineLevel="1" collapsed="1" x14ac:dyDescent="0.25">
      <c r="C1732" s="9">
        <f>Бета!$B$209</f>
        <v>126358.5</v>
      </c>
    </row>
    <row r="1733" spans="3:3" hidden="1" outlineLevel="1" collapsed="1" x14ac:dyDescent="0.25">
      <c r="C1733" s="9">
        <f>Бета!$B$231</f>
        <v>91016.52</v>
      </c>
    </row>
    <row r="1734" spans="3:3" hidden="1" outlineLevel="1" collapsed="1" x14ac:dyDescent="0.25">
      <c r="C1734" s="9">
        <f>Бета!$B$253</f>
        <v>162172.71</v>
      </c>
    </row>
    <row r="1735" spans="3:3" hidden="1" outlineLevel="1" collapsed="1" x14ac:dyDescent="0.25">
      <c r="C1735" s="9">
        <f>Бета!$B$274</f>
        <v>208400.07</v>
      </c>
    </row>
    <row r="1736" spans="3:3" hidden="1" outlineLevel="1" collapsed="1" x14ac:dyDescent="0.25">
      <c r="C1736" s="9">
        <f>Бета!$B$296</f>
        <v>182363.71</v>
      </c>
    </row>
    <row r="1737" spans="3:3" hidden="1" outlineLevel="1" collapsed="1" x14ac:dyDescent="0.25">
      <c r="C1737" s="9">
        <f>Бета!$B$318</f>
        <v>61377.5</v>
      </c>
    </row>
    <row r="1738" spans="3:3" hidden="1" outlineLevel="1" collapsed="1" x14ac:dyDescent="0.25">
      <c r="C1738" s="9">
        <f>Бета!$B$339</f>
        <v>95666</v>
      </c>
    </row>
    <row r="1739" spans="3:3" hidden="1" outlineLevel="1" collapsed="1" x14ac:dyDescent="0.25">
      <c r="C1739" s="9">
        <f>Бета!$B$360</f>
        <v>127147.5</v>
      </c>
    </row>
    <row r="1740" spans="3:3" hidden="1" outlineLevel="1" collapsed="1" x14ac:dyDescent="0.25">
      <c r="C1740" s="9">
        <f>Бета!$B$381</f>
        <v>155526.01</v>
      </c>
    </row>
    <row r="1741" spans="3:3" hidden="1" outlineLevel="1" collapsed="1" x14ac:dyDescent="0.25">
      <c r="C1741" s="9">
        <f>Бета!$B$402</f>
        <v>248540.43</v>
      </c>
    </row>
    <row r="1742" spans="3:3" hidden="1" outlineLevel="1" collapsed="1" x14ac:dyDescent="0.25">
      <c r="C1742" s="9">
        <f>Бета!$B$423</f>
        <v>348904.58</v>
      </c>
    </row>
    <row r="1743" spans="3:3" hidden="1" outlineLevel="1" collapsed="1" x14ac:dyDescent="0.25">
      <c r="C1743" s="9">
        <f>Бета!$B$444</f>
        <v>317558.08</v>
      </c>
    </row>
    <row r="1744" spans="3:3" hidden="1" outlineLevel="1" collapsed="1" x14ac:dyDescent="0.25">
      <c r="C1744" s="9">
        <f>Бета!$B$465</f>
        <v>231612.43</v>
      </c>
    </row>
    <row r="1745" spans="3:3" hidden="1" outlineLevel="1" collapsed="1" x14ac:dyDescent="0.25">
      <c r="C1745" s="9">
        <f>Бета!$B$486</f>
        <v>72340.009999999995</v>
      </c>
    </row>
    <row r="1746" spans="3:3" hidden="1" outlineLevel="1" collapsed="1" x14ac:dyDescent="0.25">
      <c r="C1746" s="9">
        <f>Бета!$B$507</f>
        <v>96459.51</v>
      </c>
    </row>
    <row r="1747" spans="3:3" hidden="1" outlineLevel="1" collapsed="1" x14ac:dyDescent="0.25">
      <c r="C1747" s="9">
        <f>Бета!$B$529</f>
        <v>97055.06</v>
      </c>
    </row>
    <row r="1748" spans="3:3" hidden="1" outlineLevel="1" collapsed="1" x14ac:dyDescent="0.25">
      <c r="C1748" s="9">
        <f>Бета!$B$548</f>
        <v>132274.97</v>
      </c>
    </row>
    <row r="1749" spans="3:3" hidden="1" outlineLevel="1" collapsed="1" x14ac:dyDescent="0.25">
      <c r="C1749" s="9">
        <f>Бета!$B$568</f>
        <v>241713.01</v>
      </c>
    </row>
    <row r="1750" spans="3:3" hidden="1" outlineLevel="1" collapsed="1" x14ac:dyDescent="0.25">
      <c r="C1750" s="9">
        <f>Бета!$B$588</f>
        <v>160994.49</v>
      </c>
    </row>
    <row r="1751" spans="3:3" hidden="1" outlineLevel="1" collapsed="1" x14ac:dyDescent="0.25">
      <c r="C1751" s="9">
        <f>Бета!$B$607</f>
        <v>60675.96</v>
      </c>
    </row>
    <row r="1752" spans="3:3" hidden="1" outlineLevel="1" collapsed="1" x14ac:dyDescent="0.25">
      <c r="C1752" s="9">
        <f>Бета!$B$627</f>
        <v>90960.97</v>
      </c>
    </row>
    <row r="1753" spans="3:3" hidden="1" outlineLevel="1" collapsed="1" x14ac:dyDescent="0.25">
      <c r="C1753" s="9">
        <f>Бета!$B$647</f>
        <v>70986.05</v>
      </c>
    </row>
    <row r="1754" spans="3:3" hidden="1" outlineLevel="1" collapsed="1" x14ac:dyDescent="0.25">
      <c r="C1754" s="9">
        <f>Бета!$B$667</f>
        <v>119602.5</v>
      </c>
    </row>
    <row r="1755" spans="3:3" hidden="1" outlineLevel="1" collapsed="1" x14ac:dyDescent="0.25">
      <c r="C1755" s="9">
        <f>Бета!$B$688</f>
        <v>181511.5</v>
      </c>
    </row>
    <row r="1756" spans="3:3" hidden="1" outlineLevel="1" collapsed="1" x14ac:dyDescent="0.25">
      <c r="C1756" s="9">
        <f>Бета!$B$708</f>
        <v>211193.55</v>
      </c>
    </row>
    <row r="1757" spans="3:3" hidden="1" outlineLevel="1" collapsed="1" x14ac:dyDescent="0.25">
      <c r="C1757" s="9">
        <f>Бета!$B$729</f>
        <v>213137.16</v>
      </c>
    </row>
    <row r="1758" spans="3:3" hidden="1" outlineLevel="1" collapsed="1" x14ac:dyDescent="0.25">
      <c r="C1758" s="9">
        <f>Бета!$B$749</f>
        <v>183601.5</v>
      </c>
    </row>
    <row r="1759" spans="3:3" hidden="1" outlineLevel="1" collapsed="1" x14ac:dyDescent="0.25">
      <c r="C1759" s="9">
        <f>Бета!$B$769</f>
        <v>62715.63</v>
      </c>
    </row>
    <row r="1760" spans="3:3" hidden="1" outlineLevel="1" collapsed="1" x14ac:dyDescent="0.25">
      <c r="C1760" s="9">
        <f>Бета!$B$789</f>
        <v>58477.15</v>
      </c>
    </row>
    <row r="1761" spans="2:3" hidden="1" outlineLevel="1" collapsed="1" x14ac:dyDescent="0.25">
      <c r="C1761" s="9">
        <f>Бета!$B$809</f>
        <v>25539</v>
      </c>
    </row>
    <row r="1762" spans="2:3" hidden="1" outlineLevel="1" collapsed="1" x14ac:dyDescent="0.25">
      <c r="C1762" s="9">
        <f>Бета!$B$829</f>
        <v>94735.52</v>
      </c>
    </row>
    <row r="1763" spans="2:3" hidden="1" outlineLevel="1" collapsed="1" x14ac:dyDescent="0.25">
      <c r="C1763" s="9">
        <f>Бета!$B$849</f>
        <v>72348.03</v>
      </c>
    </row>
    <row r="1764" spans="2:3" hidden="1" outlineLevel="1" collapsed="1" x14ac:dyDescent="0.25">
      <c r="C1764" s="9">
        <f>Бета!$B$869</f>
        <v>63222.01</v>
      </c>
    </row>
    <row r="1765" spans="2:3" hidden="1" outlineLevel="1" collapsed="1" x14ac:dyDescent="0.25">
      <c r="C1765" s="9">
        <f>Бета!$B$889</f>
        <v>46440</v>
      </c>
    </row>
    <row r="1766" spans="2:3" hidden="1" outlineLevel="1" collapsed="1" x14ac:dyDescent="0.25">
      <c r="C1766" s="9">
        <f>Бета!$B$909</f>
        <v>21303</v>
      </c>
    </row>
    <row r="1767" spans="2:3" hidden="1" outlineLevel="1" collapsed="1" x14ac:dyDescent="0.25">
      <c r="C1767" s="9">
        <f>Бета!$B$928</f>
        <v>42815</v>
      </c>
    </row>
    <row r="1768" spans="2:3" hidden="1" outlineLevel="1" collapsed="1" x14ac:dyDescent="0.25">
      <c r="C1768" s="9">
        <f>Бета!$B$948</f>
        <v>37327.03</v>
      </c>
    </row>
    <row r="1769" spans="2:3" hidden="1" outlineLevel="1" collapsed="1" x14ac:dyDescent="0.25">
      <c r="C1769" s="9">
        <f>Бета!$B$968</f>
        <v>74628.02</v>
      </c>
    </row>
    <row r="1770" spans="2:3" hidden="1" outlineLevel="1" collapsed="1" x14ac:dyDescent="0.25">
      <c r="C1770" s="9">
        <f>Бета!$B$988</f>
        <v>132417.94</v>
      </c>
    </row>
    <row r="1771" spans="2:3" hidden="1" outlineLevel="1" collapsed="1" x14ac:dyDescent="0.25">
      <c r="C1771" s="9">
        <f>Бета!$B$1008</f>
        <v>90085.97</v>
      </c>
    </row>
    <row r="1772" spans="2:3" hidden="1" outlineLevel="1" collapsed="1" x14ac:dyDescent="0.25">
      <c r="B1772" t="s">
        <v>72</v>
      </c>
      <c r="C1772" s="9">
        <f>Гамма!$B$11</f>
        <v>418815.5</v>
      </c>
    </row>
    <row r="1773" spans="2:3" hidden="1" outlineLevel="1" collapsed="1" x14ac:dyDescent="0.25">
      <c r="C1773" s="9">
        <f>Гамма!$B$37</f>
        <v>257556.5</v>
      </c>
    </row>
    <row r="1774" spans="2:3" hidden="1" outlineLevel="1" collapsed="1" x14ac:dyDescent="0.25">
      <c r="C1774" s="9">
        <f>Гамма!$B$64</f>
        <v>328219</v>
      </c>
    </row>
    <row r="1775" spans="2:3" hidden="1" outlineLevel="1" collapsed="1" x14ac:dyDescent="0.25">
      <c r="C1775" s="9">
        <f>Гамма!$B$91</f>
        <v>332180.5</v>
      </c>
    </row>
    <row r="1776" spans="2:3" hidden="1" outlineLevel="1" collapsed="1" x14ac:dyDescent="0.25">
      <c r="C1776" s="9">
        <f>Гамма!$B$117</f>
        <v>621335.36</v>
      </c>
    </row>
    <row r="1777" spans="3:3" hidden="1" outlineLevel="1" collapsed="1" x14ac:dyDescent="0.25">
      <c r="C1777" s="9">
        <f>Гамма!$B$143</f>
        <v>602387.64</v>
      </c>
    </row>
    <row r="1778" spans="3:3" hidden="1" outlineLevel="1" collapsed="1" x14ac:dyDescent="0.25">
      <c r="C1778" s="9">
        <f>Гамма!$B$169</f>
        <v>404340.5</v>
      </c>
    </row>
    <row r="1779" spans="3:3" hidden="1" outlineLevel="1" collapsed="1" x14ac:dyDescent="0.25">
      <c r="C1779" s="9">
        <f>Гамма!$B$196</f>
        <v>386576.5</v>
      </c>
    </row>
    <row r="1780" spans="3:3" hidden="1" outlineLevel="1" collapsed="1" x14ac:dyDescent="0.25">
      <c r="C1780" s="9">
        <f>Гамма!$B$223</f>
        <v>435012.49</v>
      </c>
    </row>
    <row r="1781" spans="3:3" hidden="1" outlineLevel="1" collapsed="1" x14ac:dyDescent="0.25">
      <c r="C1781" s="9">
        <f>Гамма!$B$249</f>
        <v>242355.45</v>
      </c>
    </row>
    <row r="1782" spans="3:3" hidden="1" outlineLevel="1" collapsed="1" x14ac:dyDescent="0.25">
      <c r="C1782" s="9">
        <f>Гамма!$B$275</f>
        <v>361977.32</v>
      </c>
    </row>
    <row r="1783" spans="3:3" hidden="1" outlineLevel="1" collapsed="1" x14ac:dyDescent="0.25">
      <c r="C1783" s="9">
        <f>Гамма!$B$301</f>
        <v>515369.44</v>
      </c>
    </row>
    <row r="1784" spans="3:3" hidden="1" outlineLevel="1" collapsed="1" x14ac:dyDescent="0.25">
      <c r="C1784" s="9">
        <f>Гамма!$B$327</f>
        <v>558773.92000000004</v>
      </c>
    </row>
    <row r="1785" spans="3:3" hidden="1" outlineLevel="1" collapsed="1" x14ac:dyDescent="0.25">
      <c r="C1785" s="9">
        <f>Гамма!$B$353</f>
        <v>352615.96</v>
      </c>
    </row>
    <row r="1786" spans="3:3" hidden="1" outlineLevel="1" collapsed="1" x14ac:dyDescent="0.25">
      <c r="C1786" s="9">
        <f>Гамма!$B$378</f>
        <v>220186.96</v>
      </c>
    </row>
    <row r="1787" spans="3:3" hidden="1" outlineLevel="1" collapsed="1" x14ac:dyDescent="0.25">
      <c r="C1787" s="9">
        <f>Гамма!$B$404</f>
        <v>431696.85</v>
      </c>
    </row>
    <row r="1788" spans="3:3" hidden="1" outlineLevel="1" collapsed="1" x14ac:dyDescent="0.25">
      <c r="C1788" s="9">
        <f>Гамма!$B$431</f>
        <v>421951.1</v>
      </c>
    </row>
    <row r="1789" spans="3:3" hidden="1" outlineLevel="1" collapsed="1" x14ac:dyDescent="0.25">
      <c r="C1789" s="9">
        <f>Гамма!$B$458</f>
        <v>650929.27</v>
      </c>
    </row>
    <row r="1790" spans="3:3" hidden="1" outlineLevel="1" collapsed="1" x14ac:dyDescent="0.25">
      <c r="C1790" s="9">
        <f>Гамма!$B$484</f>
        <v>815363.41</v>
      </c>
    </row>
    <row r="1791" spans="3:3" hidden="1" outlineLevel="1" collapsed="1" x14ac:dyDescent="0.25">
      <c r="C1791" s="9">
        <f>Гамма!$B$510</f>
        <v>887091.47</v>
      </c>
    </row>
    <row r="1792" spans="3:3" hidden="1" outlineLevel="1" collapsed="1" x14ac:dyDescent="0.25">
      <c r="C1792" s="9">
        <f>Гамма!$B$536</f>
        <v>541053.5</v>
      </c>
    </row>
    <row r="1793" spans="3:3" hidden="1" outlineLevel="1" collapsed="1" x14ac:dyDescent="0.25">
      <c r="C1793" s="9">
        <f>Гамма!$B$562</f>
        <v>482821.5</v>
      </c>
    </row>
    <row r="1794" spans="3:3" hidden="1" outlineLevel="1" collapsed="1" x14ac:dyDescent="0.25">
      <c r="C1794" s="9">
        <f>Гамма!$B$587</f>
        <v>164222</v>
      </c>
    </row>
    <row r="1795" spans="3:3" hidden="1" outlineLevel="1" collapsed="1" x14ac:dyDescent="0.25">
      <c r="C1795" s="9">
        <f>Гамма!$B$613</f>
        <v>185926</v>
      </c>
    </row>
    <row r="1796" spans="3:3" hidden="1" outlineLevel="1" collapsed="1" x14ac:dyDescent="0.25">
      <c r="C1796" s="9">
        <f>Гамма!$B$639</f>
        <v>245236</v>
      </c>
    </row>
    <row r="1797" spans="3:3" hidden="1" outlineLevel="1" collapsed="1" x14ac:dyDescent="0.25">
      <c r="C1797" s="9">
        <f>Гамма!$B$665</f>
        <v>325088</v>
      </c>
    </row>
    <row r="1798" spans="3:3" hidden="1" outlineLevel="1" collapsed="1" x14ac:dyDescent="0.25">
      <c r="C1798" s="9">
        <f>Гамма!$B$691</f>
        <v>606630.48</v>
      </c>
    </row>
    <row r="1799" spans="3:3" hidden="1" outlineLevel="1" collapsed="1" x14ac:dyDescent="0.25">
      <c r="C1799" s="9">
        <f>Гамма!$B$717</f>
        <v>285736.99</v>
      </c>
    </row>
    <row r="1800" spans="3:3" hidden="1" outlineLevel="1" collapsed="1" x14ac:dyDescent="0.25">
      <c r="C1800" s="9">
        <f>Гамма!$B$741</f>
        <v>204402.99</v>
      </c>
    </row>
    <row r="1801" spans="3:3" hidden="1" outlineLevel="1" collapsed="1" x14ac:dyDescent="0.25">
      <c r="C1801" s="9">
        <f>Гамма!$B$767</f>
        <v>205967.48</v>
      </c>
    </row>
    <row r="1802" spans="3:3" hidden="1" outlineLevel="1" collapsed="1" x14ac:dyDescent="0.25">
      <c r="C1802" s="9">
        <f>Гамма!$B$791</f>
        <v>338873.48</v>
      </c>
    </row>
    <row r="1803" spans="3:3" hidden="1" outlineLevel="1" collapsed="1" x14ac:dyDescent="0.25">
      <c r="C1803" s="9">
        <f>Гамма!$B$817</f>
        <v>236735</v>
      </c>
    </row>
    <row r="1804" spans="3:3" hidden="1" outlineLevel="1" collapsed="1" x14ac:dyDescent="0.25">
      <c r="C1804" s="9">
        <f>Гамма!$B$843</f>
        <v>440742.99</v>
      </c>
    </row>
    <row r="1805" spans="3:3" hidden="1" outlineLevel="1" collapsed="1" x14ac:dyDescent="0.25">
      <c r="C1805" s="9">
        <f>Гамма!$B$869</f>
        <v>692174.98</v>
      </c>
    </row>
    <row r="1806" spans="3:3" hidden="1" outlineLevel="1" collapsed="1" x14ac:dyDescent="0.25">
      <c r="C1806" s="9">
        <f>Гамма!$B$895</f>
        <v>395763.93</v>
      </c>
    </row>
    <row r="1807" spans="3:3" hidden="1" outlineLevel="1" collapsed="1" x14ac:dyDescent="0.25">
      <c r="C1807" s="9">
        <f>Гамма!$B$921</f>
        <v>341712.67</v>
      </c>
    </row>
    <row r="1808" spans="3:3" hidden="1" outlineLevel="1" collapsed="1" x14ac:dyDescent="0.25">
      <c r="C1808" s="9">
        <f>Гамма!$B$946</f>
        <v>194590.44</v>
      </c>
    </row>
    <row r="1809" spans="2:3" hidden="1" outlineLevel="1" collapsed="1" x14ac:dyDescent="0.25">
      <c r="C1809" s="9">
        <f>Гамма!$B$972</f>
        <v>99784.98</v>
      </c>
    </row>
    <row r="1810" spans="2:3" hidden="1" outlineLevel="1" collapsed="1" x14ac:dyDescent="0.25">
      <c r="C1810" s="9">
        <f>Гамма!$B$998</f>
        <v>124503.99</v>
      </c>
    </row>
    <row r="1811" spans="2:3" hidden="1" outlineLevel="1" collapsed="1" x14ac:dyDescent="0.25">
      <c r="C1811" s="9">
        <f>Гамма!$B$1023</f>
        <v>250530.14</v>
      </c>
    </row>
    <row r="1812" spans="2:3" hidden="1" outlineLevel="1" collapsed="1" x14ac:dyDescent="0.25">
      <c r="C1812" s="9">
        <f>Гамма!$B$1047</f>
        <v>292527.27</v>
      </c>
    </row>
    <row r="1813" spans="2:3" hidden="1" outlineLevel="1" collapsed="1" x14ac:dyDescent="0.25">
      <c r="C1813" s="9">
        <f>Гамма!$B$1072</f>
        <v>152786.32</v>
      </c>
    </row>
    <row r="1814" spans="2:3" hidden="1" outlineLevel="1" collapsed="1" x14ac:dyDescent="0.25">
      <c r="C1814" s="9">
        <f>Гамма!$B$1098</f>
        <v>138232.5</v>
      </c>
    </row>
    <row r="1815" spans="2:3" hidden="1" outlineLevel="1" collapsed="1" x14ac:dyDescent="0.25">
      <c r="C1815" s="9">
        <f>Гамма!$B$1122</f>
        <v>126883</v>
      </c>
    </row>
    <row r="1816" spans="2:3" hidden="1" outlineLevel="1" collapsed="1" x14ac:dyDescent="0.25">
      <c r="C1816" s="9">
        <f>Гамма!$B$1146</f>
        <v>178432.62</v>
      </c>
    </row>
    <row r="1817" spans="2:3" hidden="1" outlineLevel="1" collapsed="1" x14ac:dyDescent="0.25">
      <c r="C1817" s="9">
        <f>Гамма!$B$1172</f>
        <v>245184.68</v>
      </c>
    </row>
    <row r="1818" spans="2:3" hidden="1" outlineLevel="1" collapsed="1" x14ac:dyDescent="0.25">
      <c r="C1818" s="9">
        <f>Гамма!$B$1196</f>
        <v>370150.92</v>
      </c>
    </row>
    <row r="1819" spans="2:3" hidden="1" outlineLevel="1" collapsed="1" x14ac:dyDescent="0.25">
      <c r="C1819" s="9">
        <f>Гамма!$B$1221</f>
        <v>445247.67</v>
      </c>
    </row>
    <row r="1820" spans="2:3" hidden="1" outlineLevel="1" collapsed="1" x14ac:dyDescent="0.25">
      <c r="C1820" s="9">
        <f>Гамма!$B$1246</f>
        <v>173929.28</v>
      </c>
    </row>
    <row r="1821" spans="2:3" hidden="1" outlineLevel="1" collapsed="1" x14ac:dyDescent="0.25">
      <c r="B1821" t="s">
        <v>72</v>
      </c>
      <c r="C1821" s="9">
        <f>Дельта!$B$11</f>
        <v>334985.94</v>
      </c>
    </row>
    <row r="1822" spans="2:3" hidden="1" outlineLevel="1" collapsed="1" x14ac:dyDescent="0.25">
      <c r="C1822" s="9">
        <f>Дельта!$B$37</f>
        <v>382123.89299999998</v>
      </c>
    </row>
    <row r="1823" spans="2:3" hidden="1" outlineLevel="1" collapsed="1" x14ac:dyDescent="0.25">
      <c r="C1823" s="9">
        <f>Дельта!$B$63</f>
        <v>502311.43</v>
      </c>
    </row>
    <row r="1824" spans="2:3" hidden="1" outlineLevel="1" collapsed="1" x14ac:dyDescent="0.25">
      <c r="C1824" s="9">
        <f>Дельта!$B$89</f>
        <v>494572</v>
      </c>
    </row>
    <row r="1825" spans="3:3" hidden="1" outlineLevel="1" collapsed="1" x14ac:dyDescent="0.25">
      <c r="C1825" s="9">
        <f>Дельта!$B$115</f>
        <v>1687185</v>
      </c>
    </row>
    <row r="1826" spans="3:3" hidden="1" outlineLevel="1" collapsed="1" x14ac:dyDescent="0.25">
      <c r="C1826" s="9">
        <f>Дельта!$B$141</f>
        <v>536933</v>
      </c>
    </row>
    <row r="1827" spans="3:3" hidden="1" outlineLevel="1" collapsed="1" x14ac:dyDescent="0.25">
      <c r="C1827" s="9">
        <f>Дельта!$B$166</f>
        <v>400775.24</v>
      </c>
    </row>
    <row r="1828" spans="3:3" hidden="1" outlineLevel="1" collapsed="1" x14ac:dyDescent="0.25">
      <c r="C1828" s="9">
        <f>Дельта!$B$192</f>
        <v>368422</v>
      </c>
    </row>
    <row r="1829" spans="3:3" hidden="1" outlineLevel="1" collapsed="1" x14ac:dyDescent="0.25">
      <c r="C1829" s="9">
        <f>Дельта!$B$218</f>
        <v>333195.45</v>
      </c>
    </row>
    <row r="1830" spans="3:3" hidden="1" outlineLevel="1" collapsed="1" x14ac:dyDescent="0.25">
      <c r="C1830" s="9">
        <f>Дельта!$B$243</f>
        <v>265706</v>
      </c>
    </row>
    <row r="1831" spans="3:3" hidden="1" outlineLevel="1" collapsed="1" x14ac:dyDescent="0.25">
      <c r="C1831" s="9">
        <f>Дельта!$B$269</f>
        <v>292542</v>
      </c>
    </row>
    <row r="1832" spans="3:3" hidden="1" outlineLevel="1" collapsed="1" x14ac:dyDescent="0.25">
      <c r="C1832" s="9">
        <f>Дельта!$B$295</f>
        <v>517063</v>
      </c>
    </row>
    <row r="1833" spans="3:3" hidden="1" outlineLevel="1" collapsed="1" x14ac:dyDescent="0.25">
      <c r="C1833" s="9">
        <f>Дельта!$B$321</f>
        <v>578937</v>
      </c>
    </row>
    <row r="1834" spans="3:3" hidden="1" outlineLevel="1" collapsed="1" x14ac:dyDescent="0.25">
      <c r="C1834" s="9">
        <f>Дельта!$B$347</f>
        <v>387452</v>
      </c>
    </row>
    <row r="1835" spans="3:3" hidden="1" outlineLevel="1" collapsed="1" x14ac:dyDescent="0.25">
      <c r="C1835" s="9">
        <f>Дельта!$B$373</f>
        <v>279283</v>
      </c>
    </row>
    <row r="1836" spans="3:3" hidden="1" outlineLevel="1" collapsed="1" x14ac:dyDescent="0.25">
      <c r="C1836" s="9">
        <f>Дельта!$B$399</f>
        <v>352523</v>
      </c>
    </row>
    <row r="1837" spans="3:3" hidden="1" outlineLevel="1" collapsed="1" x14ac:dyDescent="0.25">
      <c r="C1837" s="9">
        <f>Дельта!$B$425</f>
        <v>355079</v>
      </c>
    </row>
    <row r="1838" spans="3:3" hidden="1" outlineLevel="1" collapsed="1" x14ac:dyDescent="0.25">
      <c r="C1838" s="9">
        <f>Дельта!$B$451</f>
        <v>447707</v>
      </c>
    </row>
    <row r="1839" spans="3:3" hidden="1" outlineLevel="1" collapsed="1" x14ac:dyDescent="0.25">
      <c r="C1839" s="9">
        <f>Дельта!$B$477</f>
        <v>835840</v>
      </c>
    </row>
    <row r="1840" spans="3:3" hidden="1" outlineLevel="1" collapsed="1" x14ac:dyDescent="0.25">
      <c r="C1840" s="9">
        <f>Дельта!$B$503</f>
        <v>732691</v>
      </c>
    </row>
    <row r="1841" spans="3:3" hidden="1" outlineLevel="1" collapsed="1" x14ac:dyDescent="0.25">
      <c r="C1841" s="9">
        <f>Дельта!$B$529</f>
        <v>608129</v>
      </c>
    </row>
    <row r="1842" spans="3:3" hidden="1" outlineLevel="1" collapsed="1" x14ac:dyDescent="0.25">
      <c r="C1842" s="9">
        <f>Дельта!$B$555</f>
        <v>437523</v>
      </c>
    </row>
    <row r="1843" spans="3:3" hidden="1" outlineLevel="1" collapsed="1" x14ac:dyDescent="0.25">
      <c r="C1843" s="9">
        <f>Дельта!$B$581</f>
        <v>146592</v>
      </c>
    </row>
    <row r="1844" spans="3:3" hidden="1" outlineLevel="1" collapsed="1" x14ac:dyDescent="0.25">
      <c r="C1844" s="9">
        <f>Дельта!$B$607</f>
        <v>275177</v>
      </c>
    </row>
    <row r="1845" spans="3:3" hidden="1" outlineLevel="1" collapsed="1" x14ac:dyDescent="0.25">
      <c r="C1845" s="9">
        <f>Дельта!$B$632</f>
        <v>223206</v>
      </c>
    </row>
    <row r="1846" spans="3:3" hidden="1" outlineLevel="1" collapsed="1" x14ac:dyDescent="0.25">
      <c r="C1846" s="9">
        <f>Дельта!$B$658</f>
        <v>318119</v>
      </c>
    </row>
    <row r="1847" spans="3:3" hidden="1" outlineLevel="1" collapsed="1" x14ac:dyDescent="0.25">
      <c r="C1847" s="9">
        <f>Дельта!$B$685</f>
        <v>367323</v>
      </c>
    </row>
    <row r="1848" spans="3:3" hidden="1" outlineLevel="1" collapsed="1" x14ac:dyDescent="0.25">
      <c r="C1848" s="9">
        <f>Дельта!$B$711</f>
        <v>381883</v>
      </c>
    </row>
    <row r="1849" spans="3:3" hidden="1" outlineLevel="1" collapsed="1" x14ac:dyDescent="0.25">
      <c r="C1849" s="9">
        <f>Дельта!$B$736</f>
        <v>261795</v>
      </c>
    </row>
    <row r="1850" spans="3:3" hidden="1" outlineLevel="1" collapsed="1" x14ac:dyDescent="0.25">
      <c r="C1850" s="9">
        <f>Дельта!$B$762</f>
        <v>206294.96</v>
      </c>
    </row>
    <row r="1851" spans="3:3" hidden="1" outlineLevel="1" collapsed="1" x14ac:dyDescent="0.25">
      <c r="C1851" s="9">
        <f>Дельта!$B$787</f>
        <v>217560</v>
      </c>
    </row>
    <row r="1852" spans="3:3" hidden="1" outlineLevel="1" collapsed="1" x14ac:dyDescent="0.25">
      <c r="C1852" s="9">
        <f>Дельта!$B$813</f>
        <v>220122</v>
      </c>
    </row>
    <row r="1853" spans="3:3" hidden="1" outlineLevel="1" collapsed="1" x14ac:dyDescent="0.25">
      <c r="C1853" s="9">
        <f>Дельта!$B$839</f>
        <v>435845</v>
      </c>
    </row>
    <row r="1854" spans="3:3" hidden="1" outlineLevel="1" collapsed="1" x14ac:dyDescent="0.25">
      <c r="C1854" s="9">
        <f>Дельта!$B$865</f>
        <v>543762</v>
      </c>
    </row>
    <row r="1855" spans="3:3" hidden="1" outlineLevel="1" collapsed="1" x14ac:dyDescent="0.25">
      <c r="C1855" s="9">
        <f>Дельта!$B$891</f>
        <v>417718</v>
      </c>
    </row>
    <row r="1856" spans="3:3" hidden="1" outlineLevel="1" collapsed="1" x14ac:dyDescent="0.25">
      <c r="C1856" s="9">
        <f>Дельта!$B$917</f>
        <v>389685</v>
      </c>
    </row>
    <row r="1857" spans="1:3" hidden="1" outlineLevel="1" collapsed="1" x14ac:dyDescent="0.25">
      <c r="C1857" s="9">
        <f>Дельта!$B$942</f>
        <v>217973.88</v>
      </c>
    </row>
    <row r="1858" spans="1:3" hidden="1" outlineLevel="1" collapsed="1" x14ac:dyDescent="0.25">
      <c r="C1858" s="9">
        <f>Дельта!$B$968</f>
        <v>116690.43</v>
      </c>
    </row>
    <row r="1859" spans="1:3" hidden="1" outlineLevel="1" collapsed="1" x14ac:dyDescent="0.25">
      <c r="C1859" s="9">
        <f>Дельта!$B$993</f>
        <v>132996</v>
      </c>
    </row>
    <row r="1860" spans="1:3" hidden="1" outlineLevel="1" collapsed="1" x14ac:dyDescent="0.25">
      <c r="C1860" s="9">
        <f>Дельта!$B$1019</f>
        <v>200759</v>
      </c>
    </row>
    <row r="1861" spans="1:3" hidden="1" outlineLevel="1" collapsed="1" x14ac:dyDescent="0.25">
      <c r="C1861" s="9">
        <f>Дельта!$B$1044</f>
        <v>202469.5</v>
      </c>
    </row>
    <row r="1862" spans="1:3" hidden="1" outlineLevel="1" collapsed="1" x14ac:dyDescent="0.25">
      <c r="C1862" s="9">
        <f>Дельта!$B$1070</f>
        <v>173260.48</v>
      </c>
    </row>
    <row r="1863" spans="1:3" hidden="1" outlineLevel="1" collapsed="1" x14ac:dyDescent="0.25">
      <c r="C1863" s="9">
        <f>Дельта!$B$1094</f>
        <v>177769</v>
      </c>
    </row>
    <row r="1864" spans="1:3" hidden="1" outlineLevel="1" collapsed="1" x14ac:dyDescent="0.25">
      <c r="C1864" s="9">
        <f>Дельта!$B$1119</f>
        <v>80880</v>
      </c>
    </row>
    <row r="1865" spans="1:3" hidden="1" outlineLevel="1" collapsed="1" x14ac:dyDescent="0.25">
      <c r="C1865" s="9">
        <f>Дельта!$B$1144</f>
        <v>83843</v>
      </c>
    </row>
    <row r="1866" spans="1:3" hidden="1" outlineLevel="1" collapsed="1" x14ac:dyDescent="0.25">
      <c r="C1866" s="9">
        <f>Дельта!$B$1168</f>
        <v>116037.5</v>
      </c>
    </row>
    <row r="1867" spans="1:3" hidden="1" outlineLevel="1" collapsed="1" x14ac:dyDescent="0.25">
      <c r="C1867" s="9">
        <f>Дельта!$B$1191</f>
        <v>250907.97</v>
      </c>
    </row>
    <row r="1868" spans="1:3" hidden="1" outlineLevel="1" collapsed="1" x14ac:dyDescent="0.25">
      <c r="C1868" s="9">
        <f>Дельта!$B$1217</f>
        <v>286064</v>
      </c>
    </row>
    <row r="1869" spans="1:3" hidden="1" outlineLevel="1" collapsed="1" x14ac:dyDescent="0.25">
      <c r="C1869" s="9">
        <f>Дельта!$B$1241</f>
        <v>189148</v>
      </c>
    </row>
    <row r="1870" spans="1:3" collapsed="1" x14ac:dyDescent="0.25">
      <c r="A1870" t="s">
        <v>11</v>
      </c>
      <c r="C1870" s="9">
        <f>SUM(C1674:C1869)</f>
        <v>71919466.112999991</v>
      </c>
    </row>
    <row r="1871" spans="1:3" hidden="1" outlineLevel="1" x14ac:dyDescent="0.25">
      <c r="B1871" t="s">
        <v>72</v>
      </c>
      <c r="C1871" s="9">
        <f>Альфа!$B$12</f>
        <v>198209.29</v>
      </c>
    </row>
    <row r="1872" spans="1:3" hidden="1" outlineLevel="1" collapsed="1" x14ac:dyDescent="0.25">
      <c r="C1872" s="9">
        <f>Альфа!$B$38</f>
        <v>216600.14</v>
      </c>
    </row>
    <row r="1873" spans="3:3" hidden="1" outlineLevel="1" collapsed="1" x14ac:dyDescent="0.25">
      <c r="C1873" s="9">
        <f>Альфа!$B$64</f>
        <v>195960.3</v>
      </c>
    </row>
    <row r="1874" spans="3:3" hidden="1" outlineLevel="1" collapsed="1" x14ac:dyDescent="0.25">
      <c r="C1874" s="9">
        <f>Альфа!$B$90</f>
        <v>245222.89</v>
      </c>
    </row>
    <row r="1875" spans="3:3" hidden="1" outlineLevel="1" collapsed="1" x14ac:dyDescent="0.25">
      <c r="C1875" s="9">
        <f>Альфа!$B$116</f>
        <v>238323.69</v>
      </c>
    </row>
    <row r="1876" spans="3:3" hidden="1" outlineLevel="1" collapsed="1" x14ac:dyDescent="0.25">
      <c r="C1876" s="9">
        <f>Альфа!$B$143</f>
        <v>290216.53999999998</v>
      </c>
    </row>
    <row r="1877" spans="3:3" hidden="1" outlineLevel="1" collapsed="1" x14ac:dyDescent="0.25">
      <c r="C1877" s="9">
        <f>Альфа!$B$169</f>
        <v>232243.01</v>
      </c>
    </row>
    <row r="1878" spans="3:3" hidden="1" outlineLevel="1" collapsed="1" x14ac:dyDescent="0.25">
      <c r="C1878" s="9">
        <f>Альфа!$B$195</f>
        <v>194078.29</v>
      </c>
    </row>
    <row r="1879" spans="3:3" hidden="1" outlineLevel="1" collapsed="1" x14ac:dyDescent="0.25">
      <c r="C1879" s="9">
        <f>Альфа!$B$221</f>
        <v>209240.9</v>
      </c>
    </row>
    <row r="1880" spans="3:3" hidden="1" outlineLevel="1" collapsed="1" x14ac:dyDescent="0.25">
      <c r="C1880" s="9">
        <f>Альфа!$B$248</f>
        <v>180457.89</v>
      </c>
    </row>
    <row r="1881" spans="3:3" hidden="1" outlineLevel="1" collapsed="1" x14ac:dyDescent="0.25">
      <c r="C1881" s="9">
        <f>Альфа!$B$274</f>
        <v>185506.28</v>
      </c>
    </row>
    <row r="1882" spans="3:3" hidden="1" outlineLevel="1" collapsed="1" x14ac:dyDescent="0.25">
      <c r="C1882" s="9">
        <f>Альфа!$B$300</f>
        <v>356954</v>
      </c>
    </row>
    <row r="1883" spans="3:3" hidden="1" outlineLevel="1" collapsed="1" x14ac:dyDescent="0.25">
      <c r="C1883" s="9">
        <f>Альфа!$B$326</f>
        <v>330115.84000000003</v>
      </c>
    </row>
    <row r="1884" spans="3:3" hidden="1" outlineLevel="1" collapsed="1" x14ac:dyDescent="0.25">
      <c r="C1884" s="9">
        <f>Альфа!$B$352</f>
        <v>226196.59</v>
      </c>
    </row>
    <row r="1885" spans="3:3" hidden="1" outlineLevel="1" collapsed="1" x14ac:dyDescent="0.25">
      <c r="C1885" s="9">
        <f>Альфа!$B$379</f>
        <v>198548.5</v>
      </c>
    </row>
    <row r="1886" spans="3:3" hidden="1" outlineLevel="1" collapsed="1" x14ac:dyDescent="0.25">
      <c r="C1886" s="9">
        <f>Альфа!$B$405</f>
        <v>195618.3</v>
      </c>
    </row>
    <row r="1887" spans="3:3" hidden="1" outlineLevel="1" collapsed="1" x14ac:dyDescent="0.25">
      <c r="C1887" s="9">
        <f>Альфа!$B$431</f>
        <v>272978.40000000002</v>
      </c>
    </row>
    <row r="1888" spans="3:3" hidden="1" outlineLevel="1" collapsed="1" x14ac:dyDescent="0.25">
      <c r="C1888" s="9">
        <f>Альфа!$B$456</f>
        <v>258119</v>
      </c>
    </row>
    <row r="1889" spans="3:3" hidden="1" outlineLevel="1" collapsed="1" x14ac:dyDescent="0.25">
      <c r="C1889" s="9">
        <f>Альфа!$B$482</f>
        <v>362933.6</v>
      </c>
    </row>
    <row r="1890" spans="3:3" hidden="1" outlineLevel="1" collapsed="1" x14ac:dyDescent="0.25">
      <c r="C1890" s="9">
        <f>Альфа!$B$507</f>
        <v>453565.72</v>
      </c>
    </row>
    <row r="1891" spans="3:3" hidden="1" outlineLevel="1" collapsed="1" x14ac:dyDescent="0.25">
      <c r="C1891" s="9">
        <f>Альфа!$B$532</f>
        <v>395637.34</v>
      </c>
    </row>
    <row r="1892" spans="3:3" hidden="1" outlineLevel="1" collapsed="1" x14ac:dyDescent="0.25">
      <c r="C1892" s="9">
        <f>Альфа!$B$557</f>
        <v>321835.76</v>
      </c>
    </row>
    <row r="1893" spans="3:3" hidden="1" outlineLevel="1" collapsed="1" x14ac:dyDescent="0.25">
      <c r="C1893" s="9">
        <f>Альфа!$B$582</f>
        <v>165012.18</v>
      </c>
    </row>
    <row r="1894" spans="3:3" hidden="1" outlineLevel="1" collapsed="1" x14ac:dyDescent="0.25">
      <c r="C1894" s="9">
        <f>Альфа!$B$606</f>
        <v>150426</v>
      </c>
    </row>
    <row r="1895" spans="3:3" hidden="1" outlineLevel="1" collapsed="1" x14ac:dyDescent="0.25">
      <c r="C1895" s="9">
        <f>Альфа!$B$631</f>
        <v>212313.27</v>
      </c>
    </row>
    <row r="1896" spans="3:3" hidden="1" outlineLevel="1" collapsed="1" x14ac:dyDescent="0.25">
      <c r="C1896" s="9">
        <f>Альфа!$B$656</f>
        <v>225952.4</v>
      </c>
    </row>
    <row r="1897" spans="3:3" hidden="1" outlineLevel="1" collapsed="1" x14ac:dyDescent="0.25">
      <c r="C1897" s="9">
        <f>Альфа!$B$681</f>
        <v>310129.19</v>
      </c>
    </row>
    <row r="1898" spans="3:3" hidden="1" outlineLevel="1" collapsed="1" x14ac:dyDescent="0.25">
      <c r="C1898" s="9">
        <f>Альфа!$B$706</f>
        <v>215121.2</v>
      </c>
    </row>
    <row r="1899" spans="3:3" hidden="1" outlineLevel="1" collapsed="1" x14ac:dyDescent="0.25">
      <c r="C1899" s="9">
        <f>Альфа!$B$731</f>
        <v>198058</v>
      </c>
    </row>
    <row r="1900" spans="3:3" hidden="1" outlineLevel="1" collapsed="1" x14ac:dyDescent="0.25">
      <c r="C1900" s="9">
        <f>Альфа!$B$756</f>
        <v>181940.6</v>
      </c>
    </row>
    <row r="1901" spans="3:3" hidden="1" outlineLevel="1" collapsed="1" x14ac:dyDescent="0.25">
      <c r="C1901" s="9">
        <f>Альфа!$B$781</f>
        <v>284257.8</v>
      </c>
    </row>
    <row r="1902" spans="3:3" hidden="1" outlineLevel="1" collapsed="1" x14ac:dyDescent="0.25">
      <c r="C1902" s="9">
        <f>Альфа!$B$804</f>
        <v>302111.90000000002</v>
      </c>
    </row>
    <row r="1903" spans="3:3" hidden="1" outlineLevel="1" collapsed="1" x14ac:dyDescent="0.25">
      <c r="C1903" s="9">
        <f>Альфа!$B$828</f>
        <v>362080.56</v>
      </c>
    </row>
    <row r="1904" spans="3:3" hidden="1" outlineLevel="1" collapsed="1" x14ac:dyDescent="0.25">
      <c r="C1904" s="9">
        <f>Альфа!$B$853</f>
        <v>390414.15</v>
      </c>
    </row>
    <row r="1905" spans="2:3" hidden="1" outlineLevel="1" collapsed="1" x14ac:dyDescent="0.25">
      <c r="C1905" s="9">
        <f>Альфа!$B$878</f>
        <v>416812.29</v>
      </c>
    </row>
    <row r="1906" spans="2:3" hidden="1" outlineLevel="1" collapsed="1" x14ac:dyDescent="0.25">
      <c r="C1906" s="9">
        <f>Альфа!$B$903</f>
        <v>306619.84000000003</v>
      </c>
    </row>
    <row r="1907" spans="2:3" hidden="1" outlineLevel="1" collapsed="1" x14ac:dyDescent="0.25">
      <c r="C1907" s="9">
        <f>Альфа!$B$928</f>
        <v>144853.62</v>
      </c>
    </row>
    <row r="1908" spans="2:3" hidden="1" outlineLevel="1" collapsed="1" x14ac:dyDescent="0.25">
      <c r="C1908" s="9">
        <f>Альфа!$B$953</f>
        <v>175078.74</v>
      </c>
    </row>
    <row r="1909" spans="2:3" hidden="1" outlineLevel="1" collapsed="1" x14ac:dyDescent="0.25">
      <c r="C1909" s="9">
        <f>Альфа!$B$977</f>
        <v>178878.84</v>
      </c>
    </row>
    <row r="1910" spans="2:3" hidden="1" outlineLevel="1" collapsed="1" x14ac:dyDescent="0.25">
      <c r="C1910" s="9">
        <f>Альфа!$B$1003</f>
        <v>219441.44</v>
      </c>
    </row>
    <row r="1911" spans="2:3" hidden="1" outlineLevel="1" collapsed="1" x14ac:dyDescent="0.25">
      <c r="C1911" s="9">
        <f>Альфа!$B$1028</f>
        <v>230238.1</v>
      </c>
    </row>
    <row r="1912" spans="2:3" hidden="1" outlineLevel="1" collapsed="1" x14ac:dyDescent="0.25">
      <c r="C1912" s="9">
        <f>Альфа!$B$1054</f>
        <v>174144.15</v>
      </c>
    </row>
    <row r="1913" spans="2:3" hidden="1" outlineLevel="1" collapsed="1" x14ac:dyDescent="0.25">
      <c r="C1913" s="9">
        <f>Альфа!$B$1079</f>
        <v>232050.24</v>
      </c>
    </row>
    <row r="1914" spans="2:3" hidden="1" outlineLevel="1" collapsed="1" x14ac:dyDescent="0.25">
      <c r="C1914" s="9">
        <f>Альфа!$B$1103</f>
        <v>170056.97</v>
      </c>
    </row>
    <row r="1915" spans="2:3" hidden="1" outlineLevel="1" collapsed="1" x14ac:dyDescent="0.25">
      <c r="C1915" s="9">
        <f>Альфа!$B$1128</f>
        <v>155873.24</v>
      </c>
    </row>
    <row r="1916" spans="2:3" hidden="1" outlineLevel="1" collapsed="1" x14ac:dyDescent="0.25">
      <c r="C1916" s="9">
        <f>Альфа!$B$1153</f>
        <v>199146.58</v>
      </c>
    </row>
    <row r="1917" spans="2:3" hidden="1" outlineLevel="1" collapsed="1" x14ac:dyDescent="0.25">
      <c r="C1917" s="9">
        <f>Альфа!$B$1179</f>
        <v>265386.7</v>
      </c>
    </row>
    <row r="1918" spans="2:3" hidden="1" outlineLevel="1" collapsed="1" x14ac:dyDescent="0.25">
      <c r="C1918" s="9">
        <f>Альфа!$B$1205</f>
        <v>329741.44</v>
      </c>
    </row>
    <row r="1919" spans="2:3" hidden="1" outlineLevel="1" collapsed="1" x14ac:dyDescent="0.25">
      <c r="C1919" s="9">
        <f>Альфа!$B$1231</f>
        <v>185212.5</v>
      </c>
    </row>
    <row r="1920" spans="2:3" hidden="1" outlineLevel="1" collapsed="1" x14ac:dyDescent="0.25">
      <c r="B1920" t="s">
        <v>72</v>
      </c>
      <c r="C1920" s="9">
        <f>Бета!$B$12</f>
        <v>50113.52</v>
      </c>
    </row>
    <row r="1921" spans="3:3" hidden="1" outlineLevel="1" collapsed="1" x14ac:dyDescent="0.25">
      <c r="C1921" s="9">
        <f>Бета!$B$34</f>
        <v>55624.800000000003</v>
      </c>
    </row>
    <row r="1922" spans="3:3" hidden="1" outlineLevel="1" collapsed="1" x14ac:dyDescent="0.25">
      <c r="C1922" s="9">
        <f>Бета!$B$56</f>
        <v>53086.52</v>
      </c>
    </row>
    <row r="1923" spans="3:3" hidden="1" outlineLevel="1" collapsed="1" x14ac:dyDescent="0.25">
      <c r="C1923" s="9">
        <f>Бета!$B$78</f>
        <v>51861.599999999999</v>
      </c>
    </row>
    <row r="1924" spans="3:3" hidden="1" outlineLevel="1" collapsed="1" x14ac:dyDescent="0.25">
      <c r="C1924" s="9">
        <f>Бета!$B$100</f>
        <v>51771.03</v>
      </c>
    </row>
    <row r="1925" spans="3:3" hidden="1" outlineLevel="1" collapsed="1" x14ac:dyDescent="0.25">
      <c r="C1925" s="9">
        <f>Бета!$B$122</f>
        <v>78779.41</v>
      </c>
    </row>
    <row r="1926" spans="3:3" hidden="1" outlineLevel="1" collapsed="1" x14ac:dyDescent="0.25">
      <c r="C1926" s="9">
        <f>Бета!$B$144</f>
        <v>102552.81</v>
      </c>
    </row>
    <row r="1927" spans="3:3" hidden="1" outlineLevel="1" collapsed="1" x14ac:dyDescent="0.25">
      <c r="C1927" s="9">
        <f>Бета!$B$166</f>
        <v>66205.97</v>
      </c>
    </row>
    <row r="1928" spans="3:3" hidden="1" outlineLevel="1" collapsed="1" x14ac:dyDescent="0.25">
      <c r="C1928" s="9">
        <f>Бета!$B$188</f>
        <v>47707.34</v>
      </c>
    </row>
    <row r="1929" spans="3:3" hidden="1" outlineLevel="1" collapsed="1" x14ac:dyDescent="0.25">
      <c r="C1929" s="9">
        <f>Бета!$B$210</f>
        <v>53928.9</v>
      </c>
    </row>
    <row r="1930" spans="3:3" hidden="1" outlineLevel="1" collapsed="1" x14ac:dyDescent="0.25">
      <c r="C1930" s="9">
        <f>Бета!$B$232</f>
        <v>29191.43</v>
      </c>
    </row>
    <row r="1931" spans="3:3" hidden="1" outlineLevel="1" collapsed="1" x14ac:dyDescent="0.25">
      <c r="C1931" s="9">
        <f>Бета!$B$254</f>
        <v>63880.09</v>
      </c>
    </row>
    <row r="1932" spans="3:3" hidden="1" outlineLevel="1" collapsed="1" x14ac:dyDescent="0.25">
      <c r="C1932" s="9">
        <f>Бета!$B$275</f>
        <v>56677.5</v>
      </c>
    </row>
    <row r="1933" spans="3:3" hidden="1" outlineLevel="1" collapsed="1" x14ac:dyDescent="0.25">
      <c r="C1933" s="9">
        <f>Бета!$B$297</f>
        <v>57555.12</v>
      </c>
    </row>
    <row r="1934" spans="3:3" hidden="1" outlineLevel="1" collapsed="1" x14ac:dyDescent="0.25">
      <c r="C1934" s="9">
        <f>Бета!$B$319</f>
        <v>33718.269999999997</v>
      </c>
    </row>
    <row r="1935" spans="3:3" hidden="1" outlineLevel="1" collapsed="1" x14ac:dyDescent="0.25">
      <c r="C1935" s="9">
        <f>Бета!$B$340</f>
        <v>31426.61</v>
      </c>
    </row>
    <row r="1936" spans="3:3" hidden="1" outlineLevel="1" collapsed="1" x14ac:dyDescent="0.25">
      <c r="C1936" s="9">
        <f>Бета!$B$361</f>
        <v>31187.66</v>
      </c>
    </row>
    <row r="1937" spans="3:3" hidden="1" outlineLevel="1" collapsed="1" x14ac:dyDescent="0.25">
      <c r="C1937" s="9">
        <f>Бета!$B$382</f>
        <v>55890.58</v>
      </c>
    </row>
    <row r="1938" spans="3:3" hidden="1" outlineLevel="1" collapsed="1" x14ac:dyDescent="0.25">
      <c r="C1938" s="9">
        <f>Бета!$B$403</f>
        <v>66279.06</v>
      </c>
    </row>
    <row r="1939" spans="3:3" hidden="1" outlineLevel="1" collapsed="1" x14ac:dyDescent="0.25">
      <c r="C1939" s="9">
        <f>Бета!$B$424</f>
        <v>71402.009999999995</v>
      </c>
    </row>
    <row r="1940" spans="3:3" hidden="1" outlineLevel="1" collapsed="1" x14ac:dyDescent="0.25">
      <c r="C1940" s="9">
        <f>Бета!$B$445</f>
        <v>84223.81</v>
      </c>
    </row>
    <row r="1941" spans="3:3" hidden="1" outlineLevel="1" collapsed="1" x14ac:dyDescent="0.25">
      <c r="C1941" s="9">
        <f>Бета!$B$466</f>
        <v>-47858.2</v>
      </c>
    </row>
    <row r="1942" spans="3:3" hidden="1" outlineLevel="1" collapsed="1" x14ac:dyDescent="0.25">
      <c r="C1942" s="9">
        <f>Бета!$B$487</f>
        <v>40118.6</v>
      </c>
    </row>
    <row r="1943" spans="3:3" hidden="1" outlineLevel="1" collapsed="1" x14ac:dyDescent="0.25">
      <c r="C1943" s="9">
        <f>Бета!$B$508</f>
        <v>36942</v>
      </c>
    </row>
    <row r="1944" spans="3:3" hidden="1" outlineLevel="1" collapsed="1" x14ac:dyDescent="0.25">
      <c r="C1944" s="9">
        <f>Бета!$B$530</f>
        <v>45816.5</v>
      </c>
    </row>
    <row r="1945" spans="3:3" hidden="1" outlineLevel="1" collapsed="1" x14ac:dyDescent="0.25">
      <c r="C1945" s="9">
        <f>Бета!$B$549</f>
        <v>30078.22</v>
      </c>
    </row>
    <row r="1946" spans="3:3" hidden="1" outlineLevel="1" collapsed="1" x14ac:dyDescent="0.25">
      <c r="C1946" s="9">
        <f>Бета!$B$569</f>
        <v>53067</v>
      </c>
    </row>
    <row r="1947" spans="3:3" hidden="1" outlineLevel="1" collapsed="1" x14ac:dyDescent="0.25">
      <c r="C1947" s="9">
        <f>Бета!$B$589</f>
        <v>56761.919999999998</v>
      </c>
    </row>
    <row r="1948" spans="3:3" hidden="1" outlineLevel="1" collapsed="1" x14ac:dyDescent="0.25">
      <c r="C1948" s="9">
        <f>Бета!$B$608</f>
        <v>28739.4</v>
      </c>
    </row>
    <row r="1949" spans="3:3" hidden="1" outlineLevel="1" collapsed="1" x14ac:dyDescent="0.25">
      <c r="C1949" s="9">
        <f>Бета!$B$628</f>
        <v>55333.71</v>
      </c>
    </row>
    <row r="1950" spans="3:3" hidden="1" outlineLevel="1" collapsed="1" x14ac:dyDescent="0.25">
      <c r="C1950" s="9">
        <f>Бета!$B$648</f>
        <v>54138.400000000001</v>
      </c>
    </row>
    <row r="1951" spans="3:3" hidden="1" outlineLevel="1" collapsed="1" x14ac:dyDescent="0.25">
      <c r="C1951" s="9">
        <f>Бета!$B$668</f>
        <v>33300.9</v>
      </c>
    </row>
    <row r="1952" spans="3:3" hidden="1" outlineLevel="1" collapsed="1" x14ac:dyDescent="0.25">
      <c r="C1952" s="9">
        <f>Бета!$B$689</f>
        <v>39589.81</v>
      </c>
    </row>
    <row r="1953" spans="3:3" hidden="1" outlineLevel="1" collapsed="1" x14ac:dyDescent="0.25">
      <c r="C1953" s="9">
        <f>Бета!$B$709</f>
        <v>71975</v>
      </c>
    </row>
    <row r="1954" spans="3:3" hidden="1" outlineLevel="1" collapsed="1" x14ac:dyDescent="0.25">
      <c r="C1954" s="9">
        <f>Бета!$B$730</f>
        <v>67494.81</v>
      </c>
    </row>
    <row r="1955" spans="3:3" hidden="1" outlineLevel="1" collapsed="1" x14ac:dyDescent="0.25">
      <c r="C1955" s="9">
        <f>Бета!$B$750</f>
        <v>57998.71</v>
      </c>
    </row>
    <row r="1956" spans="3:3" hidden="1" outlineLevel="1" collapsed="1" x14ac:dyDescent="0.25">
      <c r="C1956" s="9">
        <f>Бета!$B$770</f>
        <v>21763.51</v>
      </c>
    </row>
    <row r="1957" spans="3:3" hidden="1" outlineLevel="1" collapsed="1" x14ac:dyDescent="0.25">
      <c r="C1957" s="9">
        <f>Бета!$B$790</f>
        <v>29577.200000000001</v>
      </c>
    </row>
    <row r="1958" spans="3:3" hidden="1" outlineLevel="1" collapsed="1" x14ac:dyDescent="0.25">
      <c r="C1958" s="9">
        <f>Бета!$B$810</f>
        <v>12036.3</v>
      </c>
    </row>
    <row r="1959" spans="3:3" hidden="1" outlineLevel="1" collapsed="1" x14ac:dyDescent="0.25">
      <c r="C1959" s="9">
        <f>Бета!$B$830</f>
        <v>28968.9</v>
      </c>
    </row>
    <row r="1960" spans="3:3" hidden="1" outlineLevel="1" collapsed="1" x14ac:dyDescent="0.25">
      <c r="C1960" s="9">
        <f>Бета!$B$850</f>
        <v>25276.7</v>
      </c>
    </row>
    <row r="1961" spans="3:3" hidden="1" outlineLevel="1" collapsed="1" x14ac:dyDescent="0.25">
      <c r="C1961" s="9">
        <f>Бета!$B$870</f>
        <v>18442.91</v>
      </c>
    </row>
    <row r="1962" spans="3:3" hidden="1" outlineLevel="1" collapsed="1" x14ac:dyDescent="0.25">
      <c r="C1962" s="9">
        <f>Бета!$B$890</f>
        <v>43674.2</v>
      </c>
    </row>
    <row r="1963" spans="3:3" hidden="1" outlineLevel="1" collapsed="1" x14ac:dyDescent="0.25">
      <c r="C1963" s="9">
        <f>Бета!$B$910</f>
        <v>20083.5</v>
      </c>
    </row>
    <row r="1964" spans="3:3" hidden="1" outlineLevel="1" collapsed="1" x14ac:dyDescent="0.25">
      <c r="C1964" s="9">
        <f>Бета!$B$929</f>
        <v>17377.61</v>
      </c>
    </row>
    <row r="1965" spans="3:3" hidden="1" outlineLevel="1" collapsed="1" x14ac:dyDescent="0.25">
      <c r="C1965" s="9">
        <f>Бета!$B$949</f>
        <v>36279.410000000003</v>
      </c>
    </row>
    <row r="1966" spans="3:3" hidden="1" outlineLevel="1" collapsed="1" x14ac:dyDescent="0.25">
      <c r="C1966" s="9">
        <f>Бета!$B$969</f>
        <v>36235.11</v>
      </c>
    </row>
    <row r="1967" spans="3:3" hidden="1" outlineLevel="1" collapsed="1" x14ac:dyDescent="0.25">
      <c r="C1967" s="9">
        <f>Бета!$B$989</f>
        <v>44732.61</v>
      </c>
    </row>
    <row r="1968" spans="3:3" hidden="1" outlineLevel="1" collapsed="1" x14ac:dyDescent="0.25">
      <c r="C1968" s="9">
        <f>Бета!$B$1009</f>
        <v>13145.51</v>
      </c>
    </row>
    <row r="1969" spans="2:3" hidden="1" outlineLevel="1" collapsed="1" x14ac:dyDescent="0.25">
      <c r="B1969" t="s">
        <v>72</v>
      </c>
      <c r="C1969" s="9">
        <f>Гамма!$B$12</f>
        <v>150539.4</v>
      </c>
    </row>
    <row r="1970" spans="2:3" hidden="1" outlineLevel="1" collapsed="1" x14ac:dyDescent="0.25">
      <c r="C1970" s="9">
        <f>Гамма!$B$38</f>
        <v>144916.20000000001</v>
      </c>
    </row>
    <row r="1971" spans="2:3" hidden="1" outlineLevel="1" collapsed="1" x14ac:dyDescent="0.25">
      <c r="C1971" s="9">
        <f>Гамма!$B$65</f>
        <v>146231.79999999999</v>
      </c>
    </row>
    <row r="1972" spans="2:3" hidden="1" outlineLevel="1" collapsed="1" x14ac:dyDescent="0.25">
      <c r="C1972" s="9">
        <f>Гамма!$B$92</f>
        <v>152980.20000000001</v>
      </c>
    </row>
    <row r="1973" spans="2:3" hidden="1" outlineLevel="1" collapsed="1" x14ac:dyDescent="0.25">
      <c r="C1973" s="9">
        <f>Гамма!$B$118</f>
        <v>196121</v>
      </c>
    </row>
    <row r="1974" spans="2:3" hidden="1" outlineLevel="1" collapsed="1" x14ac:dyDescent="0.25">
      <c r="C1974" s="9">
        <f>Гамма!$B$144</f>
        <v>281714.40000000002</v>
      </c>
    </row>
    <row r="1975" spans="2:3" hidden="1" outlineLevel="1" collapsed="1" x14ac:dyDescent="0.25">
      <c r="C1975" s="9">
        <f>Гамма!$B$170</f>
        <v>253882.4</v>
      </c>
    </row>
    <row r="1976" spans="2:3" hidden="1" outlineLevel="1" collapsed="1" x14ac:dyDescent="0.25">
      <c r="C1976" s="9">
        <f>Гамма!$B$197</f>
        <v>165053.70000000001</v>
      </c>
    </row>
    <row r="1977" spans="2:3" hidden="1" outlineLevel="1" collapsed="1" x14ac:dyDescent="0.25">
      <c r="C1977" s="9">
        <f>Гамма!$B$224</f>
        <v>134488.6</v>
      </c>
    </row>
    <row r="1978" spans="2:3" hidden="1" outlineLevel="1" collapsed="1" x14ac:dyDescent="0.25">
      <c r="C1978" s="9">
        <f>Гамма!$B$250</f>
        <v>120574.6</v>
      </c>
    </row>
    <row r="1979" spans="2:3" hidden="1" outlineLevel="1" collapsed="1" x14ac:dyDescent="0.25">
      <c r="C1979" s="9">
        <f>Гамма!$B$276</f>
        <v>132529</v>
      </c>
    </row>
    <row r="1980" spans="2:3" hidden="1" outlineLevel="1" collapsed="1" x14ac:dyDescent="0.25">
      <c r="C1980" s="9">
        <f>Гамма!$B$302</f>
        <v>148709.67000000001</v>
      </c>
    </row>
    <row r="1981" spans="2:3" hidden="1" outlineLevel="1" collapsed="1" x14ac:dyDescent="0.25">
      <c r="C1981" s="9">
        <f>Гамма!$B$328</f>
        <v>235396.96</v>
      </c>
    </row>
    <row r="1982" spans="2:3" hidden="1" outlineLevel="1" collapsed="1" x14ac:dyDescent="0.25">
      <c r="C1982" s="9">
        <f>Гамма!$B$354</f>
        <v>174497.5</v>
      </c>
    </row>
    <row r="1983" spans="2:3" hidden="1" outlineLevel="1" collapsed="1" x14ac:dyDescent="0.25">
      <c r="C1983" s="9">
        <f>Гамма!$B$379</f>
        <v>123318.36</v>
      </c>
    </row>
    <row r="1984" spans="2:3" hidden="1" outlineLevel="1" collapsed="1" x14ac:dyDescent="0.25">
      <c r="C1984" s="9">
        <f>Гамма!$B$405</f>
        <v>134272.4</v>
      </c>
    </row>
    <row r="1985" spans="3:3" hidden="1" outlineLevel="1" collapsed="1" x14ac:dyDescent="0.25">
      <c r="C1985" s="9">
        <f>Гамма!$B$432</f>
        <v>121549.2</v>
      </c>
    </row>
    <row r="1986" spans="3:3" hidden="1" outlineLevel="1" collapsed="1" x14ac:dyDescent="0.25">
      <c r="C1986" s="9">
        <f>Гамма!$B$459</f>
        <v>162954.4</v>
      </c>
    </row>
    <row r="1987" spans="3:3" hidden="1" outlineLevel="1" collapsed="1" x14ac:dyDescent="0.25">
      <c r="C1987" s="9">
        <f>Гамма!$B$485</f>
        <v>232320</v>
      </c>
    </row>
    <row r="1988" spans="3:3" hidden="1" outlineLevel="1" collapsed="1" x14ac:dyDescent="0.25">
      <c r="C1988" s="9">
        <f>Гамма!$B$511</f>
        <v>361490.4</v>
      </c>
    </row>
    <row r="1989" spans="3:3" hidden="1" outlineLevel="1" collapsed="1" x14ac:dyDescent="0.25">
      <c r="C1989" s="9">
        <f>Гамма!$B$537</f>
        <v>301223.40000000002</v>
      </c>
    </row>
    <row r="1990" spans="3:3" hidden="1" outlineLevel="1" collapsed="1" x14ac:dyDescent="0.25">
      <c r="C1990" s="9">
        <f>Гамма!$B$563</f>
        <v>215561.4</v>
      </c>
    </row>
    <row r="1991" spans="3:3" hidden="1" outlineLevel="1" collapsed="1" x14ac:dyDescent="0.25">
      <c r="C1991" s="9">
        <f>Гамма!$B$588</f>
        <v>98825.3</v>
      </c>
    </row>
    <row r="1992" spans="3:3" hidden="1" outlineLevel="1" collapsed="1" x14ac:dyDescent="0.25">
      <c r="C1992" s="9">
        <f>Гамма!$B$614</f>
        <v>128489.9</v>
      </c>
    </row>
    <row r="1993" spans="3:3" hidden="1" outlineLevel="1" collapsed="1" x14ac:dyDescent="0.25">
      <c r="C1993" s="9">
        <f>Гамма!$B$640</f>
        <v>132816.5</v>
      </c>
    </row>
    <row r="1994" spans="3:3" hidden="1" outlineLevel="1" collapsed="1" x14ac:dyDescent="0.25">
      <c r="C1994" s="9">
        <f>Гамма!$B$666</f>
        <v>181522.3</v>
      </c>
    </row>
    <row r="1995" spans="3:3" hidden="1" outlineLevel="1" collapsed="1" x14ac:dyDescent="0.25">
      <c r="C1995" s="9">
        <f>Гамма!$B$692</f>
        <v>288077.5</v>
      </c>
    </row>
    <row r="1996" spans="3:3" hidden="1" outlineLevel="1" collapsed="1" x14ac:dyDescent="0.25">
      <c r="C1996" s="9">
        <f>Гамма!$B$718</f>
        <v>199465.1</v>
      </c>
    </row>
    <row r="1997" spans="3:3" hidden="1" outlineLevel="1" collapsed="1" x14ac:dyDescent="0.25">
      <c r="C1997" s="9">
        <f>Гамма!$B$742</f>
        <v>112010.7</v>
      </c>
    </row>
    <row r="1998" spans="3:3" hidden="1" outlineLevel="1" collapsed="1" x14ac:dyDescent="0.25">
      <c r="C1998" s="9">
        <f>Гамма!$B$768</f>
        <v>101368.8</v>
      </c>
    </row>
    <row r="1999" spans="3:3" hidden="1" outlineLevel="1" collapsed="1" x14ac:dyDescent="0.25">
      <c r="C1999" s="9">
        <f>Гамма!$B$792</f>
        <v>183395.16</v>
      </c>
    </row>
    <row r="2000" spans="3:3" hidden="1" outlineLevel="1" collapsed="1" x14ac:dyDescent="0.25">
      <c r="C2000" s="9">
        <f>Гамма!$B$818</f>
        <v>136533.9</v>
      </c>
    </row>
    <row r="2001" spans="3:3" hidden="1" outlineLevel="1" collapsed="1" x14ac:dyDescent="0.25">
      <c r="C2001" s="9">
        <f>Гамма!$B$844</f>
        <v>228882.1</v>
      </c>
    </row>
    <row r="2002" spans="3:3" hidden="1" outlineLevel="1" collapsed="1" x14ac:dyDescent="0.25">
      <c r="C2002" s="9">
        <f>Гамма!$B$870</f>
        <v>322383.5</v>
      </c>
    </row>
    <row r="2003" spans="3:3" hidden="1" outlineLevel="1" collapsed="1" x14ac:dyDescent="0.25">
      <c r="C2003" s="9">
        <f>Гамма!$B$896</f>
        <v>236894.9</v>
      </c>
    </row>
    <row r="2004" spans="3:3" hidden="1" outlineLevel="1" collapsed="1" x14ac:dyDescent="0.25">
      <c r="C2004" s="9">
        <f>Гамма!$B$922</f>
        <v>185177.60000000001</v>
      </c>
    </row>
    <row r="2005" spans="3:3" hidden="1" outlineLevel="1" collapsed="1" x14ac:dyDescent="0.25">
      <c r="C2005" s="9">
        <f>Гамма!$B$947</f>
        <v>156488.20000000001</v>
      </c>
    </row>
    <row r="2006" spans="3:3" hidden="1" outlineLevel="1" collapsed="1" x14ac:dyDescent="0.25">
      <c r="C2006" s="9">
        <f>Гамма!$B$973</f>
        <v>110261.3</v>
      </c>
    </row>
    <row r="2007" spans="3:3" hidden="1" outlineLevel="1" collapsed="1" x14ac:dyDescent="0.25">
      <c r="C2007" s="9">
        <f>Гамма!$B$999</f>
        <v>129473.2</v>
      </c>
    </row>
    <row r="2008" spans="3:3" hidden="1" outlineLevel="1" collapsed="1" x14ac:dyDescent="0.25">
      <c r="C2008" s="9">
        <f>Гамма!$B$1024</f>
        <v>172090.9</v>
      </c>
    </row>
    <row r="2009" spans="3:3" hidden="1" outlineLevel="1" collapsed="1" x14ac:dyDescent="0.25">
      <c r="C2009" s="9">
        <f>Гамма!$B$1048</f>
        <v>156130</v>
      </c>
    </row>
    <row r="2010" spans="3:3" hidden="1" outlineLevel="1" collapsed="1" x14ac:dyDescent="0.25">
      <c r="C2010" s="9">
        <f>Гамма!$B$1073</f>
        <v>132399.70000000001</v>
      </c>
    </row>
    <row r="2011" spans="3:3" hidden="1" outlineLevel="1" collapsed="1" x14ac:dyDescent="0.25">
      <c r="C2011" s="9">
        <f>Гамма!$B$1099</f>
        <v>104956.5</v>
      </c>
    </row>
    <row r="2012" spans="3:3" hidden="1" outlineLevel="1" collapsed="1" x14ac:dyDescent="0.25">
      <c r="C2012" s="9">
        <f>Гамма!$B$1123</f>
        <v>112502</v>
      </c>
    </row>
    <row r="2013" spans="3:3" hidden="1" outlineLevel="1" collapsed="1" x14ac:dyDescent="0.25">
      <c r="C2013" s="9">
        <f>Гамма!$B$1147</f>
        <v>117621.7</v>
      </c>
    </row>
    <row r="2014" spans="3:3" hidden="1" outlineLevel="1" collapsed="1" x14ac:dyDescent="0.25">
      <c r="C2014" s="9">
        <f>Гамма!$B$1173</f>
        <v>139155.4</v>
      </c>
    </row>
    <row r="2015" spans="3:3" hidden="1" outlineLevel="1" collapsed="1" x14ac:dyDescent="0.25">
      <c r="C2015" s="9">
        <f>Гамма!$B$1197</f>
        <v>188596</v>
      </c>
    </row>
    <row r="2016" spans="3:3" hidden="1" outlineLevel="1" collapsed="1" x14ac:dyDescent="0.25">
      <c r="C2016" s="9">
        <f>Гамма!$B$1222</f>
        <v>266565.8</v>
      </c>
    </row>
    <row r="2017" spans="2:3" hidden="1" outlineLevel="1" collapsed="1" x14ac:dyDescent="0.25">
      <c r="C2017" s="9">
        <f>Гамма!$B$1247</f>
        <v>152681.29999999999</v>
      </c>
    </row>
    <row r="2018" spans="2:3" hidden="1" outlineLevel="1" collapsed="1" x14ac:dyDescent="0.25">
      <c r="B2018" t="s">
        <v>72</v>
      </c>
      <c r="C2018" s="9">
        <f>Дельта!$B$12</f>
        <v>114554.73</v>
      </c>
    </row>
    <row r="2019" spans="2:3" hidden="1" outlineLevel="1" collapsed="1" x14ac:dyDescent="0.25">
      <c r="C2019" s="9">
        <f>Дельта!$B$38</f>
        <v>141270.81</v>
      </c>
    </row>
    <row r="2020" spans="2:3" hidden="1" outlineLevel="1" collapsed="1" x14ac:dyDescent="0.25">
      <c r="C2020" s="9">
        <f>Дельта!$B$64</f>
        <v>118469.29</v>
      </c>
    </row>
    <row r="2021" spans="2:3" hidden="1" outlineLevel="1" collapsed="1" x14ac:dyDescent="0.25">
      <c r="C2021" s="9">
        <f>Дельта!$B$90</f>
        <v>177437</v>
      </c>
    </row>
    <row r="2022" spans="2:3" hidden="1" outlineLevel="1" collapsed="1" x14ac:dyDescent="0.25">
      <c r="C2022" s="9">
        <f>Дельта!$B$116</f>
        <v>200153</v>
      </c>
    </row>
    <row r="2023" spans="2:3" hidden="1" outlineLevel="1" collapsed="1" x14ac:dyDescent="0.25">
      <c r="C2023" s="9">
        <f>Дельта!$B$142</f>
        <v>200824</v>
      </c>
    </row>
    <row r="2024" spans="2:3" hidden="1" outlineLevel="1" collapsed="1" x14ac:dyDescent="0.25">
      <c r="C2024" s="9">
        <f>Дельта!$B$167</f>
        <v>211536.69</v>
      </c>
    </row>
    <row r="2025" spans="2:3" hidden="1" outlineLevel="1" collapsed="1" x14ac:dyDescent="0.25">
      <c r="C2025" s="9">
        <f>Дельта!$B$193</f>
        <v>147903</v>
      </c>
    </row>
    <row r="2026" spans="2:3" hidden="1" outlineLevel="1" collapsed="1" x14ac:dyDescent="0.25">
      <c r="C2026" s="9">
        <f>Дельта!$B$219</f>
        <v>112675.31</v>
      </c>
    </row>
    <row r="2027" spans="2:3" hidden="1" outlineLevel="1" collapsed="1" x14ac:dyDescent="0.25">
      <c r="C2027" s="9">
        <f>Дельта!$B$244</f>
        <v>105946</v>
      </c>
    </row>
    <row r="2028" spans="2:3" hidden="1" outlineLevel="1" collapsed="1" x14ac:dyDescent="0.25">
      <c r="C2028" s="9">
        <f>Дельта!$B$270</f>
        <v>106937</v>
      </c>
    </row>
    <row r="2029" spans="2:3" hidden="1" outlineLevel="1" collapsed="1" x14ac:dyDescent="0.25">
      <c r="C2029" s="9">
        <f>Дельта!$B$296</f>
        <v>147206</v>
      </c>
    </row>
    <row r="2030" spans="2:3" hidden="1" outlineLevel="1" collapsed="1" x14ac:dyDescent="0.25">
      <c r="C2030" s="9">
        <f>Дельта!$B$322</f>
        <v>220817</v>
      </c>
    </row>
    <row r="2031" spans="2:3" hidden="1" outlineLevel="1" collapsed="1" x14ac:dyDescent="0.25">
      <c r="C2031" s="9">
        <f>Дельта!$B$348</f>
        <v>169204</v>
      </c>
    </row>
    <row r="2032" spans="2:3" hidden="1" outlineLevel="1" collapsed="1" x14ac:dyDescent="0.25">
      <c r="C2032" s="9">
        <f>Дельта!$B$374</f>
        <v>96439</v>
      </c>
    </row>
    <row r="2033" spans="3:3" hidden="1" outlineLevel="1" collapsed="1" x14ac:dyDescent="0.25">
      <c r="C2033" s="9">
        <f>Дельта!$B$400</f>
        <v>116111</v>
      </c>
    </row>
    <row r="2034" spans="3:3" hidden="1" outlineLevel="1" collapsed="1" x14ac:dyDescent="0.25">
      <c r="C2034" s="9">
        <f>Дельта!$B$426</f>
        <v>103354</v>
      </c>
    </row>
    <row r="2035" spans="3:3" hidden="1" outlineLevel="1" collapsed="1" x14ac:dyDescent="0.25">
      <c r="C2035" s="9">
        <f>Дельта!$B$452</f>
        <v>126543</v>
      </c>
    </row>
    <row r="2036" spans="3:3" hidden="1" outlineLevel="1" collapsed="1" x14ac:dyDescent="0.25">
      <c r="C2036" s="9">
        <f>Дельта!$B$478</f>
        <v>187222</v>
      </c>
    </row>
    <row r="2037" spans="3:3" hidden="1" outlineLevel="1" collapsed="1" x14ac:dyDescent="0.25">
      <c r="C2037" s="9">
        <f>Дельта!$B$504</f>
        <v>264239</v>
      </c>
    </row>
    <row r="2038" spans="3:3" hidden="1" outlineLevel="1" collapsed="1" x14ac:dyDescent="0.25">
      <c r="C2038" s="9">
        <f>Дельта!$B$530</f>
        <v>231808</v>
      </c>
    </row>
    <row r="2039" spans="3:3" hidden="1" outlineLevel="1" collapsed="1" x14ac:dyDescent="0.25">
      <c r="C2039" s="9">
        <f>Дельта!$B$556</f>
        <v>140041</v>
      </c>
    </row>
    <row r="2040" spans="3:3" hidden="1" outlineLevel="1" collapsed="1" x14ac:dyDescent="0.25">
      <c r="C2040" s="9">
        <f>Дельта!$B$582</f>
        <v>67069</v>
      </c>
    </row>
    <row r="2041" spans="3:3" hidden="1" outlineLevel="1" collapsed="1" x14ac:dyDescent="0.25">
      <c r="C2041" s="9">
        <f>Дельта!$B$608</f>
        <v>99349</v>
      </c>
    </row>
    <row r="2042" spans="3:3" hidden="1" outlineLevel="1" collapsed="1" x14ac:dyDescent="0.25">
      <c r="C2042" s="9">
        <f>Дельта!$B$633</f>
        <v>101490</v>
      </c>
    </row>
    <row r="2043" spans="3:3" hidden="1" outlineLevel="1" collapsed="1" x14ac:dyDescent="0.25">
      <c r="C2043" s="9">
        <f>Дельта!$B$659</f>
        <v>115804</v>
      </c>
    </row>
    <row r="2044" spans="3:3" hidden="1" outlineLevel="1" collapsed="1" x14ac:dyDescent="0.25">
      <c r="C2044" s="9">
        <f>Дельта!$B$686</f>
        <v>134785</v>
      </c>
    </row>
    <row r="2045" spans="3:3" hidden="1" outlineLevel="1" collapsed="1" x14ac:dyDescent="0.25">
      <c r="C2045" s="9">
        <f>Дельта!$B$712</f>
        <v>133406</v>
      </c>
    </row>
    <row r="2046" spans="3:3" hidden="1" outlineLevel="1" collapsed="1" x14ac:dyDescent="0.25">
      <c r="C2046" s="9">
        <f>Дельта!$B$737</f>
        <v>169603</v>
      </c>
    </row>
    <row r="2047" spans="3:3" hidden="1" outlineLevel="1" collapsed="1" x14ac:dyDescent="0.25">
      <c r="C2047" s="9">
        <f>Дельта!$B$763</f>
        <v>97813.27</v>
      </c>
    </row>
    <row r="2048" spans="3:3" hidden="1" outlineLevel="1" collapsed="1" x14ac:dyDescent="0.25">
      <c r="C2048" s="9">
        <f>Дельта!$B$788</f>
        <v>135530</v>
      </c>
    </row>
    <row r="2049" spans="3:3" hidden="1" outlineLevel="1" collapsed="1" x14ac:dyDescent="0.25">
      <c r="C2049" s="9">
        <f>Дельта!$B$814</f>
        <v>91438</v>
      </c>
    </row>
    <row r="2050" spans="3:3" hidden="1" outlineLevel="1" collapsed="1" x14ac:dyDescent="0.25">
      <c r="C2050" s="9">
        <f>Дельта!$B$840</f>
        <v>168436</v>
      </c>
    </row>
    <row r="2051" spans="3:3" hidden="1" outlineLevel="1" collapsed="1" x14ac:dyDescent="0.25">
      <c r="C2051" s="9">
        <f>Дельта!$B$866</f>
        <v>172653</v>
      </c>
    </row>
    <row r="2052" spans="3:3" hidden="1" outlineLevel="1" collapsed="1" x14ac:dyDescent="0.25">
      <c r="C2052" s="9">
        <f>Дельта!$B$892</f>
        <v>122595</v>
      </c>
    </row>
    <row r="2053" spans="3:3" hidden="1" outlineLevel="1" collapsed="1" x14ac:dyDescent="0.25">
      <c r="C2053" s="9">
        <f>Дельта!$B$918</f>
        <v>99146</v>
      </c>
    </row>
    <row r="2054" spans="3:3" hidden="1" outlineLevel="1" collapsed="1" x14ac:dyDescent="0.25">
      <c r="C2054" s="9">
        <f>Дельта!$B$943</f>
        <v>70713.899999999994</v>
      </c>
    </row>
    <row r="2055" spans="3:3" hidden="1" outlineLevel="1" collapsed="1" x14ac:dyDescent="0.25">
      <c r="C2055" s="9">
        <f>Дельта!$B$969</f>
        <v>58210.29</v>
      </c>
    </row>
    <row r="2056" spans="3:3" hidden="1" outlineLevel="1" collapsed="1" x14ac:dyDescent="0.25">
      <c r="C2056" s="9">
        <f>Дельта!$B$994</f>
        <v>62308</v>
      </c>
    </row>
    <row r="2057" spans="3:3" hidden="1" outlineLevel="1" collapsed="1" x14ac:dyDescent="0.25">
      <c r="C2057" s="9">
        <f>Дельта!$B$1020</f>
        <v>70075</v>
      </c>
    </row>
    <row r="2058" spans="3:3" hidden="1" outlineLevel="1" collapsed="1" x14ac:dyDescent="0.25">
      <c r="C2058" s="9">
        <f>Дельта!$B$1045</f>
        <v>94908.5</v>
      </c>
    </row>
    <row r="2059" spans="3:3" hidden="1" outlineLevel="1" collapsed="1" x14ac:dyDescent="0.25">
      <c r="C2059" s="9">
        <f>Дельта!$B$1071</f>
        <v>58806.79</v>
      </c>
    </row>
    <row r="2060" spans="3:3" hidden="1" outlineLevel="1" collapsed="1" x14ac:dyDescent="0.25">
      <c r="C2060" s="9">
        <f>Дельта!$B$1095</f>
        <v>59329</v>
      </c>
    </row>
    <row r="2061" spans="3:3" hidden="1" outlineLevel="1" collapsed="1" x14ac:dyDescent="0.25">
      <c r="C2061" s="9">
        <f>Дельта!$B$1120</f>
        <v>70962</v>
      </c>
    </row>
    <row r="2062" spans="3:3" hidden="1" outlineLevel="1" collapsed="1" x14ac:dyDescent="0.25">
      <c r="C2062" s="9">
        <f>Дельта!$B$1145</f>
        <v>63077</v>
      </c>
    </row>
    <row r="2063" spans="3:3" hidden="1" outlineLevel="1" collapsed="1" x14ac:dyDescent="0.25">
      <c r="C2063" s="9">
        <f>Дельта!$B$1169</f>
        <v>76515.289999999994</v>
      </c>
    </row>
    <row r="2064" spans="3:3" hidden="1" outlineLevel="1" collapsed="1" x14ac:dyDescent="0.25">
      <c r="C2064" s="9">
        <f>Дельта!$B$1192</f>
        <v>93316.9</v>
      </c>
    </row>
    <row r="2065" spans="1:3" hidden="1" outlineLevel="1" collapsed="1" x14ac:dyDescent="0.25">
      <c r="C2065" s="9">
        <f>Дельта!$B$1218</f>
        <v>116619</v>
      </c>
    </row>
    <row r="2066" spans="1:3" hidden="1" outlineLevel="1" collapsed="1" x14ac:dyDescent="0.25">
      <c r="C2066" s="9">
        <f>Дельта!$B$1242</f>
        <v>54293</v>
      </c>
    </row>
    <row r="2067" spans="1:3" collapsed="1" x14ac:dyDescent="0.25">
      <c r="A2067" t="s">
        <v>12</v>
      </c>
      <c r="C2067" s="9">
        <f>SUM(C1871:C2066)</f>
        <v>28968101.519999977</v>
      </c>
    </row>
    <row r="2068" spans="1:3" hidden="1" outlineLevel="1" x14ac:dyDescent="0.25">
      <c r="B2068" t="s">
        <v>72</v>
      </c>
      <c r="C2068" s="9">
        <f>Альфа!$B$13</f>
        <v>213525.01</v>
      </c>
    </row>
    <row r="2069" spans="1:3" hidden="1" outlineLevel="1" collapsed="1" x14ac:dyDescent="0.25">
      <c r="C2069" s="9">
        <f>Альфа!$B$39</f>
        <v>201591.99</v>
      </c>
    </row>
    <row r="2070" spans="1:3" hidden="1" outlineLevel="1" collapsed="1" x14ac:dyDescent="0.25">
      <c r="C2070" s="9">
        <f>Альфа!$B$65</f>
        <v>206041.74</v>
      </c>
    </row>
    <row r="2071" spans="1:3" hidden="1" outlineLevel="1" collapsed="1" x14ac:dyDescent="0.25">
      <c r="C2071" s="9">
        <f>Альфа!$B$91</f>
        <v>235750</v>
      </c>
    </row>
    <row r="2072" spans="1:3" hidden="1" outlineLevel="1" collapsed="1" x14ac:dyDescent="0.25">
      <c r="C2072" s="9">
        <f>Альфа!$B$117</f>
        <v>277017.25</v>
      </c>
    </row>
    <row r="2073" spans="1:3" hidden="1" outlineLevel="1" collapsed="1" x14ac:dyDescent="0.25">
      <c r="C2073" s="9">
        <f>Альфа!$B$144</f>
        <v>308782.5</v>
      </c>
    </row>
    <row r="2074" spans="1:3" hidden="1" outlineLevel="1" collapsed="1" x14ac:dyDescent="0.25">
      <c r="C2074" s="9">
        <f>Альфа!$B$170</f>
        <v>253457</v>
      </c>
    </row>
    <row r="2075" spans="1:3" hidden="1" outlineLevel="1" collapsed="1" x14ac:dyDescent="0.25">
      <c r="C2075" s="9">
        <f>Альфа!$B$196</f>
        <v>206769</v>
      </c>
    </row>
    <row r="2076" spans="1:3" hidden="1" outlineLevel="1" collapsed="1" x14ac:dyDescent="0.25">
      <c r="C2076" s="9">
        <f>Альфа!$B$222</f>
        <v>191582</v>
      </c>
    </row>
    <row r="2077" spans="1:3" hidden="1" outlineLevel="1" collapsed="1" x14ac:dyDescent="0.25">
      <c r="C2077" s="9">
        <f>Альфа!$B$249</f>
        <v>173752.99</v>
      </c>
    </row>
    <row r="2078" spans="1:3" hidden="1" outlineLevel="1" collapsed="1" x14ac:dyDescent="0.25">
      <c r="C2078" s="9">
        <f>Альфа!$B$275</f>
        <v>163691</v>
      </c>
    </row>
    <row r="2079" spans="1:3" hidden="1" outlineLevel="1" collapsed="1" x14ac:dyDescent="0.25">
      <c r="C2079" s="9">
        <f>Альфа!$B$301</f>
        <v>223403.99</v>
      </c>
    </row>
    <row r="2080" spans="1:3" hidden="1" outlineLevel="1" collapsed="1" x14ac:dyDescent="0.25">
      <c r="C2080" s="9">
        <f>Альфа!$B$327</f>
        <v>274616.99</v>
      </c>
    </row>
    <row r="2081" spans="3:3" hidden="1" outlineLevel="1" collapsed="1" x14ac:dyDescent="0.25">
      <c r="C2081" s="9">
        <f>Альфа!$B$353</f>
        <v>201623.99</v>
      </c>
    </row>
    <row r="2082" spans="3:3" hidden="1" outlineLevel="1" collapsed="1" x14ac:dyDescent="0.25">
      <c r="C2082" s="9">
        <f>Альфа!$B$380</f>
        <v>176819</v>
      </c>
    </row>
    <row r="2083" spans="3:3" hidden="1" outlineLevel="1" collapsed="1" x14ac:dyDescent="0.25">
      <c r="C2083" s="9">
        <f>Альфа!$B$406</f>
        <v>170376</v>
      </c>
    </row>
    <row r="2084" spans="3:3" hidden="1" outlineLevel="1" collapsed="1" x14ac:dyDescent="0.25">
      <c r="C2084" s="9">
        <f>Альфа!$B$432</f>
        <v>230473</v>
      </c>
    </row>
    <row r="2085" spans="3:3" hidden="1" outlineLevel="1" collapsed="1" x14ac:dyDescent="0.25">
      <c r="C2085" s="9">
        <f>Альфа!$B$457</f>
        <v>288686.99</v>
      </c>
    </row>
    <row r="2086" spans="3:3" hidden="1" outlineLevel="1" collapsed="1" x14ac:dyDescent="0.25">
      <c r="C2086" s="9">
        <f>Альфа!$B$483</f>
        <v>360076.99</v>
      </c>
    </row>
    <row r="2087" spans="3:3" hidden="1" outlineLevel="1" collapsed="1" x14ac:dyDescent="0.25">
      <c r="C2087" s="9">
        <f>Альфа!$B$508</f>
        <v>346911.93</v>
      </c>
    </row>
    <row r="2088" spans="3:3" hidden="1" outlineLevel="1" collapsed="1" x14ac:dyDescent="0.25">
      <c r="C2088" s="9">
        <f>Альфа!$B$533</f>
        <v>339083.05</v>
      </c>
    </row>
    <row r="2089" spans="3:3" hidden="1" outlineLevel="1" collapsed="1" x14ac:dyDescent="0.25">
      <c r="C2089" s="9">
        <f>Альфа!$B$558</f>
        <v>309525.01</v>
      </c>
    </row>
    <row r="2090" spans="3:3" hidden="1" outlineLevel="1" collapsed="1" x14ac:dyDescent="0.25">
      <c r="C2090" s="9">
        <f>Альфа!$B$583</f>
        <v>130803.98</v>
      </c>
    </row>
    <row r="2091" spans="3:3" hidden="1" outlineLevel="1" collapsed="1" x14ac:dyDescent="0.25">
      <c r="C2091" s="9">
        <f>Альфа!$B$607</f>
        <v>154565.48000000001</v>
      </c>
    </row>
    <row r="2092" spans="3:3" hidden="1" outlineLevel="1" collapsed="1" x14ac:dyDescent="0.25">
      <c r="C2092" s="9">
        <f>Альфа!$B$632</f>
        <v>140460</v>
      </c>
    </row>
    <row r="2093" spans="3:3" hidden="1" outlineLevel="1" collapsed="1" x14ac:dyDescent="0.25">
      <c r="C2093" s="9">
        <f>Альфа!$B$657</f>
        <v>159694.99</v>
      </c>
    </row>
    <row r="2094" spans="3:3" hidden="1" outlineLevel="1" collapsed="1" x14ac:dyDescent="0.25">
      <c r="C2094" s="9">
        <f>Альфа!$B$682</f>
        <v>212639.99</v>
      </c>
    </row>
    <row r="2095" spans="3:3" hidden="1" outlineLevel="1" collapsed="1" x14ac:dyDescent="0.25">
      <c r="C2095" s="9">
        <f>Альфа!$B$707</f>
        <v>175689</v>
      </c>
    </row>
    <row r="2096" spans="3:3" hidden="1" outlineLevel="1" collapsed="1" x14ac:dyDescent="0.25">
      <c r="C2096" s="9">
        <f>Альфа!$B$732</f>
        <v>176642</v>
      </c>
    </row>
    <row r="2097" spans="3:3" hidden="1" outlineLevel="1" collapsed="1" x14ac:dyDescent="0.25">
      <c r="C2097" s="9">
        <f>Альфа!$B$757</f>
        <v>131989</v>
      </c>
    </row>
    <row r="2098" spans="3:3" hidden="1" outlineLevel="1" collapsed="1" x14ac:dyDescent="0.25">
      <c r="C2098" s="9">
        <f>Альфа!$B$782</f>
        <v>138783.99</v>
      </c>
    </row>
    <row r="2099" spans="3:3" hidden="1" outlineLevel="1" collapsed="1" x14ac:dyDescent="0.25">
      <c r="C2099" s="9">
        <f>Альфа!$B$805</f>
        <v>153286</v>
      </c>
    </row>
    <row r="2100" spans="3:3" hidden="1" outlineLevel="1" collapsed="1" x14ac:dyDescent="0.25">
      <c r="C2100" s="9">
        <f>Альфа!$B$829</f>
        <v>199781.99</v>
      </c>
    </row>
    <row r="2101" spans="3:3" hidden="1" outlineLevel="1" collapsed="1" x14ac:dyDescent="0.25">
      <c r="C2101" s="9">
        <f>Альфа!$B$854</f>
        <v>293619.99</v>
      </c>
    </row>
    <row r="2102" spans="3:3" hidden="1" outlineLevel="1" collapsed="1" x14ac:dyDescent="0.25">
      <c r="C2102" s="9">
        <f>Альфа!$B$879</f>
        <v>237555.98</v>
      </c>
    </row>
    <row r="2103" spans="3:3" hidden="1" outlineLevel="1" collapsed="1" x14ac:dyDescent="0.25">
      <c r="C2103" s="9">
        <f>Альфа!$B$904</f>
        <v>205687.98</v>
      </c>
    </row>
    <row r="2104" spans="3:3" hidden="1" outlineLevel="1" collapsed="1" x14ac:dyDescent="0.25">
      <c r="C2104" s="9">
        <f>Альфа!$B$929</f>
        <v>139055.99</v>
      </c>
    </row>
    <row r="2105" spans="3:3" hidden="1" outlineLevel="1" collapsed="1" x14ac:dyDescent="0.25">
      <c r="C2105" s="9">
        <f>Альфа!$B$954</f>
        <v>143529</v>
      </c>
    </row>
    <row r="2106" spans="3:3" hidden="1" outlineLevel="1" collapsed="1" x14ac:dyDescent="0.25">
      <c r="C2106" s="9">
        <f>Альфа!$B$978</f>
        <v>126110</v>
      </c>
    </row>
    <row r="2107" spans="3:3" hidden="1" outlineLevel="1" collapsed="1" x14ac:dyDescent="0.25">
      <c r="C2107" s="9">
        <f>Альфа!$B$1004</f>
        <v>137902</v>
      </c>
    </row>
    <row r="2108" spans="3:3" hidden="1" outlineLevel="1" collapsed="1" x14ac:dyDescent="0.25">
      <c r="C2108" s="9">
        <f>Альфа!$B$1029</f>
        <v>148790</v>
      </c>
    </row>
    <row r="2109" spans="3:3" hidden="1" outlineLevel="1" collapsed="1" x14ac:dyDescent="0.25">
      <c r="C2109" s="9">
        <f>Альфа!$B$1055</f>
        <v>103629</v>
      </c>
    </row>
    <row r="2110" spans="3:3" hidden="1" outlineLevel="1" collapsed="1" x14ac:dyDescent="0.25">
      <c r="C2110" s="9">
        <f>Альфа!$B$1080</f>
        <v>78733</v>
      </c>
    </row>
    <row r="2111" spans="3:3" hidden="1" outlineLevel="1" collapsed="1" x14ac:dyDescent="0.25">
      <c r="C2111" s="9">
        <f>Альфа!$B$1104</f>
        <v>82145</v>
      </c>
    </row>
    <row r="2112" spans="3:3" hidden="1" outlineLevel="1" collapsed="1" x14ac:dyDescent="0.25">
      <c r="C2112" s="9">
        <f>Альфа!$B$1129</f>
        <v>101402.99</v>
      </c>
    </row>
    <row r="2113" spans="2:3" hidden="1" outlineLevel="1" collapsed="1" x14ac:dyDescent="0.25">
      <c r="C2113" s="9">
        <f>Альфа!$B$1154</f>
        <v>75259.990000000005</v>
      </c>
    </row>
    <row r="2114" spans="2:3" hidden="1" outlineLevel="1" collapsed="1" x14ac:dyDescent="0.25">
      <c r="C2114" s="9">
        <f>Альфа!$B$1180</f>
        <v>124751.99</v>
      </c>
    </row>
    <row r="2115" spans="2:3" hidden="1" outlineLevel="1" collapsed="1" x14ac:dyDescent="0.25">
      <c r="C2115" s="9">
        <f>Альфа!$B$1206</f>
        <v>197956.99</v>
      </c>
    </row>
    <row r="2116" spans="2:3" hidden="1" outlineLevel="1" collapsed="1" x14ac:dyDescent="0.25">
      <c r="C2116" s="9">
        <f>Альфа!$B$1232</f>
        <v>147402.99</v>
      </c>
    </row>
    <row r="2117" spans="2:3" hidden="1" outlineLevel="1" collapsed="1" x14ac:dyDescent="0.25">
      <c r="B2117" t="s">
        <v>72</v>
      </c>
      <c r="C2117" s="9">
        <f>Бета!$B$13</f>
        <v>42579</v>
      </c>
    </row>
    <row r="2118" spans="2:3" hidden="1" outlineLevel="1" collapsed="1" x14ac:dyDescent="0.25">
      <c r="C2118" s="9">
        <f>Бета!$B$35</f>
        <v>42441</v>
      </c>
    </row>
    <row r="2119" spans="2:3" hidden="1" outlineLevel="1" collapsed="1" x14ac:dyDescent="0.25">
      <c r="C2119" s="9">
        <f>Бета!$B$57</f>
        <v>31792.99</v>
      </c>
    </row>
    <row r="2120" spans="2:3" hidden="1" outlineLevel="1" collapsed="1" x14ac:dyDescent="0.25">
      <c r="C2120" s="9">
        <f>Бета!$B$79</f>
        <v>33830</v>
      </c>
    </row>
    <row r="2121" spans="2:3" hidden="1" outlineLevel="1" collapsed="1" x14ac:dyDescent="0.25">
      <c r="C2121" s="9">
        <f>Бета!$B$101</f>
        <v>55914</v>
      </c>
    </row>
    <row r="2122" spans="2:3" hidden="1" outlineLevel="1" collapsed="1" x14ac:dyDescent="0.25">
      <c r="C2122" s="9">
        <f>Бета!$B$123</f>
        <v>63793</v>
      </c>
    </row>
    <row r="2123" spans="2:3" hidden="1" outlineLevel="1" collapsed="1" x14ac:dyDescent="0.25">
      <c r="C2123" s="9">
        <f>Бета!$B$145</f>
        <v>73218.990000000005</v>
      </c>
    </row>
    <row r="2124" spans="2:3" hidden="1" outlineLevel="1" collapsed="1" x14ac:dyDescent="0.25">
      <c r="C2124" s="9">
        <f>Бета!$B$167</f>
        <v>37695</v>
      </c>
    </row>
    <row r="2125" spans="2:3" hidden="1" outlineLevel="1" collapsed="1" x14ac:dyDescent="0.25">
      <c r="C2125" s="9">
        <f>Бета!$B$189</f>
        <v>37374</v>
      </c>
    </row>
    <row r="2126" spans="2:3" hidden="1" outlineLevel="1" collapsed="1" x14ac:dyDescent="0.25">
      <c r="C2126" s="9">
        <f>Бета!$B$211</f>
        <v>28256.49</v>
      </c>
    </row>
    <row r="2127" spans="2:3" hidden="1" outlineLevel="1" collapsed="1" x14ac:dyDescent="0.25">
      <c r="C2127" s="9">
        <f>Бета!$B$233</f>
        <v>27588.47</v>
      </c>
    </row>
    <row r="2128" spans="2:3" hidden="1" outlineLevel="1" collapsed="1" x14ac:dyDescent="0.25">
      <c r="C2128" s="9">
        <f>Бета!$B$255</f>
        <v>45977.49</v>
      </c>
    </row>
    <row r="2129" spans="3:3" hidden="1" outlineLevel="1" collapsed="1" x14ac:dyDescent="0.25">
      <c r="C2129" s="9">
        <f>Бета!$B$276</f>
        <v>48735.99</v>
      </c>
    </row>
    <row r="2130" spans="3:3" hidden="1" outlineLevel="1" collapsed="1" x14ac:dyDescent="0.25">
      <c r="C2130" s="9">
        <f>Бета!$B$298</f>
        <v>40355</v>
      </c>
    </row>
    <row r="2131" spans="3:3" hidden="1" outlineLevel="1" collapsed="1" x14ac:dyDescent="0.25">
      <c r="C2131" s="9">
        <f>Бета!$B$320</f>
        <v>13252</v>
      </c>
    </row>
    <row r="2132" spans="3:3" hidden="1" outlineLevel="1" collapsed="1" x14ac:dyDescent="0.25">
      <c r="C2132" s="9">
        <f>Бета!$B$341</f>
        <v>33678.44</v>
      </c>
    </row>
    <row r="2133" spans="3:3" hidden="1" outlineLevel="1" collapsed="1" x14ac:dyDescent="0.25">
      <c r="C2133" s="9">
        <f>Бета!$B$362</f>
        <v>30994.97</v>
      </c>
    </row>
    <row r="2134" spans="3:3" hidden="1" outlineLevel="1" collapsed="1" x14ac:dyDescent="0.25">
      <c r="C2134" s="9">
        <f>Бета!$B$383</f>
        <v>61958.49</v>
      </c>
    </row>
    <row r="2135" spans="3:3" hidden="1" outlineLevel="1" collapsed="1" x14ac:dyDescent="0.25">
      <c r="C2135" s="9">
        <f>Бета!$B$404</f>
        <v>55180.99</v>
      </c>
    </row>
    <row r="2136" spans="3:3" hidden="1" outlineLevel="1" collapsed="1" x14ac:dyDescent="0.25">
      <c r="C2136" s="9">
        <f>Бета!$B$425</f>
        <v>73734.990000000005</v>
      </c>
    </row>
    <row r="2137" spans="3:3" hidden="1" outlineLevel="1" collapsed="1" x14ac:dyDescent="0.25">
      <c r="C2137" s="9">
        <f>Бета!$B$446</f>
        <v>70653.490000000005</v>
      </c>
    </row>
    <row r="2138" spans="3:3" hidden="1" outlineLevel="1" collapsed="1" x14ac:dyDescent="0.25">
      <c r="C2138" s="9">
        <f>Бета!$B$467</f>
        <v>63445.98</v>
      </c>
    </row>
    <row r="2139" spans="3:3" hidden="1" outlineLevel="1" collapsed="1" x14ac:dyDescent="0.25">
      <c r="C2139" s="9">
        <f>Бета!$B$488</f>
        <v>14107.49</v>
      </c>
    </row>
    <row r="2140" spans="3:3" hidden="1" outlineLevel="1" collapsed="1" x14ac:dyDescent="0.25">
      <c r="C2140" s="9">
        <f>Бета!$B$509</f>
        <v>19502</v>
      </c>
    </row>
    <row r="2141" spans="3:3" hidden="1" outlineLevel="1" collapsed="1" x14ac:dyDescent="0.25">
      <c r="C2141" s="9">
        <f>Бета!$B$531</f>
        <v>19380</v>
      </c>
    </row>
    <row r="2142" spans="3:3" hidden="1" outlineLevel="1" collapsed="1" x14ac:dyDescent="0.25">
      <c r="C2142" s="9">
        <f>Бета!$B$550</f>
        <v>30781.98</v>
      </c>
    </row>
    <row r="2143" spans="3:3" hidden="1" outlineLevel="1" collapsed="1" x14ac:dyDescent="0.25">
      <c r="C2143" s="9">
        <f>Бета!$B$570</f>
        <v>70974.490000000005</v>
      </c>
    </row>
    <row r="2144" spans="3:3" hidden="1" outlineLevel="1" collapsed="1" x14ac:dyDescent="0.25">
      <c r="C2144" s="9">
        <f>Бета!$B$590</f>
        <v>25285</v>
      </c>
    </row>
    <row r="2145" spans="3:3" hidden="1" outlineLevel="1" collapsed="1" x14ac:dyDescent="0.25">
      <c r="C2145" s="9">
        <f>Бета!$B$609</f>
        <v>9703</v>
      </c>
    </row>
    <row r="2146" spans="3:3" hidden="1" outlineLevel="1" collapsed="1" x14ac:dyDescent="0.25">
      <c r="C2146" s="9">
        <f>Бета!$B$629</f>
        <v>14179.49</v>
      </c>
    </row>
    <row r="2147" spans="3:3" hidden="1" outlineLevel="1" collapsed="1" x14ac:dyDescent="0.25">
      <c r="C2147" s="9">
        <f>Бета!$B$649</f>
        <v>13721.5</v>
      </c>
    </row>
    <row r="2148" spans="3:3" hidden="1" outlineLevel="1" collapsed="1" x14ac:dyDescent="0.25">
      <c r="C2148" s="9">
        <f>Бета!$B$669</f>
        <v>38101.49</v>
      </c>
    </row>
    <row r="2149" spans="3:3" hidden="1" outlineLevel="1" collapsed="1" x14ac:dyDescent="0.25">
      <c r="C2149" s="9">
        <f>Бета!$B$690</f>
        <v>49758.5</v>
      </c>
    </row>
    <row r="2150" spans="3:3" hidden="1" outlineLevel="1" collapsed="1" x14ac:dyDescent="0.25">
      <c r="C2150" s="9">
        <f>Бета!$B$710</f>
        <v>37547.49</v>
      </c>
    </row>
    <row r="2151" spans="3:3" hidden="1" outlineLevel="1" collapsed="1" x14ac:dyDescent="0.25">
      <c r="C2151" s="9">
        <f>Бета!$B$731</f>
        <v>41609.94</v>
      </c>
    </row>
    <row r="2152" spans="3:3" hidden="1" outlineLevel="1" collapsed="1" x14ac:dyDescent="0.25">
      <c r="C2152" s="9">
        <f>Бета!$B$751</f>
        <v>49768.99</v>
      </c>
    </row>
    <row r="2153" spans="3:3" hidden="1" outlineLevel="1" collapsed="1" x14ac:dyDescent="0.25">
      <c r="C2153" s="9">
        <f>Бета!$B$771</f>
        <v>21786.5</v>
      </c>
    </row>
    <row r="2154" spans="3:3" hidden="1" outlineLevel="1" collapsed="1" x14ac:dyDescent="0.25">
      <c r="C2154" s="9">
        <f>Бета!$B$791</f>
        <v>22116</v>
      </c>
    </row>
    <row r="2155" spans="3:3" hidden="1" outlineLevel="1" collapsed="1" x14ac:dyDescent="0.25">
      <c r="C2155" s="9">
        <f>Бета!$B$811</f>
        <v>12834.99</v>
      </c>
    </row>
    <row r="2156" spans="3:3" hidden="1" outlineLevel="1" collapsed="1" x14ac:dyDescent="0.25">
      <c r="C2156" s="9">
        <f>Бета!$B$831</f>
        <v>27848.5</v>
      </c>
    </row>
    <row r="2157" spans="3:3" hidden="1" outlineLevel="1" collapsed="1" x14ac:dyDescent="0.25">
      <c r="C2157" s="9">
        <f>Бета!$B$851</f>
        <v>32449.98</v>
      </c>
    </row>
    <row r="2158" spans="3:3" hidden="1" outlineLevel="1" collapsed="1" x14ac:dyDescent="0.25">
      <c r="C2158" s="9">
        <f>Бета!$B$871</f>
        <v>39214.5</v>
      </c>
    </row>
    <row r="2159" spans="3:3" hidden="1" outlineLevel="1" collapsed="1" x14ac:dyDescent="0.25">
      <c r="C2159" s="9">
        <f>Бета!$B$891</f>
        <v>14023.5</v>
      </c>
    </row>
    <row r="2160" spans="3:3" hidden="1" outlineLevel="1" collapsed="1" x14ac:dyDescent="0.25">
      <c r="C2160" s="9">
        <f>Бета!$B$911</f>
        <v>13643</v>
      </c>
    </row>
    <row r="2161" spans="2:3" hidden="1" outlineLevel="1" collapsed="1" x14ac:dyDescent="0.25">
      <c r="C2161" s="9">
        <f>Бета!$B$930</f>
        <v>20593.5</v>
      </c>
    </row>
    <row r="2162" spans="2:3" hidden="1" outlineLevel="1" collapsed="1" x14ac:dyDescent="0.25">
      <c r="C2162" s="9">
        <f>Бета!$B$950</f>
        <v>20854</v>
      </c>
    </row>
    <row r="2163" spans="2:3" hidden="1" outlineLevel="1" collapsed="1" x14ac:dyDescent="0.25">
      <c r="C2163" s="9">
        <f>Бета!$B$970</f>
        <v>37273.5</v>
      </c>
    </row>
    <row r="2164" spans="2:3" hidden="1" outlineLevel="1" collapsed="1" x14ac:dyDescent="0.25">
      <c r="C2164" s="9">
        <f>Бета!$B$990</f>
        <v>45661</v>
      </c>
    </row>
    <row r="2165" spans="2:3" hidden="1" outlineLevel="1" collapsed="1" x14ac:dyDescent="0.25">
      <c r="C2165" s="9">
        <f>Бета!$B$1010</f>
        <v>20327</v>
      </c>
    </row>
    <row r="2166" spans="2:3" hidden="1" outlineLevel="1" collapsed="1" x14ac:dyDescent="0.25">
      <c r="B2166" t="s">
        <v>72</v>
      </c>
      <c r="C2166" s="9">
        <f>Гамма!$B$13</f>
        <v>66334</v>
      </c>
    </row>
    <row r="2167" spans="2:3" hidden="1" outlineLevel="1" collapsed="1" x14ac:dyDescent="0.25">
      <c r="C2167" s="9">
        <f>Гамма!$B$39</f>
        <v>78236</v>
      </c>
    </row>
    <row r="2168" spans="2:3" hidden="1" outlineLevel="1" collapsed="1" x14ac:dyDescent="0.25">
      <c r="C2168" s="9">
        <f>Гамма!$B$66</f>
        <v>85455</v>
      </c>
    </row>
    <row r="2169" spans="2:3" hidden="1" outlineLevel="1" collapsed="1" x14ac:dyDescent="0.25">
      <c r="C2169" s="9">
        <f>Гамма!$B$93</f>
        <v>94061</v>
      </c>
    </row>
    <row r="2170" spans="2:3" hidden="1" outlineLevel="1" collapsed="1" x14ac:dyDescent="0.25">
      <c r="C2170" s="9">
        <f>Гамма!$B$119</f>
        <v>150426</v>
      </c>
    </row>
    <row r="2171" spans="2:3" hidden="1" outlineLevel="1" collapsed="1" x14ac:dyDescent="0.25">
      <c r="C2171" s="9">
        <f>Гамма!$B$145</f>
        <v>146463</v>
      </c>
    </row>
    <row r="2172" spans="2:3" hidden="1" outlineLevel="1" collapsed="1" x14ac:dyDescent="0.25">
      <c r="C2172" s="9">
        <f>Гамма!$B$171</f>
        <v>90248</v>
      </c>
    </row>
    <row r="2173" spans="2:3" hidden="1" outlineLevel="1" collapsed="1" x14ac:dyDescent="0.25">
      <c r="C2173" s="9">
        <f>Гамма!$B$198</f>
        <v>76558</v>
      </c>
    </row>
    <row r="2174" spans="2:3" hidden="1" outlineLevel="1" collapsed="1" x14ac:dyDescent="0.25">
      <c r="C2174" s="9">
        <f>Гамма!$B$225</f>
        <v>113827</v>
      </c>
    </row>
    <row r="2175" spans="2:3" hidden="1" outlineLevel="1" collapsed="1" x14ac:dyDescent="0.25">
      <c r="C2175" s="9">
        <f>Гамма!$B$251</f>
        <v>102343</v>
      </c>
    </row>
    <row r="2176" spans="2:3" hidden="1" outlineLevel="1" collapsed="1" x14ac:dyDescent="0.25">
      <c r="C2176" s="9">
        <f>Гамма!$B$277</f>
        <v>114008</v>
      </c>
    </row>
    <row r="2177" spans="3:3" hidden="1" outlineLevel="1" collapsed="1" x14ac:dyDescent="0.25">
      <c r="C2177" s="9">
        <f>Гамма!$B$303</f>
        <v>170026</v>
      </c>
    </row>
    <row r="2178" spans="3:3" hidden="1" outlineLevel="1" collapsed="1" x14ac:dyDescent="0.25">
      <c r="C2178" s="9">
        <f>Гамма!$B$329</f>
        <v>287561</v>
      </c>
    </row>
    <row r="2179" spans="3:3" hidden="1" outlineLevel="1" collapsed="1" x14ac:dyDescent="0.25">
      <c r="C2179" s="9">
        <f>Гамма!$B$355</f>
        <v>225206</v>
      </c>
    </row>
    <row r="2180" spans="3:3" hidden="1" outlineLevel="1" collapsed="1" x14ac:dyDescent="0.25">
      <c r="C2180" s="9">
        <f>Гамма!$B$380</f>
        <v>108929</v>
      </c>
    </row>
    <row r="2181" spans="3:3" hidden="1" outlineLevel="1" collapsed="1" x14ac:dyDescent="0.25">
      <c r="C2181" s="9">
        <f>Гамма!$B$406</f>
        <v>102248</v>
      </c>
    </row>
    <row r="2182" spans="3:3" hidden="1" outlineLevel="1" collapsed="1" x14ac:dyDescent="0.25">
      <c r="C2182" s="9">
        <f>Гамма!$B$433</f>
        <v>128926.75</v>
      </c>
    </row>
    <row r="2183" spans="3:3" hidden="1" outlineLevel="1" collapsed="1" x14ac:dyDescent="0.25">
      <c r="C2183" s="9">
        <f>Гамма!$B$460</f>
        <v>215689.75</v>
      </c>
    </row>
    <row r="2184" spans="3:3" hidden="1" outlineLevel="1" collapsed="1" x14ac:dyDescent="0.25">
      <c r="C2184" s="9">
        <f>Гамма!$B$486</f>
        <v>229029</v>
      </c>
    </row>
    <row r="2185" spans="3:3" hidden="1" outlineLevel="1" collapsed="1" x14ac:dyDescent="0.25">
      <c r="C2185" s="9">
        <f>Гамма!$B$512</f>
        <v>350848</v>
      </c>
    </row>
    <row r="2186" spans="3:3" hidden="1" outlineLevel="1" collapsed="1" x14ac:dyDescent="0.25">
      <c r="C2186" s="9">
        <f>Гамма!$B$538</f>
        <v>228410</v>
      </c>
    </row>
    <row r="2187" spans="3:3" hidden="1" outlineLevel="1" collapsed="1" x14ac:dyDescent="0.25">
      <c r="C2187" s="9">
        <f>Гамма!$B$564</f>
        <v>128585</v>
      </c>
    </row>
    <row r="2188" spans="3:3" hidden="1" outlineLevel="1" collapsed="1" x14ac:dyDescent="0.25">
      <c r="C2188" s="9">
        <f>Гамма!$B$589</f>
        <v>58394</v>
      </c>
    </row>
    <row r="2189" spans="3:3" hidden="1" outlineLevel="1" collapsed="1" x14ac:dyDescent="0.25">
      <c r="C2189" s="9">
        <f>Гамма!$B$615</f>
        <v>77604.789999999994</v>
      </c>
    </row>
    <row r="2190" spans="3:3" hidden="1" outlineLevel="1" collapsed="1" x14ac:dyDescent="0.25">
      <c r="C2190" s="9">
        <f>Гамма!$B$641</f>
        <v>93506</v>
      </c>
    </row>
    <row r="2191" spans="3:3" hidden="1" outlineLevel="1" collapsed="1" x14ac:dyDescent="0.25">
      <c r="C2191" s="9">
        <f>Гамма!$B$667</f>
        <v>101940</v>
      </c>
    </row>
    <row r="2192" spans="3:3" hidden="1" outlineLevel="1" collapsed="1" x14ac:dyDescent="0.25">
      <c r="C2192" s="9">
        <f>Гамма!$B$693</f>
        <v>162362</v>
      </c>
    </row>
    <row r="2193" spans="3:3" hidden="1" outlineLevel="1" collapsed="1" x14ac:dyDescent="0.25">
      <c r="C2193" s="9">
        <f>Гамма!$B$719</f>
        <v>103743</v>
      </c>
    </row>
    <row r="2194" spans="3:3" hidden="1" outlineLevel="1" collapsed="1" x14ac:dyDescent="0.25">
      <c r="C2194" s="9">
        <f>Гамма!$B$743</f>
        <v>67516</v>
      </c>
    </row>
    <row r="2195" spans="3:3" hidden="1" outlineLevel="1" collapsed="1" x14ac:dyDescent="0.25">
      <c r="C2195" s="9">
        <f>Гамма!$B$769</f>
        <v>53754</v>
      </c>
    </row>
    <row r="2196" spans="3:3" hidden="1" outlineLevel="1" collapsed="1" x14ac:dyDescent="0.25">
      <c r="C2196" s="9">
        <f>Гамма!$B$793</f>
        <v>76501</v>
      </c>
    </row>
    <row r="2197" spans="3:3" hidden="1" outlineLevel="1" collapsed="1" x14ac:dyDescent="0.25">
      <c r="C2197" s="9">
        <f>Гамма!$B$819</f>
        <v>47949</v>
      </c>
    </row>
    <row r="2198" spans="3:3" hidden="1" outlineLevel="1" collapsed="1" x14ac:dyDescent="0.25">
      <c r="C2198" s="9">
        <f>Гамма!$B$845</f>
        <v>62686</v>
      </c>
    </row>
    <row r="2199" spans="3:3" hidden="1" outlineLevel="1" collapsed="1" x14ac:dyDescent="0.25">
      <c r="C2199" s="9">
        <f>Гамма!$B$871</f>
        <v>199743</v>
      </c>
    </row>
    <row r="2200" spans="3:3" hidden="1" outlineLevel="1" collapsed="1" x14ac:dyDescent="0.25">
      <c r="C2200" s="9">
        <f>Гамма!$B$897</f>
        <v>139069</v>
      </c>
    </row>
    <row r="2201" spans="3:3" hidden="1" outlineLevel="1" collapsed="1" x14ac:dyDescent="0.25">
      <c r="C2201" s="9">
        <f>Гамма!$B$923</f>
        <v>60940</v>
      </c>
    </row>
    <row r="2202" spans="3:3" hidden="1" outlineLevel="1" collapsed="1" x14ac:dyDescent="0.25">
      <c r="C2202" s="9">
        <f>Гамма!$B$948</f>
        <v>44541</v>
      </c>
    </row>
    <row r="2203" spans="3:3" hidden="1" outlineLevel="1" collapsed="1" x14ac:dyDescent="0.25">
      <c r="C2203" s="9">
        <f>Гамма!$B$974</f>
        <v>64107</v>
      </c>
    </row>
    <row r="2204" spans="3:3" hidden="1" outlineLevel="1" collapsed="1" x14ac:dyDescent="0.25">
      <c r="C2204" s="9">
        <f>Гамма!$B$1000</f>
        <v>65195</v>
      </c>
    </row>
    <row r="2205" spans="3:3" hidden="1" outlineLevel="1" collapsed="1" x14ac:dyDescent="0.25">
      <c r="C2205" s="9">
        <f>Гамма!$B$1025</f>
        <v>90523</v>
      </c>
    </row>
    <row r="2206" spans="3:3" hidden="1" outlineLevel="1" collapsed="1" x14ac:dyDescent="0.25">
      <c r="C2206" s="9">
        <f>Гамма!$B$1049</f>
        <v>95905</v>
      </c>
    </row>
    <row r="2207" spans="3:3" hidden="1" outlineLevel="1" collapsed="1" x14ac:dyDescent="0.25">
      <c r="C2207" s="9">
        <f>Гамма!$B$1074</f>
        <v>84607</v>
      </c>
    </row>
    <row r="2208" spans="3:3" hidden="1" outlineLevel="1" collapsed="1" x14ac:dyDescent="0.25">
      <c r="C2208" s="9">
        <f>Гамма!$B$1100</f>
        <v>46461</v>
      </c>
    </row>
    <row r="2209" spans="2:3" hidden="1" outlineLevel="1" collapsed="1" x14ac:dyDescent="0.25">
      <c r="C2209" s="9">
        <f>Гамма!$B$1124</f>
        <v>81333</v>
      </c>
    </row>
    <row r="2210" spans="2:3" hidden="1" outlineLevel="1" collapsed="1" x14ac:dyDescent="0.25">
      <c r="C2210" s="9">
        <f>Гамма!$B$1148</f>
        <v>60029</v>
      </c>
    </row>
    <row r="2211" spans="2:3" hidden="1" outlineLevel="1" collapsed="1" x14ac:dyDescent="0.25">
      <c r="C2211" s="9">
        <f>Гамма!$B$1174</f>
        <v>73546</v>
      </c>
    </row>
    <row r="2212" spans="2:3" hidden="1" outlineLevel="1" collapsed="1" x14ac:dyDescent="0.25">
      <c r="C2212" s="9">
        <f>Гамма!$B$1198</f>
        <v>93542</v>
      </c>
    </row>
    <row r="2213" spans="2:3" hidden="1" outlineLevel="1" collapsed="1" x14ac:dyDescent="0.25">
      <c r="C2213" s="9">
        <f>Гамма!$B$1223</f>
        <v>146704</v>
      </c>
    </row>
    <row r="2214" spans="2:3" hidden="1" outlineLevel="1" collapsed="1" x14ac:dyDescent="0.25">
      <c r="C2214" s="9">
        <f>Гамма!$B$1248</f>
        <v>69224</v>
      </c>
    </row>
    <row r="2215" spans="2:3" hidden="1" outlineLevel="1" collapsed="1" x14ac:dyDescent="0.25">
      <c r="B2215" t="s">
        <v>72</v>
      </c>
      <c r="C2215" s="9">
        <f>Дельта!$B$13</f>
        <v>129453.31</v>
      </c>
    </row>
    <row r="2216" spans="2:3" hidden="1" outlineLevel="1" collapsed="1" x14ac:dyDescent="0.25">
      <c r="C2216" s="9">
        <f>Дельта!$B$39</f>
        <v>131088.99</v>
      </c>
    </row>
    <row r="2217" spans="2:3" hidden="1" outlineLevel="1" collapsed="1" x14ac:dyDescent="0.25">
      <c r="C2217" s="9">
        <f>Дельта!$B$65</f>
        <v>109152.44</v>
      </c>
    </row>
    <row r="2218" spans="2:3" hidden="1" outlineLevel="1" collapsed="1" x14ac:dyDescent="0.25">
      <c r="C2218" s="9">
        <f>Дельта!$B$91</f>
        <v>155922</v>
      </c>
    </row>
    <row r="2219" spans="2:3" hidden="1" outlineLevel="1" collapsed="1" x14ac:dyDescent="0.25">
      <c r="C2219" s="9">
        <f>Дельта!$B$117</f>
        <v>183719</v>
      </c>
    </row>
    <row r="2220" spans="2:3" hidden="1" outlineLevel="1" collapsed="1" x14ac:dyDescent="0.25">
      <c r="C2220" s="9">
        <f>Дельта!$B$143</f>
        <v>222104</v>
      </c>
    </row>
    <row r="2221" spans="2:3" hidden="1" outlineLevel="1" collapsed="1" x14ac:dyDescent="0.25">
      <c r="C2221" s="9">
        <f>Дельта!$B$168</f>
        <v>169916.43</v>
      </c>
    </row>
    <row r="2222" spans="2:3" hidden="1" outlineLevel="1" collapsed="1" x14ac:dyDescent="0.25">
      <c r="C2222" s="9">
        <f>Дельта!$B$194</f>
        <v>165894</v>
      </c>
    </row>
    <row r="2223" spans="2:3" hidden="1" outlineLevel="1" collapsed="1" x14ac:dyDescent="0.25">
      <c r="C2223" s="9">
        <f>Дельта!$B$220</f>
        <v>130725.97</v>
      </c>
    </row>
    <row r="2224" spans="2:3" hidden="1" outlineLevel="1" collapsed="1" x14ac:dyDescent="0.25">
      <c r="C2224" s="9">
        <f>Дельта!$B$245</f>
        <v>109692</v>
      </c>
    </row>
    <row r="2225" spans="3:3" hidden="1" outlineLevel="1" collapsed="1" x14ac:dyDescent="0.25">
      <c r="C2225" s="9">
        <f>Дельта!$B$271</f>
        <v>101394</v>
      </c>
    </row>
    <row r="2226" spans="3:3" hidden="1" outlineLevel="1" collapsed="1" x14ac:dyDescent="0.25">
      <c r="C2226" s="9">
        <f>Дельта!$B$297</f>
        <v>144921</v>
      </c>
    </row>
    <row r="2227" spans="3:3" hidden="1" outlineLevel="1" collapsed="1" x14ac:dyDescent="0.25">
      <c r="C2227" s="9">
        <f>Дельта!$B$323</f>
        <v>219167</v>
      </c>
    </row>
    <row r="2228" spans="3:3" hidden="1" outlineLevel="1" collapsed="1" x14ac:dyDescent="0.25">
      <c r="C2228" s="9">
        <f>Дельта!$B$349</f>
        <v>176476</v>
      </c>
    </row>
    <row r="2229" spans="3:3" hidden="1" outlineLevel="1" collapsed="1" x14ac:dyDescent="0.25">
      <c r="C2229" s="9">
        <f>Дельта!$B$375</f>
        <v>110601</v>
      </c>
    </row>
    <row r="2230" spans="3:3" hidden="1" outlineLevel="1" collapsed="1" x14ac:dyDescent="0.25">
      <c r="C2230" s="9">
        <f>Дельта!$B$401</f>
        <v>130957</v>
      </c>
    </row>
    <row r="2231" spans="3:3" hidden="1" outlineLevel="1" collapsed="1" x14ac:dyDescent="0.25">
      <c r="C2231" s="9">
        <f>Дельта!$B$427</f>
        <v>118887</v>
      </c>
    </row>
    <row r="2232" spans="3:3" hidden="1" outlineLevel="1" collapsed="1" x14ac:dyDescent="0.25">
      <c r="C2232" s="9">
        <f>Дельта!$B$453</f>
        <v>163223</v>
      </c>
    </row>
    <row r="2233" spans="3:3" hidden="1" outlineLevel="1" collapsed="1" x14ac:dyDescent="0.25">
      <c r="C2233" s="9">
        <f>Дельта!$B$479</f>
        <v>253327</v>
      </c>
    </row>
    <row r="2234" spans="3:3" hidden="1" outlineLevel="1" collapsed="1" x14ac:dyDescent="0.25">
      <c r="C2234" s="9">
        <f>Дельта!$B$505</f>
        <v>318152</v>
      </c>
    </row>
    <row r="2235" spans="3:3" hidden="1" outlineLevel="1" collapsed="1" x14ac:dyDescent="0.25">
      <c r="C2235" s="9">
        <f>Дельта!$B$531</f>
        <v>268284</v>
      </c>
    </row>
    <row r="2236" spans="3:3" hidden="1" outlineLevel="1" collapsed="1" x14ac:dyDescent="0.25">
      <c r="C2236" s="9">
        <f>Дельта!$B$557</f>
        <v>185083</v>
      </c>
    </row>
    <row r="2237" spans="3:3" hidden="1" outlineLevel="1" collapsed="1" x14ac:dyDescent="0.25">
      <c r="C2237" s="9">
        <f>Дельта!$B$583</f>
        <v>85269</v>
      </c>
    </row>
    <row r="2238" spans="3:3" hidden="1" outlineLevel="1" collapsed="1" x14ac:dyDescent="0.25">
      <c r="C2238" s="9">
        <f>Дельта!$B$609</f>
        <v>87342</v>
      </c>
    </row>
    <row r="2239" spans="3:3" hidden="1" outlineLevel="1" collapsed="1" x14ac:dyDescent="0.25">
      <c r="C2239" s="9">
        <f>Дельта!$B$634</f>
        <v>95147</v>
      </c>
    </row>
    <row r="2240" spans="3:3" hidden="1" outlineLevel="1" collapsed="1" x14ac:dyDescent="0.25">
      <c r="C2240" s="9">
        <f>Дельта!$B$660</f>
        <v>98776</v>
      </c>
    </row>
    <row r="2241" spans="3:3" hidden="1" outlineLevel="1" collapsed="1" x14ac:dyDescent="0.25">
      <c r="C2241" s="9">
        <f>Дельта!$B$687</f>
        <v>140624</v>
      </c>
    </row>
    <row r="2242" spans="3:3" hidden="1" outlineLevel="1" collapsed="1" x14ac:dyDescent="0.25">
      <c r="C2242" s="9">
        <f>Дельта!$B$713</f>
        <v>138518</v>
      </c>
    </row>
    <row r="2243" spans="3:3" hidden="1" outlineLevel="1" collapsed="1" x14ac:dyDescent="0.25">
      <c r="C2243" s="9">
        <f>Дельта!$B$738</f>
        <v>99457</v>
      </c>
    </row>
    <row r="2244" spans="3:3" hidden="1" outlineLevel="1" collapsed="1" x14ac:dyDescent="0.25">
      <c r="C2244" s="9">
        <f>Дельта!$B$764</f>
        <v>98083</v>
      </c>
    </row>
    <row r="2245" spans="3:3" hidden="1" outlineLevel="1" collapsed="1" x14ac:dyDescent="0.25">
      <c r="C2245" s="9">
        <f>Дельта!$B$789</f>
        <v>121136</v>
      </c>
    </row>
    <row r="2246" spans="3:3" hidden="1" outlineLevel="1" collapsed="1" x14ac:dyDescent="0.25">
      <c r="C2246" s="9">
        <f>Дельта!$B$815</f>
        <v>92511</v>
      </c>
    </row>
    <row r="2247" spans="3:3" hidden="1" outlineLevel="1" collapsed="1" x14ac:dyDescent="0.25">
      <c r="C2247" s="9">
        <f>Дельта!$B$841</f>
        <v>152900</v>
      </c>
    </row>
    <row r="2248" spans="3:3" hidden="1" outlineLevel="1" collapsed="1" x14ac:dyDescent="0.25">
      <c r="C2248" s="9">
        <f>Дельта!$B$867</f>
        <v>184296</v>
      </c>
    </row>
    <row r="2249" spans="3:3" hidden="1" outlineLevel="1" collapsed="1" x14ac:dyDescent="0.25">
      <c r="C2249" s="9">
        <f>Дельта!$B$893</f>
        <v>154873</v>
      </c>
    </row>
    <row r="2250" spans="3:3" hidden="1" outlineLevel="1" collapsed="1" x14ac:dyDescent="0.25">
      <c r="C2250" s="9">
        <f>Дельта!$B$919</f>
        <v>119466</v>
      </c>
    </row>
    <row r="2251" spans="3:3" hidden="1" outlineLevel="1" collapsed="1" x14ac:dyDescent="0.25">
      <c r="C2251" s="9">
        <f>Дельта!$B$944</f>
        <v>83975</v>
      </c>
    </row>
    <row r="2252" spans="3:3" hidden="1" outlineLevel="1" collapsed="1" x14ac:dyDescent="0.25">
      <c r="C2252" s="9">
        <f>Дельта!$B$970</f>
        <v>67229</v>
      </c>
    </row>
    <row r="2253" spans="3:3" hidden="1" outlineLevel="1" collapsed="1" x14ac:dyDescent="0.25">
      <c r="C2253" s="9">
        <f>Дельта!$B$995</f>
        <v>71194</v>
      </c>
    </row>
    <row r="2254" spans="3:3" hidden="1" outlineLevel="1" collapsed="1" x14ac:dyDescent="0.25">
      <c r="C2254" s="9">
        <f>Дельта!$B$1021</f>
        <v>66892</v>
      </c>
    </row>
    <row r="2255" spans="3:3" hidden="1" outlineLevel="1" collapsed="1" x14ac:dyDescent="0.25">
      <c r="C2255" s="9">
        <f>Дельта!$B$1046</f>
        <v>85482</v>
      </c>
    </row>
    <row r="2256" spans="3:3" hidden="1" outlineLevel="1" collapsed="1" x14ac:dyDescent="0.25">
      <c r="C2256" s="9">
        <f>Дельта!$B$1072</f>
        <v>66559</v>
      </c>
    </row>
    <row r="2257" spans="1:3" hidden="1" outlineLevel="1" collapsed="1" x14ac:dyDescent="0.25">
      <c r="C2257" s="9">
        <f>Дельта!$B$1096</f>
        <v>74694</v>
      </c>
    </row>
    <row r="2258" spans="1:3" hidden="1" outlineLevel="1" collapsed="1" x14ac:dyDescent="0.25">
      <c r="C2258" s="9">
        <f>Дельта!$B$1121</f>
        <v>50208</v>
      </c>
    </row>
    <row r="2259" spans="1:3" hidden="1" outlineLevel="1" collapsed="1" x14ac:dyDescent="0.25">
      <c r="C2259" s="9">
        <f>Дельта!$B$1146</f>
        <v>54551</v>
      </c>
    </row>
    <row r="2260" spans="1:3" hidden="1" outlineLevel="1" collapsed="1" x14ac:dyDescent="0.25">
      <c r="C2260" s="9">
        <f>Дельта!$B$1170</f>
        <v>60243</v>
      </c>
    </row>
    <row r="2261" spans="1:3" hidden="1" outlineLevel="1" collapsed="1" x14ac:dyDescent="0.25">
      <c r="C2261" s="9">
        <f>Дельта!$B$1193</f>
        <v>107077</v>
      </c>
    </row>
    <row r="2262" spans="1:3" hidden="1" outlineLevel="1" collapsed="1" x14ac:dyDescent="0.25">
      <c r="C2262" s="9">
        <f>Дельта!$B$1219</f>
        <v>121411</v>
      </c>
    </row>
    <row r="2263" spans="1:3" hidden="1" outlineLevel="1" collapsed="1" x14ac:dyDescent="0.25">
      <c r="C2263" s="9">
        <f>Дельта!$B$1243</f>
        <v>52801</v>
      </c>
    </row>
    <row r="2264" spans="1:3" collapsed="1" x14ac:dyDescent="0.25">
      <c r="A2264" t="s">
        <v>13</v>
      </c>
      <c r="C2264" s="9">
        <f>SUM(C2068:C2263)</f>
        <v>23190621.260000005</v>
      </c>
    </row>
    <row r="2265" spans="1:3" hidden="1" outlineLevel="1" x14ac:dyDescent="0.25">
      <c r="B2265" t="s">
        <v>72</v>
      </c>
      <c r="C2265" s="9">
        <f>Альфа!$B$14</f>
        <v>21356.6</v>
      </c>
    </row>
    <row r="2266" spans="1:3" hidden="1" outlineLevel="1" collapsed="1" x14ac:dyDescent="0.25">
      <c r="C2266" s="9">
        <f>Альфа!$B$40</f>
        <v>54630.6</v>
      </c>
    </row>
    <row r="2267" spans="1:3" hidden="1" outlineLevel="1" collapsed="1" x14ac:dyDescent="0.25">
      <c r="C2267" s="9">
        <f>Альфа!$B$66</f>
        <v>32340</v>
      </c>
    </row>
    <row r="2268" spans="1:3" hidden="1" outlineLevel="1" collapsed="1" x14ac:dyDescent="0.25">
      <c r="C2268" s="9">
        <f>Альфа!$B$92</f>
        <v>20418.400000000001</v>
      </c>
    </row>
    <row r="2269" spans="1:3" hidden="1" outlineLevel="1" collapsed="1" x14ac:dyDescent="0.25">
      <c r="C2269" s="9">
        <f>Альфа!$B$118</f>
        <v>16249.6</v>
      </c>
    </row>
    <row r="2270" spans="1:3" hidden="1" outlineLevel="1" collapsed="1" x14ac:dyDescent="0.25">
      <c r="C2270" s="9">
        <f>Альфа!$B$145</f>
        <v>21282.799999999999</v>
      </c>
    </row>
    <row r="2271" spans="1:3" hidden="1" outlineLevel="1" collapsed="1" x14ac:dyDescent="0.25">
      <c r="C2271" s="9">
        <f>Альфа!$B$171</f>
        <v>20477.2</v>
      </c>
    </row>
    <row r="2272" spans="1:3" hidden="1" outlineLevel="1" collapsed="1" x14ac:dyDescent="0.25">
      <c r="C2272" s="9">
        <f>Альфа!$B$197</f>
        <v>16978.400000000001</v>
      </c>
    </row>
    <row r="2273" spans="3:3" hidden="1" outlineLevel="1" collapsed="1" x14ac:dyDescent="0.25">
      <c r="C2273" s="9">
        <f>Альфа!$B$223</f>
        <v>7830.8</v>
      </c>
    </row>
    <row r="2274" spans="3:3" hidden="1" outlineLevel="1" collapsed="1" x14ac:dyDescent="0.25">
      <c r="C2274" s="9">
        <f>Альфа!$B$250</f>
        <v>11204.2</v>
      </c>
    </row>
    <row r="2275" spans="3:3" hidden="1" outlineLevel="1" collapsed="1" x14ac:dyDescent="0.25">
      <c r="C2275" s="9">
        <f>Альфа!$B$276</f>
        <v>15134.4</v>
      </c>
    </row>
    <row r="2276" spans="3:3" hidden="1" outlineLevel="1" collapsed="1" x14ac:dyDescent="0.25">
      <c r="C2276" s="9">
        <f>Альфа!$B$302</f>
        <v>62433.2</v>
      </c>
    </row>
    <row r="2277" spans="3:3" hidden="1" outlineLevel="1" collapsed="1" x14ac:dyDescent="0.25">
      <c r="C2277" s="9">
        <f>Альфа!$B$328</f>
        <v>24993.200000000001</v>
      </c>
    </row>
    <row r="2278" spans="3:3" hidden="1" outlineLevel="1" collapsed="1" x14ac:dyDescent="0.25">
      <c r="C2278" s="9">
        <f>Альфа!$B$354</f>
        <v>16439.8</v>
      </c>
    </row>
    <row r="2279" spans="3:3" hidden="1" outlineLevel="1" collapsed="1" x14ac:dyDescent="0.25">
      <c r="C2279" s="9">
        <f>Альфа!$B$381</f>
        <v>12335</v>
      </c>
    </row>
    <row r="2280" spans="3:3" hidden="1" outlineLevel="1" collapsed="1" x14ac:dyDescent="0.25">
      <c r="C2280" s="9">
        <f>Альфа!$B$407</f>
        <v>14643.6</v>
      </c>
    </row>
    <row r="2281" spans="3:3" hidden="1" outlineLevel="1" collapsed="1" x14ac:dyDescent="0.25">
      <c r="C2281" s="9">
        <f>Альфа!$B$433</f>
        <v>12756.8</v>
      </c>
    </row>
    <row r="2282" spans="3:3" hidden="1" outlineLevel="1" collapsed="1" x14ac:dyDescent="0.25">
      <c r="C2282" s="9">
        <f>Альфа!$B$458</f>
        <v>12744.2</v>
      </c>
    </row>
    <row r="2283" spans="3:3" hidden="1" outlineLevel="1" collapsed="1" x14ac:dyDescent="0.25">
      <c r="C2283" s="9">
        <f>Альфа!$B$484</f>
        <v>28312.400000000001</v>
      </c>
    </row>
    <row r="2284" spans="3:3" hidden="1" outlineLevel="1" collapsed="1" x14ac:dyDescent="0.25">
      <c r="C2284" s="9">
        <f>Альфа!$B$509</f>
        <v>7532.2</v>
      </c>
    </row>
    <row r="2285" spans="3:3" hidden="1" outlineLevel="1" collapsed="1" x14ac:dyDescent="0.25">
      <c r="C2285" s="9">
        <f>Альфа!$B$534</f>
        <v>36595.4</v>
      </c>
    </row>
    <row r="2286" spans="3:3" hidden="1" outlineLevel="1" collapsed="1" x14ac:dyDescent="0.25">
      <c r="C2286" s="9">
        <f>Альфа!$B$559</f>
        <v>29137</v>
      </c>
    </row>
    <row r="2287" spans="3:3" hidden="1" outlineLevel="1" collapsed="1" x14ac:dyDescent="0.25">
      <c r="C2287" s="9">
        <f>Альфа!$B$584</f>
        <v>12133.8</v>
      </c>
    </row>
    <row r="2288" spans="3:3" hidden="1" outlineLevel="1" collapsed="1" x14ac:dyDescent="0.25">
      <c r="C2288" s="9">
        <f>Альфа!$B$608</f>
        <v>18797.8</v>
      </c>
    </row>
    <row r="2289" spans="3:3" hidden="1" outlineLevel="1" collapsed="1" x14ac:dyDescent="0.25">
      <c r="C2289" s="9">
        <f>Альфа!$B$633</f>
        <v>14189.4</v>
      </c>
    </row>
    <row r="2290" spans="3:3" hidden="1" outlineLevel="1" collapsed="1" x14ac:dyDescent="0.25">
      <c r="C2290" s="9">
        <f>Альфа!$B$658</f>
        <v>11876.2</v>
      </c>
    </row>
    <row r="2291" spans="3:3" hidden="1" outlineLevel="1" collapsed="1" x14ac:dyDescent="0.25">
      <c r="C2291" s="9">
        <f>Альфа!$B$683</f>
        <v>21592.6</v>
      </c>
    </row>
    <row r="2292" spans="3:3" hidden="1" outlineLevel="1" collapsed="1" x14ac:dyDescent="0.25">
      <c r="C2292" s="9">
        <f>Альфа!$B$708</f>
        <v>16963.2</v>
      </c>
    </row>
    <row r="2293" spans="3:3" hidden="1" outlineLevel="1" collapsed="1" x14ac:dyDescent="0.25">
      <c r="C2293" s="9">
        <f>Альфа!$B$733</f>
        <v>6385.2</v>
      </c>
    </row>
    <row r="2294" spans="3:3" hidden="1" outlineLevel="1" collapsed="1" x14ac:dyDescent="0.25">
      <c r="C2294" s="9">
        <f>Альфа!$B$758</f>
        <v>14018.6</v>
      </c>
    </row>
    <row r="2295" spans="3:3" hidden="1" outlineLevel="1" collapsed="1" x14ac:dyDescent="0.25">
      <c r="C2295" s="9">
        <f>Альфа!$B$783</f>
        <v>13294.8</v>
      </c>
    </row>
    <row r="2296" spans="3:3" hidden="1" outlineLevel="1" collapsed="1" x14ac:dyDescent="0.25">
      <c r="C2296" s="9">
        <f>Альфа!$B$806</f>
        <v>9482.2000000000007</v>
      </c>
    </row>
    <row r="2297" spans="3:3" hidden="1" outlineLevel="1" collapsed="1" x14ac:dyDescent="0.25">
      <c r="C2297" s="9">
        <f>Альфа!$B$830</f>
        <v>21075.4</v>
      </c>
    </row>
    <row r="2298" spans="3:3" hidden="1" outlineLevel="1" collapsed="1" x14ac:dyDescent="0.25">
      <c r="C2298" s="9">
        <f>Альфа!$B$855</f>
        <v>38052.6</v>
      </c>
    </row>
    <row r="2299" spans="3:3" hidden="1" outlineLevel="1" collapsed="1" x14ac:dyDescent="0.25">
      <c r="C2299" s="9">
        <f>Альфа!$B$880</f>
        <v>10136.6</v>
      </c>
    </row>
    <row r="2300" spans="3:3" hidden="1" outlineLevel="1" collapsed="1" x14ac:dyDescent="0.25">
      <c r="C2300" s="9">
        <f>Альфа!$B$905</f>
        <v>9237.7999999999993</v>
      </c>
    </row>
    <row r="2301" spans="3:3" hidden="1" outlineLevel="1" collapsed="1" x14ac:dyDescent="0.25">
      <c r="C2301" s="9">
        <f>Альфа!$B$930</f>
        <v>14253.6</v>
      </c>
    </row>
    <row r="2302" spans="3:3" hidden="1" outlineLevel="1" collapsed="1" x14ac:dyDescent="0.25">
      <c r="C2302" s="9">
        <f>Альфа!$B$955</f>
        <v>1877.4</v>
      </c>
    </row>
    <row r="2303" spans="3:3" hidden="1" outlineLevel="1" collapsed="1" x14ac:dyDescent="0.25">
      <c r="C2303" s="9">
        <f>Альфа!$B$979</f>
        <v>7783.8</v>
      </c>
    </row>
    <row r="2304" spans="3:3" hidden="1" outlineLevel="1" collapsed="1" x14ac:dyDescent="0.25">
      <c r="C2304" s="9">
        <f>Альфа!$B$1005</f>
        <v>11406</v>
      </c>
    </row>
    <row r="2305" spans="2:3" hidden="1" outlineLevel="1" collapsed="1" x14ac:dyDescent="0.25">
      <c r="C2305" s="9">
        <f>Альфа!$B$1030</f>
        <v>8598.7999999999993</v>
      </c>
    </row>
    <row r="2306" spans="2:3" hidden="1" outlineLevel="1" collapsed="1" x14ac:dyDescent="0.25">
      <c r="C2306" s="9">
        <f>Альфа!$B$1056</f>
        <v>7485</v>
      </c>
    </row>
    <row r="2307" spans="2:3" hidden="1" outlineLevel="1" collapsed="1" x14ac:dyDescent="0.25">
      <c r="C2307" s="9">
        <f>Альфа!$B$1081</f>
        <v>17976.2</v>
      </c>
    </row>
    <row r="2308" spans="2:3" hidden="1" outlineLevel="1" collapsed="1" x14ac:dyDescent="0.25">
      <c r="C2308" s="9">
        <f>Альфа!$B$1105</f>
        <v>11419.8</v>
      </c>
    </row>
    <row r="2309" spans="2:3" hidden="1" outlineLevel="1" collapsed="1" x14ac:dyDescent="0.25">
      <c r="C2309" s="9">
        <f>Альфа!$B$1130</f>
        <v>11618.4</v>
      </c>
    </row>
    <row r="2310" spans="2:3" hidden="1" outlineLevel="1" collapsed="1" x14ac:dyDescent="0.25">
      <c r="C2310" s="9">
        <f>Альфа!$B$1155</f>
        <v>8963.2000000000007</v>
      </c>
    </row>
    <row r="2311" spans="2:3" hidden="1" outlineLevel="1" collapsed="1" x14ac:dyDescent="0.25">
      <c r="C2311" s="9">
        <f>Альфа!$B$1181</f>
        <v>4126.6000000000004</v>
      </c>
    </row>
    <row r="2312" spans="2:3" hidden="1" outlineLevel="1" collapsed="1" x14ac:dyDescent="0.25">
      <c r="C2312" s="9">
        <f>Альфа!$B$1207</f>
        <v>17051</v>
      </c>
    </row>
    <row r="2313" spans="2:3" hidden="1" outlineLevel="1" collapsed="1" x14ac:dyDescent="0.25">
      <c r="C2313" s="9">
        <f>Альфа!$B$1233</f>
        <v>8221.7999999999993</v>
      </c>
    </row>
    <row r="2314" spans="2:3" hidden="1" outlineLevel="1" collapsed="1" x14ac:dyDescent="0.25">
      <c r="B2314" t="s">
        <v>72</v>
      </c>
      <c r="C2314" s="9">
        <f>Бета!$B$14</f>
        <v>1552</v>
      </c>
    </row>
    <row r="2315" spans="2:3" hidden="1" outlineLevel="1" collapsed="1" x14ac:dyDescent="0.25">
      <c r="C2315" s="9">
        <f>Бета!$B$36</f>
        <v>1104</v>
      </c>
    </row>
    <row r="2316" spans="2:3" hidden="1" outlineLevel="1" collapsed="1" x14ac:dyDescent="0.25">
      <c r="C2316" s="9">
        <f>Бета!$B$58</f>
        <v>3344</v>
      </c>
    </row>
    <row r="2317" spans="2:3" hidden="1" outlineLevel="1" collapsed="1" x14ac:dyDescent="0.25">
      <c r="C2317" s="9">
        <f>Бета!$B$80</f>
        <v>1180</v>
      </c>
    </row>
    <row r="2318" spans="2:3" hidden="1" outlineLevel="1" collapsed="1" x14ac:dyDescent="0.25">
      <c r="C2318" s="9">
        <f>Бета!$B$102</f>
        <v>1280</v>
      </c>
    </row>
    <row r="2319" spans="2:3" hidden="1" outlineLevel="1" collapsed="1" x14ac:dyDescent="0.25">
      <c r="C2319" s="9">
        <f>Бета!$B$124</f>
        <v>2436</v>
      </c>
    </row>
    <row r="2320" spans="2:3" hidden="1" outlineLevel="1" collapsed="1" x14ac:dyDescent="0.25">
      <c r="C2320" s="9">
        <f>Бета!$B$146</f>
        <v>3016</v>
      </c>
    </row>
    <row r="2321" spans="3:3" hidden="1" outlineLevel="1" collapsed="1" x14ac:dyDescent="0.25">
      <c r="C2321" s="9">
        <f>Бета!$B$168</f>
        <v>1252</v>
      </c>
    </row>
    <row r="2322" spans="3:3" hidden="1" outlineLevel="1" collapsed="1" x14ac:dyDescent="0.25">
      <c r="C2322" s="9">
        <f>Бета!$B$190</f>
        <v>824</v>
      </c>
    </row>
    <row r="2323" spans="3:3" hidden="1" outlineLevel="1" collapsed="1" x14ac:dyDescent="0.25">
      <c r="C2323" s="9">
        <f>Бета!$B$212</f>
        <v>500</v>
      </c>
    </row>
    <row r="2324" spans="3:3" hidden="1" outlineLevel="1" collapsed="1" x14ac:dyDescent="0.25">
      <c r="C2324" s="9">
        <f>Бета!$B$234</f>
        <v>340</v>
      </c>
    </row>
    <row r="2325" spans="3:3" hidden="1" outlineLevel="1" collapsed="1" x14ac:dyDescent="0.25">
      <c r="C2325" s="9">
        <f>Бета!$B$256</f>
        <v>660</v>
      </c>
    </row>
    <row r="2326" spans="3:3" hidden="1" outlineLevel="1" collapsed="1" x14ac:dyDescent="0.25">
      <c r="C2326" s="9">
        <f>Бета!$B$277</f>
        <v>700</v>
      </c>
    </row>
    <row r="2327" spans="3:3" hidden="1" outlineLevel="1" collapsed="1" x14ac:dyDescent="0.25">
      <c r="C2327" s="9">
        <f>Бета!$B$299</f>
        <v>1480</v>
      </c>
    </row>
    <row r="2328" spans="3:3" hidden="1" outlineLevel="1" collapsed="1" x14ac:dyDescent="0.25">
      <c r="C2328" s="9">
        <f>Бета!$B$321</f>
        <v>180</v>
      </c>
    </row>
    <row r="2329" spans="3:3" hidden="1" outlineLevel="1" collapsed="1" x14ac:dyDescent="0.25">
      <c r="C2329" s="9">
        <f>Бета!$B$342</f>
        <v>520</v>
      </c>
    </row>
    <row r="2330" spans="3:3" hidden="1" outlineLevel="1" collapsed="1" x14ac:dyDescent="0.25">
      <c r="C2330" s="9">
        <f>Бета!$B$363</f>
        <v>340</v>
      </c>
    </row>
    <row r="2331" spans="3:3" hidden="1" outlineLevel="1" collapsed="1" x14ac:dyDescent="0.25">
      <c r="C2331" s="9">
        <f>Бета!$B$384</f>
        <v>700</v>
      </c>
    </row>
    <row r="2332" spans="3:3" hidden="1" outlineLevel="1" collapsed="1" x14ac:dyDescent="0.25">
      <c r="C2332" s="9">
        <f>Бета!$B$405</f>
        <v>240</v>
      </c>
    </row>
    <row r="2333" spans="3:3" hidden="1" outlineLevel="1" collapsed="1" x14ac:dyDescent="0.25">
      <c r="C2333" s="9">
        <f>Бета!$B$426</f>
        <v>500</v>
      </c>
    </row>
    <row r="2334" spans="3:3" hidden="1" outlineLevel="1" collapsed="1" x14ac:dyDescent="0.25">
      <c r="C2334" s="9">
        <f>Бета!$B$447</f>
        <v>820</v>
      </c>
    </row>
    <row r="2335" spans="3:3" hidden="1" outlineLevel="1" collapsed="1" x14ac:dyDescent="0.25">
      <c r="C2335" s="9">
        <f>Бета!$B$468</f>
        <v>80</v>
      </c>
    </row>
    <row r="2336" spans="3:3" hidden="1" outlineLevel="1" collapsed="1" x14ac:dyDescent="0.25">
      <c r="C2336" s="9">
        <f>Бета!$B$489</f>
        <v>300</v>
      </c>
    </row>
    <row r="2337" spans="2:3" hidden="1" outlineLevel="1" collapsed="1" x14ac:dyDescent="0.25">
      <c r="C2337" s="9">
        <f>Бета!$B$510</f>
        <v>20</v>
      </c>
    </row>
    <row r="2338" spans="2:3" hidden="1" outlineLevel="1" collapsed="1" x14ac:dyDescent="0.25">
      <c r="C2338" s="9">
        <f>Бета!$B$551</f>
        <v>20</v>
      </c>
    </row>
    <row r="2339" spans="2:3" hidden="1" outlineLevel="1" collapsed="1" x14ac:dyDescent="0.25">
      <c r="B2339" t="s">
        <v>72</v>
      </c>
      <c r="C2339" s="9">
        <f>Гамма!$B$14</f>
        <v>23515.4</v>
      </c>
    </row>
    <row r="2340" spans="2:3" hidden="1" outlineLevel="1" collapsed="1" x14ac:dyDescent="0.25">
      <c r="C2340" s="9">
        <f>Гамма!$B$40</f>
        <v>28127.65</v>
      </c>
    </row>
    <row r="2341" spans="2:3" hidden="1" outlineLevel="1" collapsed="1" x14ac:dyDescent="0.25">
      <c r="C2341" s="9">
        <f>Гамма!$B$67</f>
        <v>16737.900000000001</v>
      </c>
    </row>
    <row r="2342" spans="2:3" hidden="1" outlineLevel="1" collapsed="1" x14ac:dyDescent="0.25">
      <c r="C2342" s="9">
        <f>Гамма!$B$94</f>
        <v>21224.5</v>
      </c>
    </row>
    <row r="2343" spans="2:3" hidden="1" outlineLevel="1" collapsed="1" x14ac:dyDescent="0.25">
      <c r="C2343" s="9">
        <f>Гамма!$B$120</f>
        <v>15704.85</v>
      </c>
    </row>
    <row r="2344" spans="2:3" hidden="1" outlineLevel="1" collapsed="1" x14ac:dyDescent="0.25">
      <c r="C2344" s="9">
        <f>Гамма!$B$146</f>
        <v>28789.75</v>
      </c>
    </row>
    <row r="2345" spans="2:3" hidden="1" outlineLevel="1" collapsed="1" x14ac:dyDescent="0.25">
      <c r="C2345" s="9">
        <f>Гамма!$B$172</f>
        <v>25483.1</v>
      </c>
    </row>
    <row r="2346" spans="2:3" hidden="1" outlineLevel="1" collapsed="1" x14ac:dyDescent="0.25">
      <c r="C2346" s="9">
        <f>Гамма!$B$199</f>
        <v>20136.25</v>
      </c>
    </row>
    <row r="2347" spans="2:3" hidden="1" outlineLevel="1" collapsed="1" x14ac:dyDescent="0.25">
      <c r="C2347" s="9">
        <f>Гамма!$B$226</f>
        <v>17989.5</v>
      </c>
    </row>
    <row r="2348" spans="2:3" hidden="1" outlineLevel="1" collapsed="1" x14ac:dyDescent="0.25">
      <c r="C2348" s="9">
        <f>Гамма!$B$252</f>
        <v>21205.45</v>
      </c>
    </row>
    <row r="2349" spans="2:3" hidden="1" outlineLevel="1" collapsed="1" x14ac:dyDescent="0.25">
      <c r="C2349" s="9">
        <f>Гамма!$B$278</f>
        <v>17623.349999999999</v>
      </c>
    </row>
    <row r="2350" spans="2:3" hidden="1" outlineLevel="1" collapsed="1" x14ac:dyDescent="0.25">
      <c r="C2350" s="9">
        <f>Гамма!$B$304</f>
        <v>11812.05</v>
      </c>
    </row>
    <row r="2351" spans="2:3" hidden="1" outlineLevel="1" collapsed="1" x14ac:dyDescent="0.25">
      <c r="C2351" s="9">
        <f>Гамма!$B$330</f>
        <v>31548.15</v>
      </c>
    </row>
    <row r="2352" spans="2:3" hidden="1" outlineLevel="1" collapsed="1" x14ac:dyDescent="0.25">
      <c r="C2352" s="9">
        <f>Гамма!$B$356</f>
        <v>18062.349999999999</v>
      </c>
    </row>
    <row r="2353" spans="3:3" hidden="1" outlineLevel="1" collapsed="1" x14ac:dyDescent="0.25">
      <c r="C2353" s="9">
        <f>Гамма!$B$381</f>
        <v>21065.35</v>
      </c>
    </row>
    <row r="2354" spans="3:3" hidden="1" outlineLevel="1" collapsed="1" x14ac:dyDescent="0.25">
      <c r="C2354" s="9">
        <f>Гамма!$B$407</f>
        <v>15914.65</v>
      </c>
    </row>
    <row r="2355" spans="3:3" hidden="1" outlineLevel="1" collapsed="1" x14ac:dyDescent="0.25">
      <c r="C2355" s="9">
        <f>Гамма!$B$434</f>
        <v>23258.25</v>
      </c>
    </row>
    <row r="2356" spans="3:3" hidden="1" outlineLevel="1" collapsed="1" x14ac:dyDescent="0.25">
      <c r="C2356" s="9">
        <f>Гамма!$B$461</f>
        <v>24625.1</v>
      </c>
    </row>
    <row r="2357" spans="3:3" hidden="1" outlineLevel="1" collapsed="1" x14ac:dyDescent="0.25">
      <c r="C2357" s="9">
        <f>Гамма!$B$487</f>
        <v>21364.35</v>
      </c>
    </row>
    <row r="2358" spans="3:3" hidden="1" outlineLevel="1" collapsed="1" x14ac:dyDescent="0.25">
      <c r="C2358" s="9">
        <f>Гамма!$B$513</f>
        <v>67140.149999999994</v>
      </c>
    </row>
    <row r="2359" spans="3:3" hidden="1" outlineLevel="1" collapsed="1" x14ac:dyDescent="0.25">
      <c r="C2359" s="9">
        <f>Гамма!$B$539</f>
        <v>28331.95</v>
      </c>
    </row>
    <row r="2360" spans="3:3" hidden="1" outlineLevel="1" collapsed="1" x14ac:dyDescent="0.25">
      <c r="C2360" s="9">
        <f>Гамма!$B$565</f>
        <v>21640.35</v>
      </c>
    </row>
    <row r="2361" spans="3:3" hidden="1" outlineLevel="1" collapsed="1" x14ac:dyDescent="0.25">
      <c r="C2361" s="9">
        <f>Гамма!$B$590</f>
        <v>19746.55</v>
      </c>
    </row>
    <row r="2362" spans="3:3" hidden="1" outlineLevel="1" collapsed="1" x14ac:dyDescent="0.25">
      <c r="C2362" s="9">
        <f>Гамма!$B$616</f>
        <v>16349.65</v>
      </c>
    </row>
    <row r="2363" spans="3:3" hidden="1" outlineLevel="1" collapsed="1" x14ac:dyDescent="0.25">
      <c r="C2363" s="9">
        <f>Гамма!$B$642</f>
        <v>19784.099999999999</v>
      </c>
    </row>
    <row r="2364" spans="3:3" hidden="1" outlineLevel="1" collapsed="1" x14ac:dyDescent="0.25">
      <c r="C2364" s="9">
        <f>Гамма!$B$668</f>
        <v>13703.35</v>
      </c>
    </row>
    <row r="2365" spans="3:3" hidden="1" outlineLevel="1" collapsed="1" x14ac:dyDescent="0.25">
      <c r="C2365" s="9">
        <f>Гамма!$B$694</f>
        <v>19225.150000000001</v>
      </c>
    </row>
    <row r="2366" spans="3:3" hidden="1" outlineLevel="1" collapsed="1" x14ac:dyDescent="0.25">
      <c r="C2366" s="9">
        <f>Гамма!$B$720</f>
        <v>30991.5</v>
      </c>
    </row>
    <row r="2367" spans="3:3" hidden="1" outlineLevel="1" collapsed="1" x14ac:dyDescent="0.25">
      <c r="C2367" s="9">
        <f>Гамма!$B$744</f>
        <v>27651.599999999999</v>
      </c>
    </row>
    <row r="2368" spans="3:3" hidden="1" outlineLevel="1" collapsed="1" x14ac:dyDescent="0.25">
      <c r="C2368" s="9">
        <f>Гамма!$B$770</f>
        <v>12282.55</v>
      </c>
    </row>
    <row r="2369" spans="3:3" hidden="1" outlineLevel="1" collapsed="1" x14ac:dyDescent="0.25">
      <c r="C2369" s="9">
        <f>Гамма!$B$794</f>
        <v>13646.3</v>
      </c>
    </row>
    <row r="2370" spans="3:3" hidden="1" outlineLevel="1" collapsed="1" x14ac:dyDescent="0.25">
      <c r="C2370" s="9">
        <f>Гамма!$B$820</f>
        <v>28042.15</v>
      </c>
    </row>
    <row r="2371" spans="3:3" hidden="1" outlineLevel="1" collapsed="1" x14ac:dyDescent="0.25">
      <c r="C2371" s="9">
        <f>Гамма!$B$846</f>
        <v>18599.599999999999</v>
      </c>
    </row>
    <row r="2372" spans="3:3" hidden="1" outlineLevel="1" collapsed="1" x14ac:dyDescent="0.25">
      <c r="C2372" s="9">
        <f>Гамма!$B$872</f>
        <v>28518.95</v>
      </c>
    </row>
    <row r="2373" spans="3:3" hidden="1" outlineLevel="1" collapsed="1" x14ac:dyDescent="0.25">
      <c r="C2373" s="9">
        <f>Гамма!$B$898</f>
        <v>18979.5</v>
      </c>
    </row>
    <row r="2374" spans="3:3" hidden="1" outlineLevel="1" collapsed="1" x14ac:dyDescent="0.25">
      <c r="C2374" s="9">
        <f>Гамма!$B$924</f>
        <v>22575.1</v>
      </c>
    </row>
    <row r="2375" spans="3:3" hidden="1" outlineLevel="1" collapsed="1" x14ac:dyDescent="0.25">
      <c r="C2375" s="9">
        <f>Гамма!$B$949</f>
        <v>15898.15</v>
      </c>
    </row>
    <row r="2376" spans="3:3" hidden="1" outlineLevel="1" collapsed="1" x14ac:dyDescent="0.25">
      <c r="C2376" s="9">
        <f>Гамма!$B$975</f>
        <v>9937.2999999999993</v>
      </c>
    </row>
    <row r="2377" spans="3:3" hidden="1" outlineLevel="1" collapsed="1" x14ac:dyDescent="0.25">
      <c r="C2377" s="9">
        <f>Гамма!$B$1001</f>
        <v>13276.8</v>
      </c>
    </row>
    <row r="2378" spans="3:3" hidden="1" outlineLevel="1" collapsed="1" x14ac:dyDescent="0.25">
      <c r="C2378" s="9">
        <f>Гамма!$B$1026</f>
        <v>20202.25</v>
      </c>
    </row>
    <row r="2379" spans="3:3" hidden="1" outlineLevel="1" collapsed="1" x14ac:dyDescent="0.25">
      <c r="C2379" s="9">
        <f>Гамма!$B$1050</f>
        <v>14602.6</v>
      </c>
    </row>
    <row r="2380" spans="3:3" hidden="1" outlineLevel="1" collapsed="1" x14ac:dyDescent="0.25">
      <c r="C2380" s="9">
        <f>Гамма!$B$1075</f>
        <v>14229.35</v>
      </c>
    </row>
    <row r="2381" spans="3:3" hidden="1" outlineLevel="1" collapsed="1" x14ac:dyDescent="0.25">
      <c r="C2381" s="9">
        <f>Гамма!$B$1101</f>
        <v>16105.05</v>
      </c>
    </row>
    <row r="2382" spans="3:3" hidden="1" outlineLevel="1" collapsed="1" x14ac:dyDescent="0.25">
      <c r="C2382" s="9">
        <f>Гамма!$B$1125</f>
        <v>18174.55</v>
      </c>
    </row>
    <row r="2383" spans="3:3" hidden="1" outlineLevel="1" collapsed="1" x14ac:dyDescent="0.25">
      <c r="C2383" s="9">
        <f>Гамма!$B$1149</f>
        <v>16419.75</v>
      </c>
    </row>
    <row r="2384" spans="3:3" hidden="1" outlineLevel="1" collapsed="1" x14ac:dyDescent="0.25">
      <c r="C2384" s="9">
        <f>Гамма!$B$1175</f>
        <v>12911.35</v>
      </c>
    </row>
    <row r="2385" spans="2:3" hidden="1" outlineLevel="1" collapsed="1" x14ac:dyDescent="0.25">
      <c r="C2385" s="9">
        <f>Гамма!$B$1199</f>
        <v>12598.05</v>
      </c>
    </row>
    <row r="2386" spans="2:3" hidden="1" outlineLevel="1" collapsed="1" x14ac:dyDescent="0.25">
      <c r="C2386" s="9">
        <f>Гамма!$B$1224</f>
        <v>35419.1</v>
      </c>
    </row>
    <row r="2387" spans="2:3" hidden="1" outlineLevel="1" collapsed="1" x14ac:dyDescent="0.25">
      <c r="C2387" s="9">
        <f>Гамма!$B$1249</f>
        <v>7477.25</v>
      </c>
    </row>
    <row r="2388" spans="2:3" hidden="1" outlineLevel="1" collapsed="1" x14ac:dyDescent="0.25">
      <c r="B2388" t="s">
        <v>72</v>
      </c>
      <c r="C2388" s="9">
        <f>Дельта!$B$14</f>
        <v>12198</v>
      </c>
    </row>
    <row r="2389" spans="2:3" hidden="1" outlineLevel="1" collapsed="1" x14ac:dyDescent="0.25">
      <c r="C2389" s="9">
        <f>Дельта!$B$40</f>
        <v>15072</v>
      </c>
    </row>
    <row r="2390" spans="2:3" hidden="1" outlineLevel="1" collapsed="1" x14ac:dyDescent="0.25">
      <c r="C2390" s="9">
        <f>Дельта!$B$66</f>
        <v>7750</v>
      </c>
    </row>
    <row r="2391" spans="2:3" hidden="1" outlineLevel="1" collapsed="1" x14ac:dyDescent="0.25">
      <c r="C2391" s="9">
        <f>Дельта!$B$92</f>
        <v>15658</v>
      </c>
    </row>
    <row r="2392" spans="2:3" hidden="1" outlineLevel="1" collapsed="1" x14ac:dyDescent="0.25">
      <c r="C2392" s="9">
        <f>Дельта!$B$118</f>
        <v>6464</v>
      </c>
    </row>
    <row r="2393" spans="2:3" hidden="1" outlineLevel="1" collapsed="1" x14ac:dyDescent="0.25">
      <c r="C2393" s="9">
        <f>Дельта!$B$144</f>
        <v>10972</v>
      </c>
    </row>
    <row r="2394" spans="2:3" hidden="1" outlineLevel="1" collapsed="1" x14ac:dyDescent="0.25">
      <c r="C2394" s="9">
        <f>Дельта!$B$169</f>
        <v>11300</v>
      </c>
    </row>
    <row r="2395" spans="2:3" hidden="1" outlineLevel="1" collapsed="1" x14ac:dyDescent="0.25">
      <c r="C2395" s="9">
        <f>Дельта!$B$195</f>
        <v>11864</v>
      </c>
    </row>
    <row r="2396" spans="2:3" hidden="1" outlineLevel="1" collapsed="1" x14ac:dyDescent="0.25">
      <c r="C2396" s="9">
        <f>Дельта!$B$221</f>
        <v>4462</v>
      </c>
    </row>
    <row r="2397" spans="2:3" hidden="1" outlineLevel="1" collapsed="1" x14ac:dyDescent="0.25">
      <c r="C2397" s="9">
        <f>Дельта!$B$246</f>
        <v>9680</v>
      </c>
    </row>
    <row r="2398" spans="2:3" hidden="1" outlineLevel="1" collapsed="1" x14ac:dyDescent="0.25">
      <c r="C2398" s="9">
        <f>Дельта!$B$272</f>
        <v>3356</v>
      </c>
    </row>
    <row r="2399" spans="2:3" hidden="1" outlineLevel="1" collapsed="1" x14ac:dyDescent="0.25">
      <c r="C2399" s="9">
        <f>Дельта!$B$298</f>
        <v>6412</v>
      </c>
    </row>
    <row r="2400" spans="2:3" hidden="1" outlineLevel="1" collapsed="1" x14ac:dyDescent="0.25">
      <c r="C2400" s="9">
        <f>Дельта!$B$324</f>
        <v>8462</v>
      </c>
    </row>
    <row r="2401" spans="3:3" hidden="1" outlineLevel="1" collapsed="1" x14ac:dyDescent="0.25">
      <c r="C2401" s="9">
        <f>Дельта!$B$350</f>
        <v>14446</v>
      </c>
    </row>
    <row r="2402" spans="3:3" hidden="1" outlineLevel="1" collapsed="1" x14ac:dyDescent="0.25">
      <c r="C2402" s="9">
        <f>Дельта!$B$376</f>
        <v>11014</v>
      </c>
    </row>
    <row r="2403" spans="3:3" hidden="1" outlineLevel="1" collapsed="1" x14ac:dyDescent="0.25">
      <c r="C2403" s="9">
        <f>Дельта!$B$402</f>
        <v>9346</v>
      </c>
    </row>
    <row r="2404" spans="3:3" hidden="1" outlineLevel="1" collapsed="1" x14ac:dyDescent="0.25">
      <c r="C2404" s="9">
        <f>Дельта!$B$428</f>
        <v>17282</v>
      </c>
    </row>
    <row r="2405" spans="3:3" hidden="1" outlineLevel="1" collapsed="1" x14ac:dyDescent="0.25">
      <c r="C2405" s="9">
        <f>Дельта!$B$454</f>
        <v>6090</v>
      </c>
    </row>
    <row r="2406" spans="3:3" hidden="1" outlineLevel="1" collapsed="1" x14ac:dyDescent="0.25">
      <c r="C2406" s="9">
        <f>Дельта!$B$480</f>
        <v>17854</v>
      </c>
    </row>
    <row r="2407" spans="3:3" hidden="1" outlineLevel="1" collapsed="1" x14ac:dyDescent="0.25">
      <c r="C2407" s="9">
        <f>Дельта!$B$506</f>
        <v>20402</v>
      </c>
    </row>
    <row r="2408" spans="3:3" hidden="1" outlineLevel="1" collapsed="1" x14ac:dyDescent="0.25">
      <c r="C2408" s="9">
        <f>Дельта!$B$532</f>
        <v>10138</v>
      </c>
    </row>
    <row r="2409" spans="3:3" hidden="1" outlineLevel="1" collapsed="1" x14ac:dyDescent="0.25">
      <c r="C2409" s="9">
        <f>Дельта!$B$558</f>
        <v>7230</v>
      </c>
    </row>
    <row r="2410" spans="3:3" hidden="1" outlineLevel="1" collapsed="1" x14ac:dyDescent="0.25">
      <c r="C2410" s="9">
        <f>Дельта!$B$584</f>
        <v>4056</v>
      </c>
    </row>
    <row r="2411" spans="3:3" hidden="1" outlineLevel="1" collapsed="1" x14ac:dyDescent="0.25">
      <c r="C2411" s="9">
        <f>Дельта!$B$610</f>
        <v>6408</v>
      </c>
    </row>
    <row r="2412" spans="3:3" hidden="1" outlineLevel="1" collapsed="1" x14ac:dyDescent="0.25">
      <c r="C2412" s="9">
        <f>Дельта!$B$635</f>
        <v>7664</v>
      </c>
    </row>
    <row r="2413" spans="3:3" hidden="1" outlineLevel="1" collapsed="1" x14ac:dyDescent="0.25">
      <c r="C2413" s="9">
        <f>Дельта!$B$661</f>
        <v>7820</v>
      </c>
    </row>
    <row r="2414" spans="3:3" hidden="1" outlineLevel="1" collapsed="1" x14ac:dyDescent="0.25">
      <c r="C2414" s="9">
        <f>Дельта!$B$688</f>
        <v>10644</v>
      </c>
    </row>
    <row r="2415" spans="3:3" hidden="1" outlineLevel="1" collapsed="1" x14ac:dyDescent="0.25">
      <c r="C2415" s="9">
        <f>Дельта!$B$714</f>
        <v>13260</v>
      </c>
    </row>
    <row r="2416" spans="3:3" hidden="1" outlineLevel="1" collapsed="1" x14ac:dyDescent="0.25">
      <c r="C2416" s="9">
        <f>Дельта!$B$739</f>
        <v>11344</v>
      </c>
    </row>
    <row r="2417" spans="3:3" hidden="1" outlineLevel="1" collapsed="1" x14ac:dyDescent="0.25">
      <c r="C2417" s="9">
        <f>Дельта!$B$765</f>
        <v>12206</v>
      </c>
    </row>
    <row r="2418" spans="3:3" hidden="1" outlineLevel="1" collapsed="1" x14ac:dyDescent="0.25">
      <c r="C2418" s="9">
        <f>Дельта!$B$790</f>
        <v>12214</v>
      </c>
    </row>
    <row r="2419" spans="3:3" hidden="1" outlineLevel="1" collapsed="1" x14ac:dyDescent="0.25">
      <c r="C2419" s="9">
        <f>Дельта!$B$816</f>
        <v>4630</v>
      </c>
    </row>
    <row r="2420" spans="3:3" hidden="1" outlineLevel="1" collapsed="1" x14ac:dyDescent="0.25">
      <c r="C2420" s="9">
        <f>Дельта!$B$842</f>
        <v>6098</v>
      </c>
    </row>
    <row r="2421" spans="3:3" hidden="1" outlineLevel="1" collapsed="1" x14ac:dyDescent="0.25">
      <c r="C2421" s="9">
        <f>Дельта!$B$868</f>
        <v>905</v>
      </c>
    </row>
    <row r="2422" spans="3:3" hidden="1" outlineLevel="1" collapsed="1" x14ac:dyDescent="0.25">
      <c r="C2422" s="9">
        <f>Дельта!$B$894</f>
        <v>5822</v>
      </c>
    </row>
    <row r="2423" spans="3:3" hidden="1" outlineLevel="1" collapsed="1" x14ac:dyDescent="0.25">
      <c r="C2423" s="9">
        <f>Дельта!$B$920</f>
        <v>6326</v>
      </c>
    </row>
    <row r="2424" spans="3:3" hidden="1" outlineLevel="1" collapsed="1" x14ac:dyDescent="0.25">
      <c r="C2424" s="9">
        <f>Дельта!$B$945</f>
        <v>4928</v>
      </c>
    </row>
    <row r="2425" spans="3:3" hidden="1" outlineLevel="1" collapsed="1" x14ac:dyDescent="0.25">
      <c r="C2425" s="9">
        <f>Дельта!$B$971</f>
        <v>6612</v>
      </c>
    </row>
    <row r="2426" spans="3:3" hidden="1" outlineLevel="1" collapsed="1" x14ac:dyDescent="0.25">
      <c r="C2426" s="9">
        <f>Дельта!$B$996</f>
        <v>1984</v>
      </c>
    </row>
    <row r="2427" spans="3:3" hidden="1" outlineLevel="1" collapsed="1" x14ac:dyDescent="0.25">
      <c r="C2427" s="9">
        <f>Дельта!$B$1022</f>
        <v>5336</v>
      </c>
    </row>
    <row r="2428" spans="3:3" hidden="1" outlineLevel="1" collapsed="1" x14ac:dyDescent="0.25">
      <c r="C2428" s="9">
        <f>Дельта!$B$1047</f>
        <v>6358</v>
      </c>
    </row>
    <row r="2429" spans="3:3" hidden="1" outlineLevel="1" collapsed="1" x14ac:dyDescent="0.25">
      <c r="C2429" s="9">
        <f>Дельта!$B$1073</f>
        <v>2988</v>
      </c>
    </row>
    <row r="2430" spans="3:3" hidden="1" outlineLevel="1" collapsed="1" x14ac:dyDescent="0.25">
      <c r="C2430" s="9">
        <f>Дельта!$B$1097</f>
        <v>3980</v>
      </c>
    </row>
    <row r="2431" spans="3:3" hidden="1" outlineLevel="1" collapsed="1" x14ac:dyDescent="0.25">
      <c r="C2431" s="9">
        <f>Дельта!$B$1122</f>
        <v>3916</v>
      </c>
    </row>
    <row r="2432" spans="3:3" hidden="1" outlineLevel="1" collapsed="1" x14ac:dyDescent="0.25">
      <c r="C2432" s="9">
        <f>Дельта!$B$1147</f>
        <v>8834</v>
      </c>
    </row>
    <row r="2433" spans="1:3" hidden="1" outlineLevel="1" collapsed="1" x14ac:dyDescent="0.25">
      <c r="C2433" s="9">
        <f>Дельта!$B$1171</f>
        <v>2076</v>
      </c>
    </row>
    <row r="2434" spans="1:3" hidden="1" outlineLevel="1" collapsed="1" x14ac:dyDescent="0.25">
      <c r="C2434" s="9">
        <f>Дельта!$B$1194</f>
        <v>11640</v>
      </c>
    </row>
    <row r="2435" spans="1:3" hidden="1" outlineLevel="1" collapsed="1" x14ac:dyDescent="0.25">
      <c r="C2435" s="9">
        <f>Дельта!$B$1220</f>
        <v>9520</v>
      </c>
    </row>
    <row r="2436" spans="1:3" hidden="1" outlineLevel="1" collapsed="1" x14ac:dyDescent="0.25">
      <c r="C2436" s="9">
        <f>Дельта!$B$1244</f>
        <v>3192</v>
      </c>
    </row>
    <row r="2437" spans="1:3" collapsed="1" x14ac:dyDescent="0.25">
      <c r="A2437" t="s">
        <v>14</v>
      </c>
      <c r="C2437" s="9">
        <f>SUM(C2265:C2436)</f>
        <v>2304092.600000001</v>
      </c>
    </row>
    <row r="2438" spans="1:3" hidden="1" outlineLevel="1" x14ac:dyDescent="0.25">
      <c r="B2438" t="s">
        <v>72</v>
      </c>
      <c r="C2438" s="9">
        <f>Альфа!$B$15</f>
        <v>236199.61</v>
      </c>
    </row>
    <row r="2439" spans="1:3" hidden="1" outlineLevel="1" collapsed="1" x14ac:dyDescent="0.25">
      <c r="C2439" s="9">
        <f>Альфа!$B$41</f>
        <v>211193.42</v>
      </c>
    </row>
    <row r="2440" spans="1:3" hidden="1" outlineLevel="1" collapsed="1" x14ac:dyDescent="0.25">
      <c r="C2440" s="9">
        <f>Альфа!$B$67</f>
        <v>194684.49</v>
      </c>
    </row>
    <row r="2441" spans="1:3" hidden="1" outlineLevel="1" collapsed="1" x14ac:dyDescent="0.25">
      <c r="C2441" s="9">
        <f>Альфа!$B$93</f>
        <v>284351.31</v>
      </c>
    </row>
    <row r="2442" spans="1:3" hidden="1" outlineLevel="1" collapsed="1" x14ac:dyDescent="0.25">
      <c r="C2442" s="9">
        <f>Альфа!$B$120</f>
        <v>303395.88</v>
      </c>
    </row>
    <row r="2443" spans="1:3" hidden="1" outlineLevel="1" collapsed="1" x14ac:dyDescent="0.25">
      <c r="C2443" s="9">
        <f>Альфа!$B$147</f>
        <v>368217.84</v>
      </c>
    </row>
    <row r="2444" spans="1:3" hidden="1" outlineLevel="1" collapsed="1" x14ac:dyDescent="0.25">
      <c r="C2444" s="9">
        <f>Альфа!$B$173</f>
        <v>291470.21000000002</v>
      </c>
    </row>
    <row r="2445" spans="1:3" hidden="1" outlineLevel="1" collapsed="1" x14ac:dyDescent="0.25">
      <c r="C2445" s="9">
        <f>Альфа!$B$199</f>
        <v>236336.13</v>
      </c>
    </row>
    <row r="2446" spans="1:3" hidden="1" outlineLevel="1" collapsed="1" x14ac:dyDescent="0.25">
      <c r="C2446" s="9">
        <f>Альфа!$B$225</f>
        <v>212585.87</v>
      </c>
    </row>
    <row r="2447" spans="1:3" hidden="1" outlineLevel="1" collapsed="1" x14ac:dyDescent="0.25">
      <c r="C2447" s="9">
        <f>Альфа!$B$252</f>
        <v>175229.51</v>
      </c>
    </row>
    <row r="2448" spans="1:3" hidden="1" outlineLevel="1" collapsed="1" x14ac:dyDescent="0.25">
      <c r="C2448" s="9">
        <f>Альфа!$B$278</f>
        <v>192461.89</v>
      </c>
    </row>
    <row r="2449" spans="3:3" hidden="1" outlineLevel="1" collapsed="1" x14ac:dyDescent="0.25">
      <c r="C2449" s="9">
        <f>Альфа!$B$304</f>
        <v>272519.43</v>
      </c>
    </row>
    <row r="2450" spans="3:3" hidden="1" outlineLevel="1" collapsed="1" x14ac:dyDescent="0.25">
      <c r="C2450" s="9">
        <f>Альфа!$B$330</f>
        <v>417673.89</v>
      </c>
    </row>
    <row r="2451" spans="3:3" hidden="1" outlineLevel="1" collapsed="1" x14ac:dyDescent="0.25">
      <c r="C2451" s="9">
        <f>Альфа!$B$356</f>
        <v>268971.65000000002</v>
      </c>
    </row>
    <row r="2452" spans="3:3" hidden="1" outlineLevel="1" collapsed="1" x14ac:dyDescent="0.25">
      <c r="C2452" s="9">
        <f>Альфа!$B$383</f>
        <v>238156.37</v>
      </c>
    </row>
    <row r="2453" spans="3:3" hidden="1" outlineLevel="1" collapsed="1" x14ac:dyDescent="0.25">
      <c r="C2453" s="9">
        <f>Альфа!$B$409</f>
        <v>223876.28</v>
      </c>
    </row>
    <row r="2454" spans="3:3" hidden="1" outlineLevel="1" collapsed="1" x14ac:dyDescent="0.25">
      <c r="C2454" s="9">
        <f>Альфа!$B$435</f>
        <v>173195.48</v>
      </c>
    </row>
    <row r="2455" spans="3:3" hidden="1" outlineLevel="1" collapsed="1" x14ac:dyDescent="0.25">
      <c r="C2455" s="9">
        <f>Альфа!$B$460</f>
        <v>182498.01</v>
      </c>
    </row>
    <row r="2456" spans="3:3" hidden="1" outlineLevel="1" collapsed="1" x14ac:dyDescent="0.25">
      <c r="C2456" s="9">
        <f>Альфа!$B$486</f>
        <v>340516.19</v>
      </c>
    </row>
    <row r="2457" spans="3:3" hidden="1" outlineLevel="1" collapsed="1" x14ac:dyDescent="0.25">
      <c r="C2457" s="9">
        <f>Альфа!$B$511</f>
        <v>402317</v>
      </c>
    </row>
    <row r="2458" spans="3:3" hidden="1" outlineLevel="1" collapsed="1" x14ac:dyDescent="0.25">
      <c r="C2458" s="9">
        <f>Альфа!$B$536</f>
        <v>238100.77</v>
      </c>
    </row>
    <row r="2459" spans="3:3" hidden="1" outlineLevel="1" collapsed="1" x14ac:dyDescent="0.25">
      <c r="C2459" s="9">
        <f>Альфа!$B$561</f>
        <v>113050.34</v>
      </c>
    </row>
    <row r="2460" spans="3:3" hidden="1" outlineLevel="1" collapsed="1" x14ac:dyDescent="0.25">
      <c r="C2460" s="9">
        <f>Альфа!$B$586</f>
        <v>91886.61</v>
      </c>
    </row>
    <row r="2461" spans="3:3" hidden="1" outlineLevel="1" collapsed="1" x14ac:dyDescent="0.25">
      <c r="C2461" s="9">
        <f>Альфа!$B$610</f>
        <v>205830.02</v>
      </c>
    </row>
    <row r="2462" spans="3:3" hidden="1" outlineLevel="1" collapsed="1" x14ac:dyDescent="0.25">
      <c r="C2462" s="9">
        <f>Альфа!$B$635</f>
        <v>177945.25</v>
      </c>
    </row>
    <row r="2463" spans="3:3" hidden="1" outlineLevel="1" collapsed="1" x14ac:dyDescent="0.25">
      <c r="C2463" s="9">
        <f>Альфа!$B$660</f>
        <v>235648.82</v>
      </c>
    </row>
    <row r="2464" spans="3:3" hidden="1" outlineLevel="1" collapsed="1" x14ac:dyDescent="0.25">
      <c r="C2464" s="9">
        <f>Альфа!$B$685</f>
        <v>233789.98</v>
      </c>
    </row>
    <row r="2465" spans="3:3" hidden="1" outlineLevel="1" collapsed="1" x14ac:dyDescent="0.25">
      <c r="C2465" s="9">
        <f>Альфа!$B$710</f>
        <v>147236</v>
      </c>
    </row>
    <row r="2466" spans="3:3" hidden="1" outlineLevel="1" collapsed="1" x14ac:dyDescent="0.25">
      <c r="C2466" s="9">
        <f>Альфа!$B$735</f>
        <v>92796.75</v>
      </c>
    </row>
    <row r="2467" spans="3:3" hidden="1" outlineLevel="1" collapsed="1" x14ac:dyDescent="0.25">
      <c r="C2467" s="9">
        <f>Альфа!$B$760</f>
        <v>69613.899999999994</v>
      </c>
    </row>
    <row r="2468" spans="3:3" hidden="1" outlineLevel="1" collapsed="1" x14ac:dyDescent="0.25">
      <c r="C2468" s="9">
        <f>Альфа!$B$785</f>
        <v>99492.46</v>
      </c>
    </row>
    <row r="2469" spans="3:3" hidden="1" outlineLevel="1" collapsed="1" x14ac:dyDescent="0.25">
      <c r="C2469" s="9">
        <f>Альфа!$B$808</f>
        <v>217789.48</v>
      </c>
    </row>
    <row r="2470" spans="3:3" hidden="1" outlineLevel="1" collapsed="1" x14ac:dyDescent="0.25">
      <c r="C2470" s="9">
        <f>Альфа!$B$832</f>
        <v>212982.92</v>
      </c>
    </row>
    <row r="2471" spans="3:3" hidden="1" outlineLevel="1" collapsed="1" x14ac:dyDescent="0.25">
      <c r="C2471" s="9">
        <f>Альфа!$B$857</f>
        <v>238628.04</v>
      </c>
    </row>
    <row r="2472" spans="3:3" hidden="1" outlineLevel="1" collapsed="1" x14ac:dyDescent="0.25">
      <c r="C2472" s="9">
        <f>Альфа!$B$882</f>
        <v>109898.99</v>
      </c>
    </row>
    <row r="2473" spans="3:3" hidden="1" outlineLevel="1" collapsed="1" x14ac:dyDescent="0.25">
      <c r="C2473" s="9">
        <f>Альфа!$B$907</f>
        <v>47785.36</v>
      </c>
    </row>
    <row r="2474" spans="3:3" hidden="1" outlineLevel="1" collapsed="1" x14ac:dyDescent="0.25">
      <c r="C2474" s="9">
        <f>Альфа!$B$932</f>
        <v>80745.070000000007</v>
      </c>
    </row>
    <row r="2475" spans="3:3" hidden="1" outlineLevel="1" collapsed="1" x14ac:dyDescent="0.25">
      <c r="C2475" s="9">
        <f>Альфа!$B$957</f>
        <v>111383.6</v>
      </c>
    </row>
    <row r="2476" spans="3:3" hidden="1" outlineLevel="1" collapsed="1" x14ac:dyDescent="0.25">
      <c r="C2476" s="9">
        <f>Альфа!$B$981</f>
        <v>103960.86</v>
      </c>
    </row>
    <row r="2477" spans="3:3" hidden="1" outlineLevel="1" collapsed="1" x14ac:dyDescent="0.25">
      <c r="C2477" s="9">
        <f>Альфа!$B$1007</f>
        <v>157289.91</v>
      </c>
    </row>
    <row r="2478" spans="3:3" hidden="1" outlineLevel="1" collapsed="1" x14ac:dyDescent="0.25">
      <c r="C2478" s="9">
        <f>Альфа!$B$1032</f>
        <v>171916.39</v>
      </c>
    </row>
    <row r="2479" spans="3:3" hidden="1" outlineLevel="1" collapsed="1" x14ac:dyDescent="0.25">
      <c r="C2479" s="9">
        <f>Альфа!$B$1058</f>
        <v>108352.64</v>
      </c>
    </row>
    <row r="2480" spans="3:3" hidden="1" outlineLevel="1" collapsed="1" x14ac:dyDescent="0.25">
      <c r="C2480" s="9">
        <f>Альфа!$B$1082</f>
        <v>58329.440000000002</v>
      </c>
    </row>
    <row r="2481" spans="2:3" hidden="1" outlineLevel="1" collapsed="1" x14ac:dyDescent="0.25">
      <c r="C2481" s="9">
        <f>Альфа!$B$1107</f>
        <v>41434.25</v>
      </c>
    </row>
    <row r="2482" spans="2:3" hidden="1" outlineLevel="1" collapsed="1" x14ac:dyDescent="0.25">
      <c r="C2482" s="9">
        <f>Альфа!$B$1132</f>
        <v>103842.14</v>
      </c>
    </row>
    <row r="2483" spans="2:3" hidden="1" outlineLevel="1" collapsed="1" x14ac:dyDescent="0.25">
      <c r="C2483" s="9">
        <f>Альфа!$B$1157</f>
        <v>80620.63</v>
      </c>
    </row>
    <row r="2484" spans="2:3" hidden="1" outlineLevel="1" collapsed="1" x14ac:dyDescent="0.25">
      <c r="C2484" s="9">
        <f>Альфа!$B$1183</f>
        <v>83675.570000000007</v>
      </c>
    </row>
    <row r="2485" spans="2:3" hidden="1" outlineLevel="1" collapsed="1" x14ac:dyDescent="0.25">
      <c r="C2485" s="9">
        <f>Альфа!$B$1209</f>
        <v>70571.75</v>
      </c>
    </row>
    <row r="2486" spans="2:3" hidden="1" outlineLevel="1" collapsed="1" x14ac:dyDescent="0.25">
      <c r="C2486" s="9">
        <f>Альфа!$B$1234</f>
        <v>53335.98</v>
      </c>
    </row>
    <row r="2487" spans="2:3" hidden="1" outlineLevel="1" collapsed="1" x14ac:dyDescent="0.25">
      <c r="B2487" t="s">
        <v>72</v>
      </c>
      <c r="C2487" s="9">
        <f>Бета!$B$15</f>
        <v>29689.279999999999</v>
      </c>
    </row>
    <row r="2488" spans="2:3" hidden="1" outlineLevel="1" collapsed="1" x14ac:dyDescent="0.25">
      <c r="C2488" s="9">
        <f>Бета!$B$37</f>
        <v>19153.009999999998</v>
      </c>
    </row>
    <row r="2489" spans="2:3" hidden="1" outlineLevel="1" collapsed="1" x14ac:dyDescent="0.25">
      <c r="C2489" s="9">
        <f>Бета!$B$59</f>
        <v>21994.49</v>
      </c>
    </row>
    <row r="2490" spans="2:3" hidden="1" outlineLevel="1" collapsed="1" x14ac:dyDescent="0.25">
      <c r="C2490" s="9">
        <f>Бета!$B$81</f>
        <v>24914.7</v>
      </c>
    </row>
    <row r="2491" spans="2:3" hidden="1" outlineLevel="1" collapsed="1" x14ac:dyDescent="0.25">
      <c r="C2491" s="9">
        <f>Бета!$B$103</f>
        <v>24319.49</v>
      </c>
    </row>
    <row r="2492" spans="2:3" hidden="1" outlineLevel="1" collapsed="1" x14ac:dyDescent="0.25">
      <c r="C2492" s="9">
        <f>Бета!$B$125</f>
        <v>31891.69</v>
      </c>
    </row>
    <row r="2493" spans="2:3" hidden="1" outlineLevel="1" collapsed="1" x14ac:dyDescent="0.25">
      <c r="C2493" s="9">
        <f>Бета!$B$147</f>
        <v>23711.7</v>
      </c>
    </row>
    <row r="2494" spans="2:3" hidden="1" outlineLevel="1" collapsed="1" x14ac:dyDescent="0.25">
      <c r="C2494" s="9">
        <f>Бета!$B$169</f>
        <v>11155.29</v>
      </c>
    </row>
    <row r="2495" spans="2:3" hidden="1" outlineLevel="1" collapsed="1" x14ac:dyDescent="0.25">
      <c r="C2495" s="9">
        <f>Бета!$B$191</f>
        <v>10924.15</v>
      </c>
    </row>
    <row r="2496" spans="2:3" hidden="1" outlineLevel="1" collapsed="1" x14ac:dyDescent="0.25">
      <c r="C2496" s="9">
        <f>Бета!$B$213</f>
        <v>10139.64</v>
      </c>
    </row>
    <row r="2497" spans="3:3" hidden="1" outlineLevel="1" collapsed="1" x14ac:dyDescent="0.25">
      <c r="C2497" s="9">
        <f>Бета!$B$235</f>
        <v>7688.65</v>
      </c>
    </row>
    <row r="2498" spans="3:3" hidden="1" outlineLevel="1" collapsed="1" x14ac:dyDescent="0.25">
      <c r="C2498" s="9">
        <f>Бета!$B$257</f>
        <v>2332.36</v>
      </c>
    </row>
    <row r="2499" spans="3:3" hidden="1" outlineLevel="1" collapsed="1" x14ac:dyDescent="0.25">
      <c r="C2499" s="9">
        <f>Бета!$B$278</f>
        <v>8215.69</v>
      </c>
    </row>
    <row r="2500" spans="3:3" hidden="1" outlineLevel="1" collapsed="1" x14ac:dyDescent="0.25">
      <c r="C2500" s="9">
        <f>Бета!$B$300</f>
        <v>5397.86</v>
      </c>
    </row>
    <row r="2501" spans="3:3" hidden="1" outlineLevel="1" collapsed="1" x14ac:dyDescent="0.25">
      <c r="C2501" s="9">
        <f>Бета!$B$322</f>
        <v>1324.58</v>
      </c>
    </row>
    <row r="2502" spans="3:3" hidden="1" outlineLevel="1" collapsed="1" x14ac:dyDescent="0.25">
      <c r="C2502" s="9">
        <f>Бета!$B$343</f>
        <v>4153.38</v>
      </c>
    </row>
    <row r="2503" spans="3:3" hidden="1" outlineLevel="1" collapsed="1" x14ac:dyDescent="0.25">
      <c r="C2503" s="9">
        <f>Бета!$B$364</f>
        <v>2214.92</v>
      </c>
    </row>
    <row r="2504" spans="3:3" hidden="1" outlineLevel="1" collapsed="1" x14ac:dyDescent="0.25">
      <c r="C2504" s="9">
        <f>Бета!$B$385</f>
        <v>379.5</v>
      </c>
    </row>
    <row r="2505" spans="3:3" hidden="1" outlineLevel="1" collapsed="1" x14ac:dyDescent="0.25">
      <c r="C2505" s="9">
        <f>Бета!$B$406</f>
        <v>3448.62</v>
      </c>
    </row>
    <row r="2506" spans="3:3" hidden="1" outlineLevel="1" collapsed="1" x14ac:dyDescent="0.25">
      <c r="C2506" s="9">
        <f>Бета!$B$427</f>
        <v>8206.8799999999992</v>
      </c>
    </row>
    <row r="2507" spans="3:3" hidden="1" outlineLevel="1" collapsed="1" x14ac:dyDescent="0.25">
      <c r="C2507" s="9">
        <f>Бета!$B$448</f>
        <v>6274.04</v>
      </c>
    </row>
    <row r="2508" spans="3:3" hidden="1" outlineLevel="1" collapsed="1" x14ac:dyDescent="0.25">
      <c r="C2508" s="9">
        <f>Бета!$B$469</f>
        <v>8328.64</v>
      </c>
    </row>
    <row r="2509" spans="3:3" hidden="1" outlineLevel="1" collapsed="1" x14ac:dyDescent="0.25">
      <c r="C2509" s="9">
        <f>Бета!$B$490</f>
        <v>3242.54</v>
      </c>
    </row>
    <row r="2510" spans="3:3" hidden="1" outlineLevel="1" collapsed="1" x14ac:dyDescent="0.25">
      <c r="C2510" s="9">
        <f>Бета!$B$511</f>
        <v>4225.74</v>
      </c>
    </row>
    <row r="2511" spans="3:3" hidden="1" outlineLevel="1" collapsed="1" x14ac:dyDescent="0.25">
      <c r="C2511" s="9">
        <f>Бета!$B$532</f>
        <v>5807.34</v>
      </c>
    </row>
    <row r="2512" spans="3:3" hidden="1" outlineLevel="1" collapsed="1" x14ac:dyDescent="0.25">
      <c r="C2512" s="9">
        <f>Бета!$B$552</f>
        <v>2767.52</v>
      </c>
    </row>
    <row r="2513" spans="3:3" hidden="1" outlineLevel="1" collapsed="1" x14ac:dyDescent="0.25">
      <c r="C2513" s="9">
        <f>Бета!$B$571</f>
        <v>10367.780000000001</v>
      </c>
    </row>
    <row r="2514" spans="3:3" hidden="1" outlineLevel="1" collapsed="1" x14ac:dyDescent="0.25">
      <c r="C2514" s="9">
        <f>Бета!$B$591</f>
        <v>1399.7</v>
      </c>
    </row>
    <row r="2515" spans="3:3" hidden="1" outlineLevel="1" collapsed="1" x14ac:dyDescent="0.25">
      <c r="C2515" s="9">
        <f>Бета!$B$610</f>
        <v>1935.26</v>
      </c>
    </row>
    <row r="2516" spans="3:3" hidden="1" outlineLevel="1" collapsed="1" x14ac:dyDescent="0.25">
      <c r="C2516" s="9">
        <f>Бета!$B$630</f>
        <v>2655.26</v>
      </c>
    </row>
    <row r="2517" spans="3:3" hidden="1" outlineLevel="1" collapsed="1" x14ac:dyDescent="0.25">
      <c r="C2517" s="9">
        <f>Бета!$B$650</f>
        <v>960.6</v>
      </c>
    </row>
    <row r="2518" spans="3:3" hidden="1" outlineLevel="1" collapsed="1" x14ac:dyDescent="0.25">
      <c r="C2518" s="9">
        <f>Бета!$B$670</f>
        <v>343.2</v>
      </c>
    </row>
    <row r="2519" spans="3:3" hidden="1" outlineLevel="1" collapsed="1" x14ac:dyDescent="0.25">
      <c r="C2519" s="9">
        <f>Бета!$B$691</f>
        <v>818.36</v>
      </c>
    </row>
    <row r="2520" spans="3:3" hidden="1" outlineLevel="1" collapsed="1" x14ac:dyDescent="0.25">
      <c r="C2520" s="9">
        <f>Бета!$B$711</f>
        <v>8602.86</v>
      </c>
    </row>
    <row r="2521" spans="3:3" hidden="1" outlineLevel="1" collapsed="1" x14ac:dyDescent="0.25">
      <c r="C2521" s="9">
        <f>Бета!$B$732</f>
        <v>9984</v>
      </c>
    </row>
    <row r="2522" spans="3:3" hidden="1" outlineLevel="1" collapsed="1" x14ac:dyDescent="0.25">
      <c r="C2522" s="9">
        <f>Бета!$B$752</f>
        <v>11606.64</v>
      </c>
    </row>
    <row r="2523" spans="3:3" hidden="1" outlineLevel="1" collapsed="1" x14ac:dyDescent="0.25">
      <c r="C2523" s="9">
        <f>Бета!$B$772</f>
        <v>4301.12</v>
      </c>
    </row>
    <row r="2524" spans="3:3" hidden="1" outlineLevel="1" collapsed="1" x14ac:dyDescent="0.25">
      <c r="C2524" s="9">
        <f>Бета!$B$792</f>
        <v>4369.28</v>
      </c>
    </row>
    <row r="2525" spans="3:3" hidden="1" outlineLevel="1" collapsed="1" x14ac:dyDescent="0.25">
      <c r="C2525" s="9">
        <f>Бета!$B$812</f>
        <v>4019.5</v>
      </c>
    </row>
    <row r="2526" spans="3:3" hidden="1" outlineLevel="1" collapsed="1" x14ac:dyDescent="0.25">
      <c r="C2526" s="9">
        <f>Бета!$B$832</f>
        <v>3644.1</v>
      </c>
    </row>
    <row r="2527" spans="3:3" hidden="1" outlineLevel="1" collapsed="1" x14ac:dyDescent="0.25">
      <c r="C2527" s="9">
        <f>Бета!$B$852</f>
        <v>1187.3</v>
      </c>
    </row>
    <row r="2528" spans="3:3" hidden="1" outlineLevel="1" collapsed="1" x14ac:dyDescent="0.25">
      <c r="C2528" s="9">
        <f>Бета!$B$872</f>
        <v>2137.3200000000002</v>
      </c>
    </row>
    <row r="2529" spans="2:3" hidden="1" outlineLevel="1" collapsed="1" x14ac:dyDescent="0.25">
      <c r="C2529" s="9">
        <f>Бета!$B$892</f>
        <v>989.7</v>
      </c>
    </row>
    <row r="2530" spans="2:3" hidden="1" outlineLevel="1" collapsed="1" x14ac:dyDescent="0.25">
      <c r="C2530" s="9">
        <f>Бета!$B$912</f>
        <v>1378.62</v>
      </c>
    </row>
    <row r="2531" spans="2:3" hidden="1" outlineLevel="1" collapsed="1" x14ac:dyDescent="0.25">
      <c r="C2531" s="9">
        <f>Бета!$B$931</f>
        <v>7186.36</v>
      </c>
    </row>
    <row r="2532" spans="2:3" hidden="1" outlineLevel="1" collapsed="1" x14ac:dyDescent="0.25">
      <c r="C2532" s="9">
        <f>Бета!$B$951</f>
        <v>1993.78</v>
      </c>
    </row>
    <row r="2533" spans="2:3" hidden="1" outlineLevel="1" collapsed="1" x14ac:dyDescent="0.25">
      <c r="C2533" s="9">
        <f>Бета!$B$971</f>
        <v>7210.3</v>
      </c>
    </row>
    <row r="2534" spans="2:3" hidden="1" outlineLevel="1" collapsed="1" x14ac:dyDescent="0.25">
      <c r="C2534" s="9">
        <f>Бета!$B$991</f>
        <v>4991.12</v>
      </c>
    </row>
    <row r="2535" spans="2:3" hidden="1" outlineLevel="1" collapsed="1" x14ac:dyDescent="0.25">
      <c r="C2535" s="9">
        <f>Бета!$B$1011</f>
        <v>1021.34</v>
      </c>
    </row>
    <row r="2536" spans="2:3" hidden="1" outlineLevel="1" collapsed="1" x14ac:dyDescent="0.25">
      <c r="B2536" t="s">
        <v>72</v>
      </c>
      <c r="C2536" s="9">
        <f>Гамма!$B$16</f>
        <v>108562.12</v>
      </c>
    </row>
    <row r="2537" spans="2:3" hidden="1" outlineLevel="1" collapsed="1" x14ac:dyDescent="0.25">
      <c r="C2537" s="9">
        <f>Гамма!$B$42</f>
        <v>158605.5</v>
      </c>
    </row>
    <row r="2538" spans="2:3" hidden="1" outlineLevel="1" collapsed="1" x14ac:dyDescent="0.25">
      <c r="C2538" s="9">
        <f>Гамма!$B$69</f>
        <v>146351.78</v>
      </c>
    </row>
    <row r="2539" spans="2:3" hidden="1" outlineLevel="1" collapsed="1" x14ac:dyDescent="0.25">
      <c r="C2539" s="9">
        <f>Гамма!$B$96</f>
        <v>164223.10999999999</v>
      </c>
    </row>
    <row r="2540" spans="2:3" hidden="1" outlineLevel="1" collapsed="1" x14ac:dyDescent="0.25">
      <c r="C2540" s="9">
        <f>Гамма!$B$122</f>
        <v>196639.58</v>
      </c>
    </row>
    <row r="2541" spans="2:3" hidden="1" outlineLevel="1" collapsed="1" x14ac:dyDescent="0.25">
      <c r="C2541" s="9">
        <f>Гамма!$B$148</f>
        <v>200541.46</v>
      </c>
    </row>
    <row r="2542" spans="2:3" hidden="1" outlineLevel="1" collapsed="1" x14ac:dyDescent="0.25">
      <c r="C2542" s="9">
        <f>Гамма!$B$174</f>
        <v>153237.54</v>
      </c>
    </row>
    <row r="2543" spans="2:3" hidden="1" outlineLevel="1" collapsed="1" x14ac:dyDescent="0.25">
      <c r="C2543" s="9">
        <f>Гамма!$B$201</f>
        <v>116028.28</v>
      </c>
    </row>
    <row r="2544" spans="2:3" hidden="1" outlineLevel="1" collapsed="1" x14ac:dyDescent="0.25">
      <c r="C2544" s="9">
        <f>Гамма!$B$228</f>
        <v>137788.56</v>
      </c>
    </row>
    <row r="2545" spans="3:3" hidden="1" outlineLevel="1" collapsed="1" x14ac:dyDescent="0.25">
      <c r="C2545" s="9">
        <f>Гамма!$B$254</f>
        <v>150183.9</v>
      </c>
    </row>
    <row r="2546" spans="3:3" hidden="1" outlineLevel="1" collapsed="1" x14ac:dyDescent="0.25">
      <c r="C2546" s="9">
        <f>Гамма!$B$280</f>
        <v>199939.67</v>
      </c>
    </row>
    <row r="2547" spans="3:3" hidden="1" outlineLevel="1" collapsed="1" x14ac:dyDescent="0.25">
      <c r="C2547" s="9">
        <f>Гамма!$B$306</f>
        <v>204127.54</v>
      </c>
    </row>
    <row r="2548" spans="3:3" hidden="1" outlineLevel="1" collapsed="1" x14ac:dyDescent="0.25">
      <c r="C2548" s="9">
        <f>Гамма!$B$332</f>
        <v>311908.98</v>
      </c>
    </row>
    <row r="2549" spans="3:3" hidden="1" outlineLevel="1" collapsed="1" x14ac:dyDescent="0.25">
      <c r="C2549" s="9">
        <f>Гамма!$B$358</f>
        <v>203092.1</v>
      </c>
    </row>
    <row r="2550" spans="3:3" hidden="1" outlineLevel="1" collapsed="1" x14ac:dyDescent="0.25">
      <c r="C2550" s="9">
        <f>Гамма!$B$383</f>
        <v>133741.66</v>
      </c>
    </row>
    <row r="2551" spans="3:3" hidden="1" outlineLevel="1" collapsed="1" x14ac:dyDescent="0.25">
      <c r="C2551" s="9">
        <f>Гамма!$B$409</f>
        <v>143892.20000000001</v>
      </c>
    </row>
    <row r="2552" spans="3:3" hidden="1" outlineLevel="1" collapsed="1" x14ac:dyDescent="0.25">
      <c r="C2552" s="9">
        <f>Гамма!$B$436</f>
        <v>138346.09</v>
      </c>
    </row>
    <row r="2553" spans="3:3" hidden="1" outlineLevel="1" collapsed="1" x14ac:dyDescent="0.25">
      <c r="C2553" s="9">
        <f>Гамма!$B$463</f>
        <v>253402.53</v>
      </c>
    </row>
    <row r="2554" spans="3:3" hidden="1" outlineLevel="1" collapsed="1" x14ac:dyDescent="0.25">
      <c r="C2554" s="9">
        <f>Гамма!$B$489</f>
        <v>242205.54</v>
      </c>
    </row>
    <row r="2555" spans="3:3" hidden="1" outlineLevel="1" collapsed="1" x14ac:dyDescent="0.25">
      <c r="C2555" s="9">
        <f>Гамма!$B$515</f>
        <v>296138.98</v>
      </c>
    </row>
    <row r="2556" spans="3:3" hidden="1" outlineLevel="1" collapsed="1" x14ac:dyDescent="0.25">
      <c r="C2556" s="9">
        <f>Гамма!$B$541</f>
        <v>186861.22</v>
      </c>
    </row>
    <row r="2557" spans="3:3" hidden="1" outlineLevel="1" collapsed="1" x14ac:dyDescent="0.25">
      <c r="C2557" s="9">
        <f>Гамма!$B$567</f>
        <v>82954.36</v>
      </c>
    </row>
    <row r="2558" spans="3:3" hidden="1" outlineLevel="1" collapsed="1" x14ac:dyDescent="0.25">
      <c r="C2558" s="9">
        <f>Гамма!$B$592</f>
        <v>72854.09</v>
      </c>
    </row>
    <row r="2559" spans="3:3" hidden="1" outlineLevel="1" collapsed="1" x14ac:dyDescent="0.25">
      <c r="C2559" s="9">
        <f>Гамма!$B$618</f>
        <v>129285.88</v>
      </c>
    </row>
    <row r="2560" spans="3:3" hidden="1" outlineLevel="1" collapsed="1" x14ac:dyDescent="0.25">
      <c r="C2560" s="9">
        <f>Гамма!$B$644</f>
        <v>127454.97</v>
      </c>
    </row>
    <row r="2561" spans="3:3" hidden="1" outlineLevel="1" collapsed="1" x14ac:dyDescent="0.25">
      <c r="C2561" s="9">
        <f>Гамма!$B$670</f>
        <v>132975.64000000001</v>
      </c>
    </row>
    <row r="2562" spans="3:3" hidden="1" outlineLevel="1" collapsed="1" x14ac:dyDescent="0.25">
      <c r="C2562" s="9">
        <f>Гамма!$B$696</f>
        <v>211737.72</v>
      </c>
    </row>
    <row r="2563" spans="3:3" hidden="1" outlineLevel="1" collapsed="1" x14ac:dyDescent="0.25">
      <c r="C2563" s="9">
        <f>Гамма!$B$722</f>
        <v>177634.91</v>
      </c>
    </row>
    <row r="2564" spans="3:3" hidden="1" outlineLevel="1" collapsed="1" x14ac:dyDescent="0.25">
      <c r="C2564" s="9">
        <f>Гамма!$B$746</f>
        <v>119243.79</v>
      </c>
    </row>
    <row r="2565" spans="3:3" hidden="1" outlineLevel="1" collapsed="1" x14ac:dyDescent="0.25">
      <c r="C2565" s="9">
        <f>Гамма!$B$772</f>
        <v>89322.21</v>
      </c>
    </row>
    <row r="2566" spans="3:3" hidden="1" outlineLevel="1" collapsed="1" x14ac:dyDescent="0.25">
      <c r="C2566" s="9">
        <f>Гамма!$B$796</f>
        <v>104591.83</v>
      </c>
    </row>
    <row r="2567" spans="3:3" hidden="1" outlineLevel="1" collapsed="1" x14ac:dyDescent="0.25">
      <c r="C2567" s="9">
        <f>Гамма!$B$822</f>
        <v>141250.1</v>
      </c>
    </row>
    <row r="2568" spans="3:3" hidden="1" outlineLevel="1" collapsed="1" x14ac:dyDescent="0.25">
      <c r="C2568" s="9">
        <f>Гамма!$B$848</f>
        <v>142717.26999999999</v>
      </c>
    </row>
    <row r="2569" spans="3:3" hidden="1" outlineLevel="1" collapsed="1" x14ac:dyDescent="0.25">
      <c r="C2569" s="9">
        <f>Гамма!$B$874</f>
        <v>199740.11</v>
      </c>
    </row>
    <row r="2570" spans="3:3" hidden="1" outlineLevel="1" collapsed="1" x14ac:dyDescent="0.25">
      <c r="C2570" s="9">
        <f>Гамма!$B$900</f>
        <v>144444.67000000001</v>
      </c>
    </row>
    <row r="2571" spans="3:3" hidden="1" outlineLevel="1" collapsed="1" x14ac:dyDescent="0.25">
      <c r="C2571" s="9">
        <f>Гамма!$B$926</f>
        <v>101120.92</v>
      </c>
    </row>
    <row r="2572" spans="3:3" hidden="1" outlineLevel="1" collapsed="1" x14ac:dyDescent="0.25">
      <c r="C2572" s="9">
        <f>Гамма!$B$951</f>
        <v>70089.78</v>
      </c>
    </row>
    <row r="2573" spans="3:3" hidden="1" outlineLevel="1" collapsed="1" x14ac:dyDescent="0.25">
      <c r="C2573" s="9">
        <f>Гамма!$B$977</f>
        <v>63400.62</v>
      </c>
    </row>
    <row r="2574" spans="3:3" hidden="1" outlineLevel="1" collapsed="1" x14ac:dyDescent="0.25">
      <c r="C2574" s="9">
        <f>Гамма!$B$1003</f>
        <v>81166.789999999994</v>
      </c>
    </row>
    <row r="2575" spans="3:3" hidden="1" outlineLevel="1" collapsed="1" x14ac:dyDescent="0.25">
      <c r="C2575" s="9">
        <f>Гамма!$B$1028</f>
        <v>127603.89</v>
      </c>
    </row>
    <row r="2576" spans="3:3" hidden="1" outlineLevel="1" collapsed="1" x14ac:dyDescent="0.25">
      <c r="C2576" s="9">
        <f>Гамма!$B$1052</f>
        <v>182190.47</v>
      </c>
    </row>
    <row r="2577" spans="2:3" hidden="1" outlineLevel="1" collapsed="1" x14ac:dyDescent="0.25">
      <c r="C2577" s="9">
        <f>Гамма!$B$1077</f>
        <v>136164.48000000001</v>
      </c>
    </row>
    <row r="2578" spans="2:3" hidden="1" outlineLevel="1" collapsed="1" x14ac:dyDescent="0.25">
      <c r="C2578" s="9">
        <f>Гамма!$B$1103</f>
        <v>92362.77</v>
      </c>
    </row>
    <row r="2579" spans="2:3" hidden="1" outlineLevel="1" collapsed="1" x14ac:dyDescent="0.25">
      <c r="C2579" s="9">
        <f>Гамма!$B$1127</f>
        <v>84096.89</v>
      </c>
    </row>
    <row r="2580" spans="2:3" hidden="1" outlineLevel="1" collapsed="1" x14ac:dyDescent="0.25">
      <c r="C2580" s="9">
        <f>Гамма!$B$1151</f>
        <v>96080.46</v>
      </c>
    </row>
    <row r="2581" spans="2:3" hidden="1" outlineLevel="1" collapsed="1" x14ac:dyDescent="0.25">
      <c r="C2581" s="9">
        <f>Гамма!$B$1177</f>
        <v>84558.04</v>
      </c>
    </row>
    <row r="2582" spans="2:3" hidden="1" outlineLevel="1" collapsed="1" x14ac:dyDescent="0.25">
      <c r="C2582" s="9">
        <f>Гамма!$B$1201</f>
        <v>96652.56</v>
      </c>
    </row>
    <row r="2583" spans="2:3" hidden="1" outlineLevel="1" collapsed="1" x14ac:dyDescent="0.25">
      <c r="C2583" s="9">
        <f>Гамма!$B$1226</f>
        <v>107763.85</v>
      </c>
    </row>
    <row r="2584" spans="2:3" hidden="1" outlineLevel="1" collapsed="1" x14ac:dyDescent="0.25">
      <c r="C2584" s="9">
        <f>Гамма!$B$1251</f>
        <v>47249.01</v>
      </c>
    </row>
    <row r="2585" spans="2:3" hidden="1" outlineLevel="1" collapsed="1" x14ac:dyDescent="0.25">
      <c r="B2585" t="s">
        <v>72</v>
      </c>
      <c r="C2585" s="9">
        <f>Дельта!$B$16</f>
        <v>138906.99</v>
      </c>
    </row>
    <row r="2586" spans="2:3" hidden="1" outlineLevel="1" collapsed="1" x14ac:dyDescent="0.25">
      <c r="C2586" s="9">
        <f>Дельта!$B$42</f>
        <v>123452.52</v>
      </c>
    </row>
    <row r="2587" spans="2:3" hidden="1" outlineLevel="1" collapsed="1" x14ac:dyDescent="0.25">
      <c r="C2587" s="9">
        <f>Дельта!$B$68</f>
        <v>135865</v>
      </c>
    </row>
    <row r="2588" spans="2:3" hidden="1" outlineLevel="1" collapsed="1" x14ac:dyDescent="0.25">
      <c r="C2588" s="9">
        <f>Дельта!$B$94</f>
        <v>153452</v>
      </c>
    </row>
    <row r="2589" spans="2:3" hidden="1" outlineLevel="1" collapsed="1" x14ac:dyDescent="0.25">
      <c r="C2589" s="9">
        <f>Дельта!$B$120</f>
        <v>163013</v>
      </c>
    </row>
    <row r="2590" spans="2:3" hidden="1" outlineLevel="1" collapsed="1" x14ac:dyDescent="0.25">
      <c r="C2590" s="9">
        <f>Дельта!$B$146</f>
        <v>184993</v>
      </c>
    </row>
    <row r="2591" spans="2:3" hidden="1" outlineLevel="1" collapsed="1" x14ac:dyDescent="0.25">
      <c r="C2591" s="9">
        <f>Дельта!$B$171</f>
        <v>118450.32</v>
      </c>
    </row>
    <row r="2592" spans="2:3" hidden="1" outlineLevel="1" collapsed="1" x14ac:dyDescent="0.25">
      <c r="C2592" s="9">
        <f>Дельта!$B$197</f>
        <v>109413</v>
      </c>
    </row>
    <row r="2593" spans="3:3" hidden="1" outlineLevel="1" collapsed="1" x14ac:dyDescent="0.25">
      <c r="C2593" s="9">
        <f>Дельта!$B$223</f>
        <v>73294.41</v>
      </c>
    </row>
    <row r="2594" spans="3:3" hidden="1" outlineLevel="1" collapsed="1" x14ac:dyDescent="0.25">
      <c r="C2594" s="9">
        <f>Дельта!$B$248</f>
        <v>119680</v>
      </c>
    </row>
    <row r="2595" spans="3:3" hidden="1" outlineLevel="1" collapsed="1" x14ac:dyDescent="0.25">
      <c r="C2595" s="9">
        <f>Дельта!$B$274</f>
        <v>106100</v>
      </c>
    </row>
    <row r="2596" spans="3:3" hidden="1" outlineLevel="1" collapsed="1" x14ac:dyDescent="0.25">
      <c r="C2596" s="9">
        <f>Дельта!$B$300</f>
        <v>129315</v>
      </c>
    </row>
    <row r="2597" spans="3:3" hidden="1" outlineLevel="1" collapsed="1" x14ac:dyDescent="0.25">
      <c r="C2597" s="9">
        <f>Дельта!$B$326</f>
        <v>195344</v>
      </c>
    </row>
    <row r="2598" spans="3:3" hidden="1" outlineLevel="1" collapsed="1" x14ac:dyDescent="0.25">
      <c r="C2598" s="9">
        <f>Дельта!$B$352</f>
        <v>108211</v>
      </c>
    </row>
    <row r="2599" spans="3:3" hidden="1" outlineLevel="1" collapsed="1" x14ac:dyDescent="0.25">
      <c r="C2599" s="9">
        <f>Дельта!$B$378</f>
        <v>84291</v>
      </c>
    </row>
    <row r="2600" spans="3:3" hidden="1" outlineLevel="1" collapsed="1" x14ac:dyDescent="0.25">
      <c r="C2600" s="9">
        <f>Дельта!$B$404</f>
        <v>75301</v>
      </c>
    </row>
    <row r="2601" spans="3:3" hidden="1" outlineLevel="1" collapsed="1" x14ac:dyDescent="0.25">
      <c r="C2601" s="9">
        <f>Дельта!$B$430</f>
        <v>59156</v>
      </c>
    </row>
    <row r="2602" spans="3:3" hidden="1" outlineLevel="1" collapsed="1" x14ac:dyDescent="0.25">
      <c r="C2602" s="9">
        <f>Дельта!$B$456</f>
        <v>109744</v>
      </c>
    </row>
    <row r="2603" spans="3:3" hidden="1" outlineLevel="1" collapsed="1" x14ac:dyDescent="0.25">
      <c r="C2603" s="9">
        <f>Дельта!$B$482</f>
        <v>115123</v>
      </c>
    </row>
    <row r="2604" spans="3:3" hidden="1" outlineLevel="1" collapsed="1" x14ac:dyDescent="0.25">
      <c r="C2604" s="9">
        <f>Дельта!$B$508</f>
        <v>150208</v>
      </c>
    </row>
    <row r="2605" spans="3:3" hidden="1" outlineLevel="1" collapsed="1" x14ac:dyDescent="0.25">
      <c r="C2605" s="9">
        <f>Дельта!$B$534</f>
        <v>102116</v>
      </c>
    </row>
    <row r="2606" spans="3:3" hidden="1" outlineLevel="1" collapsed="1" x14ac:dyDescent="0.25">
      <c r="C2606" s="9">
        <f>Дельта!$B$560</f>
        <v>58074</v>
      </c>
    </row>
    <row r="2607" spans="3:3" hidden="1" outlineLevel="1" collapsed="1" x14ac:dyDescent="0.25">
      <c r="C2607" s="9">
        <f>Дельта!$B$586</f>
        <v>47219</v>
      </c>
    </row>
    <row r="2608" spans="3:3" hidden="1" outlineLevel="1" collapsed="1" x14ac:dyDescent="0.25">
      <c r="C2608" s="9">
        <f>Дельта!$B$612</f>
        <v>78296</v>
      </c>
    </row>
    <row r="2609" spans="3:3" hidden="1" outlineLevel="1" collapsed="1" x14ac:dyDescent="0.25">
      <c r="C2609" s="9">
        <f>Дельта!$B$637</f>
        <v>85204</v>
      </c>
    </row>
    <row r="2610" spans="3:3" hidden="1" outlineLevel="1" collapsed="1" x14ac:dyDescent="0.25">
      <c r="C2610" s="9">
        <f>Дельта!$B$663</f>
        <v>99546</v>
      </c>
    </row>
    <row r="2611" spans="3:3" hidden="1" outlineLevel="1" collapsed="1" x14ac:dyDescent="0.25">
      <c r="C2611" s="9">
        <f>Дельта!$B$690</f>
        <v>98786</v>
      </c>
    </row>
    <row r="2612" spans="3:3" hidden="1" outlineLevel="1" collapsed="1" x14ac:dyDescent="0.25">
      <c r="C2612" s="9">
        <f>Дельта!$B$716</f>
        <v>65170</v>
      </c>
    </row>
    <row r="2613" spans="3:3" hidden="1" outlineLevel="1" collapsed="1" x14ac:dyDescent="0.25">
      <c r="C2613" s="9">
        <f>Дельта!$B$741</f>
        <v>59981</v>
      </c>
    </row>
    <row r="2614" spans="3:3" hidden="1" outlineLevel="1" collapsed="1" x14ac:dyDescent="0.25">
      <c r="C2614" s="9">
        <f>Дельта!$B$767</f>
        <v>38828.089999999997</v>
      </c>
    </row>
    <row r="2615" spans="3:3" hidden="1" outlineLevel="1" collapsed="1" x14ac:dyDescent="0.25">
      <c r="C2615" s="9">
        <f>Дельта!$B$792</f>
        <v>32564</v>
      </c>
    </row>
    <row r="2616" spans="3:3" hidden="1" outlineLevel="1" collapsed="1" x14ac:dyDescent="0.25">
      <c r="C2616" s="9">
        <f>Дельта!$B$818</f>
        <v>64807</v>
      </c>
    </row>
    <row r="2617" spans="3:3" hidden="1" outlineLevel="1" collapsed="1" x14ac:dyDescent="0.25">
      <c r="C2617" s="9">
        <f>Дельта!$B$844</f>
        <v>52423</v>
      </c>
    </row>
    <row r="2618" spans="3:3" hidden="1" outlineLevel="1" collapsed="1" x14ac:dyDescent="0.25">
      <c r="C2618" s="9">
        <f>Дельта!$B$870</f>
        <v>103793</v>
      </c>
    </row>
    <row r="2619" spans="3:3" hidden="1" outlineLevel="1" collapsed="1" x14ac:dyDescent="0.25">
      <c r="C2619" s="9">
        <f>Дельта!$B$896</f>
        <v>103679</v>
      </c>
    </row>
    <row r="2620" spans="3:3" hidden="1" outlineLevel="1" collapsed="1" x14ac:dyDescent="0.25">
      <c r="C2620" s="9">
        <f>Дельта!$B$922</f>
        <v>40676</v>
      </c>
    </row>
    <row r="2621" spans="3:3" hidden="1" outlineLevel="1" collapsed="1" x14ac:dyDescent="0.25">
      <c r="C2621" s="9">
        <f>Дельта!$B$947</f>
        <v>29971.759999999998</v>
      </c>
    </row>
    <row r="2622" spans="3:3" hidden="1" outlineLevel="1" collapsed="1" x14ac:dyDescent="0.25">
      <c r="C2622" s="9">
        <f>Дельта!$B$973</f>
        <v>40706.400000000001</v>
      </c>
    </row>
    <row r="2623" spans="3:3" hidden="1" outlineLevel="1" collapsed="1" x14ac:dyDescent="0.25">
      <c r="C2623" s="9">
        <f>Дельта!$B$998</f>
        <v>37122</v>
      </c>
    </row>
    <row r="2624" spans="3:3" hidden="1" outlineLevel="1" collapsed="1" x14ac:dyDescent="0.25">
      <c r="C2624" s="9">
        <f>Дельта!$B$1023</f>
        <v>66957</v>
      </c>
    </row>
    <row r="2625" spans="1:3" hidden="1" outlineLevel="1" collapsed="1" x14ac:dyDescent="0.25">
      <c r="C2625" s="9">
        <f>Дельта!$B$1049</f>
        <v>76161</v>
      </c>
    </row>
    <row r="2626" spans="1:3" hidden="1" outlineLevel="1" collapsed="1" x14ac:dyDescent="0.25">
      <c r="C2626" s="9">
        <f>Дельта!$B$1075</f>
        <v>54390.55</v>
      </c>
    </row>
    <row r="2627" spans="1:3" hidden="1" outlineLevel="1" collapsed="1" x14ac:dyDescent="0.25">
      <c r="C2627" s="9">
        <f>Дельта!$B$1099</f>
        <v>34180</v>
      </c>
    </row>
    <row r="2628" spans="1:3" hidden="1" outlineLevel="1" collapsed="1" x14ac:dyDescent="0.25">
      <c r="C2628" s="9">
        <f>Дельта!$B$1124</f>
        <v>24775</v>
      </c>
    </row>
    <row r="2629" spans="1:3" hidden="1" outlineLevel="1" collapsed="1" x14ac:dyDescent="0.25">
      <c r="C2629" s="9">
        <f>Дельта!$B$1149</f>
        <v>38630</v>
      </c>
    </row>
    <row r="2630" spans="1:3" hidden="1" outlineLevel="1" collapsed="1" x14ac:dyDescent="0.25">
      <c r="C2630" s="9">
        <f>Дельта!$B$1172</f>
        <v>67070.41</v>
      </c>
    </row>
    <row r="2631" spans="1:3" hidden="1" outlineLevel="1" collapsed="1" x14ac:dyDescent="0.25">
      <c r="C2631" s="9">
        <f>Дельта!$B$1196</f>
        <v>83399.17</v>
      </c>
    </row>
    <row r="2632" spans="1:3" hidden="1" outlineLevel="1" collapsed="1" x14ac:dyDescent="0.25">
      <c r="C2632" s="9">
        <f>Дельта!$B$1221</f>
        <v>60994</v>
      </c>
    </row>
    <row r="2633" spans="1:3" hidden="1" outlineLevel="1" collapsed="1" x14ac:dyDescent="0.25">
      <c r="C2633" s="9">
        <f>Дельта!$B$1245</f>
        <v>15507</v>
      </c>
    </row>
    <row r="2634" spans="1:3" collapsed="1" x14ac:dyDescent="0.25">
      <c r="A2634" t="s">
        <v>15</v>
      </c>
      <c r="C2634" s="9">
        <f>SUM(C2438:C2633)</f>
        <v>20665655.619999994</v>
      </c>
    </row>
    <row r="2635" spans="1:3" hidden="1" outlineLevel="1" x14ac:dyDescent="0.25">
      <c r="B2635" t="s">
        <v>72</v>
      </c>
      <c r="C2635" s="9">
        <f>Альфа!$B$16</f>
        <v>57529.37</v>
      </c>
    </row>
    <row r="2636" spans="1:3" hidden="1" outlineLevel="1" collapsed="1" x14ac:dyDescent="0.25">
      <c r="C2636" s="9">
        <f>Альфа!$B$42</f>
        <v>30119.42</v>
      </c>
    </row>
    <row r="2637" spans="1:3" hidden="1" outlineLevel="1" collapsed="1" x14ac:dyDescent="0.25">
      <c r="C2637" s="9">
        <f>Альфа!$B$68</f>
        <v>40317.519999999997</v>
      </c>
    </row>
    <row r="2638" spans="1:3" hidden="1" outlineLevel="1" collapsed="1" x14ac:dyDescent="0.25">
      <c r="C2638" s="9">
        <f>Альфа!$B$94</f>
        <v>104427.6</v>
      </c>
    </row>
    <row r="2639" spans="1:3" hidden="1" outlineLevel="1" collapsed="1" x14ac:dyDescent="0.25">
      <c r="C2639" s="9">
        <f>Альфа!$B$121</f>
        <v>156748.41</v>
      </c>
    </row>
    <row r="2640" spans="1:3" hidden="1" outlineLevel="1" collapsed="1" x14ac:dyDescent="0.25">
      <c r="C2640" s="9">
        <f>Альфа!$B$148</f>
        <v>196499.23</v>
      </c>
    </row>
    <row r="2641" spans="3:3" hidden="1" outlineLevel="1" collapsed="1" x14ac:dyDescent="0.25">
      <c r="C2641" s="9">
        <f>Альфа!$B$174</f>
        <v>140762.75</v>
      </c>
    </row>
    <row r="2642" spans="3:3" hidden="1" outlineLevel="1" collapsed="1" x14ac:dyDescent="0.25">
      <c r="C2642" s="9">
        <f>Альфа!$B$200</f>
        <v>127016.73</v>
      </c>
    </row>
    <row r="2643" spans="3:3" hidden="1" outlineLevel="1" collapsed="1" x14ac:dyDescent="0.25">
      <c r="C2643" s="9">
        <f>Альфа!$B$226</f>
        <v>54263.66</v>
      </c>
    </row>
    <row r="2644" spans="3:3" hidden="1" outlineLevel="1" collapsed="1" x14ac:dyDescent="0.25">
      <c r="C2644" s="9">
        <f>Альфа!$B$253</f>
        <v>123858.26</v>
      </c>
    </row>
    <row r="2645" spans="3:3" hidden="1" outlineLevel="1" collapsed="1" x14ac:dyDescent="0.25">
      <c r="C2645" s="9">
        <f>Альфа!$B$279</f>
        <v>97786.36</v>
      </c>
    </row>
    <row r="2646" spans="3:3" hidden="1" outlineLevel="1" collapsed="1" x14ac:dyDescent="0.25">
      <c r="C2646" s="9">
        <f>Альфа!$B$305</f>
        <v>97920.41</v>
      </c>
    </row>
    <row r="2647" spans="3:3" hidden="1" outlineLevel="1" collapsed="1" x14ac:dyDescent="0.25">
      <c r="C2647" s="9">
        <f>Альфа!$B$331</f>
        <v>275586.89</v>
      </c>
    </row>
    <row r="2648" spans="3:3" hidden="1" outlineLevel="1" collapsed="1" x14ac:dyDescent="0.25">
      <c r="C2648" s="9">
        <f>Альфа!$B$357</f>
        <v>126422.78</v>
      </c>
    </row>
    <row r="2649" spans="3:3" hidden="1" outlineLevel="1" collapsed="1" x14ac:dyDescent="0.25">
      <c r="C2649" s="9">
        <f>Альфа!$B$384</f>
        <v>150617.34</v>
      </c>
    </row>
    <row r="2650" spans="3:3" hidden="1" outlineLevel="1" collapsed="1" x14ac:dyDescent="0.25">
      <c r="C2650" s="9">
        <f>Альфа!$B$410</f>
        <v>118410.5</v>
      </c>
    </row>
    <row r="2651" spans="3:3" hidden="1" outlineLevel="1" collapsed="1" x14ac:dyDescent="0.25">
      <c r="C2651" s="9">
        <f>Альфа!$B$436</f>
        <v>429398.65</v>
      </c>
    </row>
    <row r="2652" spans="3:3" hidden="1" outlineLevel="1" collapsed="1" x14ac:dyDescent="0.25">
      <c r="C2652" s="9">
        <f>Альфа!$B$461</f>
        <v>179471.63</v>
      </c>
    </row>
    <row r="2653" spans="3:3" hidden="1" outlineLevel="1" collapsed="1" x14ac:dyDescent="0.25">
      <c r="C2653" s="9">
        <f>Альфа!$B$487</f>
        <v>294214.40000000002</v>
      </c>
    </row>
    <row r="2654" spans="3:3" hidden="1" outlineLevel="1" collapsed="1" x14ac:dyDescent="0.25">
      <c r="C2654" s="9">
        <f>Альфа!$B$512</f>
        <v>272899.59000000003</v>
      </c>
    </row>
    <row r="2655" spans="3:3" hidden="1" outlineLevel="1" collapsed="1" x14ac:dyDescent="0.25">
      <c r="C2655" s="9">
        <f>Альфа!$B$537</f>
        <v>262879.93</v>
      </c>
    </row>
    <row r="2656" spans="3:3" hidden="1" outlineLevel="1" collapsed="1" x14ac:dyDescent="0.25">
      <c r="C2656" s="9">
        <f>Альфа!$B$562</f>
        <v>169167.22</v>
      </c>
    </row>
    <row r="2657" spans="3:3" hidden="1" outlineLevel="1" collapsed="1" x14ac:dyDescent="0.25">
      <c r="C2657" s="9">
        <f>Альфа!$B$587</f>
        <v>61025.31</v>
      </c>
    </row>
    <row r="2658" spans="3:3" hidden="1" outlineLevel="1" collapsed="1" x14ac:dyDescent="0.25">
      <c r="C2658" s="9">
        <f>Альфа!$B$611</f>
        <v>95914.47</v>
      </c>
    </row>
    <row r="2659" spans="3:3" hidden="1" outlineLevel="1" collapsed="1" x14ac:dyDescent="0.25">
      <c r="C2659" s="9">
        <f>Альфа!$B$636</f>
        <v>120769.71</v>
      </c>
    </row>
    <row r="2660" spans="3:3" hidden="1" outlineLevel="1" collapsed="1" x14ac:dyDescent="0.25">
      <c r="C2660" s="9">
        <f>Альфа!$B$661</f>
        <v>183558.85</v>
      </c>
    </row>
    <row r="2661" spans="3:3" hidden="1" outlineLevel="1" collapsed="1" x14ac:dyDescent="0.25">
      <c r="C2661" s="9">
        <f>Альфа!$B$686</f>
        <v>161962.26</v>
      </c>
    </row>
    <row r="2662" spans="3:3" hidden="1" outlineLevel="1" collapsed="1" x14ac:dyDescent="0.25">
      <c r="C2662" s="9">
        <f>Альфа!$B$711</f>
        <v>100061.02</v>
      </c>
    </row>
    <row r="2663" spans="3:3" hidden="1" outlineLevel="1" collapsed="1" x14ac:dyDescent="0.25">
      <c r="C2663" s="9">
        <f>Альфа!$B$736</f>
        <v>130679.63</v>
      </c>
    </row>
    <row r="2664" spans="3:3" hidden="1" outlineLevel="1" collapsed="1" x14ac:dyDescent="0.25">
      <c r="C2664" s="9">
        <f>Альфа!$B$761</f>
        <v>285502.03000000003</v>
      </c>
    </row>
    <row r="2665" spans="3:3" hidden="1" outlineLevel="1" collapsed="1" x14ac:dyDescent="0.25">
      <c r="C2665" s="9">
        <f>Альфа!$B$786</f>
        <v>65948.17</v>
      </c>
    </row>
    <row r="2666" spans="3:3" hidden="1" outlineLevel="1" collapsed="1" x14ac:dyDescent="0.25">
      <c r="C2666" s="9">
        <f>Альфа!$B$809</f>
        <v>74185.08</v>
      </c>
    </row>
    <row r="2667" spans="3:3" hidden="1" outlineLevel="1" collapsed="1" x14ac:dyDescent="0.25">
      <c r="C2667" s="9">
        <f>Альфа!$B$833</f>
        <v>162608.87</v>
      </c>
    </row>
    <row r="2668" spans="3:3" hidden="1" outlineLevel="1" collapsed="1" x14ac:dyDescent="0.25">
      <c r="C2668" s="9">
        <f>Альфа!$B$858</f>
        <v>218662.1</v>
      </c>
    </row>
    <row r="2669" spans="3:3" hidden="1" outlineLevel="1" collapsed="1" x14ac:dyDescent="0.25">
      <c r="C2669" s="9">
        <f>Альфа!$B$883</f>
        <v>131201.56</v>
      </c>
    </row>
    <row r="2670" spans="3:3" hidden="1" outlineLevel="1" collapsed="1" x14ac:dyDescent="0.25">
      <c r="C2670" s="9">
        <f>Альфа!$B$908</f>
        <v>120842.06</v>
      </c>
    </row>
    <row r="2671" spans="3:3" hidden="1" outlineLevel="1" collapsed="1" x14ac:dyDescent="0.25">
      <c r="C2671" s="9">
        <f>Альфа!$B$933</f>
        <v>23080.74</v>
      </c>
    </row>
    <row r="2672" spans="3:3" hidden="1" outlineLevel="1" collapsed="1" x14ac:dyDescent="0.25">
      <c r="C2672" s="9">
        <f>Альфа!$B$958</f>
        <v>37939.730000000003</v>
      </c>
    </row>
    <row r="2673" spans="2:3" hidden="1" outlineLevel="1" collapsed="1" x14ac:dyDescent="0.25">
      <c r="C2673" s="9">
        <f>Альфа!$B$982</f>
        <v>88390.63</v>
      </c>
    </row>
    <row r="2674" spans="2:3" hidden="1" outlineLevel="1" collapsed="1" x14ac:dyDescent="0.25">
      <c r="C2674" s="9">
        <f>Альфа!$B$1008</f>
        <v>59528.94</v>
      </c>
    </row>
    <row r="2675" spans="2:3" hidden="1" outlineLevel="1" collapsed="1" x14ac:dyDescent="0.25">
      <c r="C2675" s="9">
        <f>Альфа!$B$1033</f>
        <v>72603.5</v>
      </c>
    </row>
    <row r="2676" spans="2:3" hidden="1" outlineLevel="1" collapsed="1" x14ac:dyDescent="0.25">
      <c r="C2676" s="9">
        <f>Альфа!$B$1059</f>
        <v>35533.15</v>
      </c>
    </row>
    <row r="2677" spans="2:3" hidden="1" outlineLevel="1" collapsed="1" x14ac:dyDescent="0.25">
      <c r="C2677" s="9">
        <f>Альфа!$B$1083</f>
        <v>40794.43</v>
      </c>
    </row>
    <row r="2678" spans="2:3" hidden="1" outlineLevel="1" collapsed="1" x14ac:dyDescent="0.25">
      <c r="C2678" s="9">
        <f>Альфа!$B$1108</f>
        <v>55332.46</v>
      </c>
    </row>
    <row r="2679" spans="2:3" hidden="1" outlineLevel="1" collapsed="1" x14ac:dyDescent="0.25">
      <c r="C2679" s="9">
        <f>Альфа!$B$1133</f>
        <v>58329.46</v>
      </c>
    </row>
    <row r="2680" spans="2:3" hidden="1" outlineLevel="1" collapsed="1" x14ac:dyDescent="0.25">
      <c r="C2680" s="9">
        <f>Альфа!$B$1158</f>
        <v>74144.289999999994</v>
      </c>
    </row>
    <row r="2681" spans="2:3" hidden="1" outlineLevel="1" collapsed="1" x14ac:dyDescent="0.25">
      <c r="C2681" s="9">
        <f>Альфа!$B$1184</f>
        <v>221262.42</v>
      </c>
    </row>
    <row r="2682" spans="2:3" hidden="1" outlineLevel="1" collapsed="1" x14ac:dyDescent="0.25">
      <c r="C2682" s="9">
        <f>Альфа!$B$1210</f>
        <v>114167.03999999999</v>
      </c>
    </row>
    <row r="2683" spans="2:3" hidden="1" outlineLevel="1" collapsed="1" x14ac:dyDescent="0.25">
      <c r="C2683" s="9">
        <f>Альфа!$B$1235</f>
        <v>54362.54</v>
      </c>
    </row>
    <row r="2684" spans="2:3" hidden="1" outlineLevel="1" collapsed="1" x14ac:dyDescent="0.25">
      <c r="B2684" t="s">
        <v>72</v>
      </c>
      <c r="C2684" s="9">
        <f>Гамма!$B$17</f>
        <v>36251.06</v>
      </c>
    </row>
    <row r="2685" spans="2:3" hidden="1" outlineLevel="1" collapsed="1" x14ac:dyDescent="0.25">
      <c r="C2685" s="9">
        <f>Гамма!$B$43</f>
        <v>110477.63</v>
      </c>
    </row>
    <row r="2686" spans="2:3" hidden="1" outlineLevel="1" collapsed="1" x14ac:dyDescent="0.25">
      <c r="C2686" s="9">
        <f>Гамма!$B$70</f>
        <v>177225.05</v>
      </c>
    </row>
    <row r="2687" spans="2:3" hidden="1" outlineLevel="1" collapsed="1" x14ac:dyDescent="0.25">
      <c r="C2687" s="9">
        <f>Гамма!$B$97</f>
        <v>158682.94</v>
      </c>
    </row>
    <row r="2688" spans="2:3" hidden="1" outlineLevel="1" collapsed="1" x14ac:dyDescent="0.25">
      <c r="C2688" s="9">
        <f>Гамма!$B$123</f>
        <v>151101.35</v>
      </c>
    </row>
    <row r="2689" spans="3:3" hidden="1" outlineLevel="1" collapsed="1" x14ac:dyDescent="0.25">
      <c r="C2689" s="9">
        <f>Гамма!$B$149</f>
        <v>131011.61</v>
      </c>
    </row>
    <row r="2690" spans="3:3" hidden="1" outlineLevel="1" collapsed="1" x14ac:dyDescent="0.25">
      <c r="C2690" s="9">
        <f>Гамма!$B$175</f>
        <v>93246.35</v>
      </c>
    </row>
    <row r="2691" spans="3:3" hidden="1" outlineLevel="1" collapsed="1" x14ac:dyDescent="0.25">
      <c r="C2691" s="9">
        <f>Гамма!$B$202</f>
        <v>92995.41</v>
      </c>
    </row>
    <row r="2692" spans="3:3" hidden="1" outlineLevel="1" collapsed="1" x14ac:dyDescent="0.25">
      <c r="C2692" s="9">
        <f>Гамма!$B$229</f>
        <v>136455.28</v>
      </c>
    </row>
    <row r="2693" spans="3:3" hidden="1" outlineLevel="1" collapsed="1" x14ac:dyDescent="0.25">
      <c r="C2693" s="9">
        <f>Гамма!$B$255</f>
        <v>111478.07</v>
      </c>
    </row>
    <row r="2694" spans="3:3" hidden="1" outlineLevel="1" collapsed="1" x14ac:dyDescent="0.25">
      <c r="C2694" s="9">
        <f>Гамма!$B$281</f>
        <v>127030.16</v>
      </c>
    </row>
    <row r="2695" spans="3:3" hidden="1" outlineLevel="1" collapsed="1" x14ac:dyDescent="0.25">
      <c r="C2695" s="9">
        <f>Гамма!$B$307</f>
        <v>132290.63</v>
      </c>
    </row>
    <row r="2696" spans="3:3" hidden="1" outlineLevel="1" collapsed="1" x14ac:dyDescent="0.25">
      <c r="C2696" s="9">
        <f>Гамма!$B$333</f>
        <v>248834.68</v>
      </c>
    </row>
    <row r="2697" spans="3:3" hidden="1" outlineLevel="1" collapsed="1" x14ac:dyDescent="0.25">
      <c r="C2697" s="9">
        <f>Гамма!$B$359</f>
        <v>222376.74</v>
      </c>
    </row>
    <row r="2698" spans="3:3" hidden="1" outlineLevel="1" collapsed="1" x14ac:dyDescent="0.25">
      <c r="C2698" s="9">
        <f>Гамма!$B$384</f>
        <v>100004.22</v>
      </c>
    </row>
    <row r="2699" spans="3:3" hidden="1" outlineLevel="1" collapsed="1" x14ac:dyDescent="0.25">
      <c r="C2699" s="9">
        <f>Гамма!$B$410</f>
        <v>81706.399999999994</v>
      </c>
    </row>
    <row r="2700" spans="3:3" hidden="1" outlineLevel="1" collapsed="1" x14ac:dyDescent="0.25">
      <c r="C2700" s="9">
        <f>Гамма!$B$437</f>
        <v>126432.15</v>
      </c>
    </row>
    <row r="2701" spans="3:3" hidden="1" outlineLevel="1" collapsed="1" x14ac:dyDescent="0.25">
      <c r="C2701" s="9">
        <f>Гамма!$B$464</f>
        <v>184067.72</v>
      </c>
    </row>
    <row r="2702" spans="3:3" hidden="1" outlineLevel="1" collapsed="1" x14ac:dyDescent="0.25">
      <c r="C2702" s="9">
        <f>Гамма!$B$490</f>
        <v>155546.94</v>
      </c>
    </row>
    <row r="2703" spans="3:3" hidden="1" outlineLevel="1" collapsed="1" x14ac:dyDescent="0.25">
      <c r="C2703" s="9">
        <f>Гамма!$B$516</f>
        <v>211134.13</v>
      </c>
    </row>
    <row r="2704" spans="3:3" hidden="1" outlineLevel="1" collapsed="1" x14ac:dyDescent="0.25">
      <c r="C2704" s="9">
        <f>Гамма!$B$542</f>
        <v>147381.46</v>
      </c>
    </row>
    <row r="2705" spans="3:3" hidden="1" outlineLevel="1" collapsed="1" x14ac:dyDescent="0.25">
      <c r="C2705" s="9">
        <f>Гамма!$B$568</f>
        <v>61481.59</v>
      </c>
    </row>
    <row r="2706" spans="3:3" hidden="1" outlineLevel="1" collapsed="1" x14ac:dyDescent="0.25">
      <c r="C2706" s="9">
        <f>Гамма!$B$593</f>
        <v>48325.35</v>
      </c>
    </row>
    <row r="2707" spans="3:3" hidden="1" outlineLevel="1" collapsed="1" x14ac:dyDescent="0.25">
      <c r="C2707" s="9">
        <f>Гамма!$B$619</f>
        <v>103851.41</v>
      </c>
    </row>
    <row r="2708" spans="3:3" hidden="1" outlineLevel="1" collapsed="1" x14ac:dyDescent="0.25">
      <c r="C2708" s="9">
        <f>Гамма!$B$645</f>
        <v>141713.29</v>
      </c>
    </row>
    <row r="2709" spans="3:3" hidden="1" outlineLevel="1" collapsed="1" x14ac:dyDescent="0.25">
      <c r="C2709" s="9">
        <f>Гамма!$B$671</f>
        <v>167673.45000000001</v>
      </c>
    </row>
    <row r="2710" spans="3:3" hidden="1" outlineLevel="1" collapsed="1" x14ac:dyDescent="0.25">
      <c r="C2710" s="9">
        <f>Гамма!$B$697</f>
        <v>193435.41</v>
      </c>
    </row>
    <row r="2711" spans="3:3" hidden="1" outlineLevel="1" collapsed="1" x14ac:dyDescent="0.25">
      <c r="C2711" s="9">
        <f>Гамма!$B$723</f>
        <v>88679.65</v>
      </c>
    </row>
    <row r="2712" spans="3:3" hidden="1" outlineLevel="1" collapsed="1" x14ac:dyDescent="0.25">
      <c r="C2712" s="9">
        <f>Гамма!$B$747</f>
        <v>72060.070000000007</v>
      </c>
    </row>
    <row r="2713" spans="3:3" hidden="1" outlineLevel="1" collapsed="1" x14ac:dyDescent="0.25">
      <c r="C2713" s="9">
        <f>Гамма!$B$773</f>
        <v>50058.04</v>
      </c>
    </row>
    <row r="2714" spans="3:3" hidden="1" outlineLevel="1" collapsed="1" x14ac:dyDescent="0.25">
      <c r="C2714" s="9">
        <f>Гамма!$B$797</f>
        <v>66699.87</v>
      </c>
    </row>
    <row r="2715" spans="3:3" hidden="1" outlineLevel="1" collapsed="1" x14ac:dyDescent="0.25">
      <c r="C2715" s="9">
        <f>Гамма!$B$823</f>
        <v>93380.14</v>
      </c>
    </row>
    <row r="2716" spans="3:3" hidden="1" outlineLevel="1" collapsed="1" x14ac:dyDescent="0.25">
      <c r="C2716" s="9">
        <f>Гамма!$B$849</f>
        <v>114934.84</v>
      </c>
    </row>
    <row r="2717" spans="3:3" hidden="1" outlineLevel="1" collapsed="1" x14ac:dyDescent="0.25">
      <c r="C2717" s="9">
        <f>Гамма!$B$875</f>
        <v>130792.8</v>
      </c>
    </row>
    <row r="2718" spans="3:3" hidden="1" outlineLevel="1" collapsed="1" x14ac:dyDescent="0.25">
      <c r="C2718" s="9">
        <f>Гамма!$B$901</f>
        <v>101094.96</v>
      </c>
    </row>
    <row r="2719" spans="3:3" hidden="1" outlineLevel="1" collapsed="1" x14ac:dyDescent="0.25">
      <c r="C2719" s="9">
        <f>Гамма!$B$927</f>
        <v>71179.149999999994</v>
      </c>
    </row>
    <row r="2720" spans="3:3" hidden="1" outlineLevel="1" collapsed="1" x14ac:dyDescent="0.25">
      <c r="C2720" s="9">
        <f>Гамма!$B$952</f>
        <v>40096.94</v>
      </c>
    </row>
    <row r="2721" spans="2:3" hidden="1" outlineLevel="1" collapsed="1" x14ac:dyDescent="0.25">
      <c r="C2721" s="9">
        <f>Гамма!$B$978</f>
        <v>33682.019999999997</v>
      </c>
    </row>
    <row r="2722" spans="2:3" hidden="1" outlineLevel="1" collapsed="1" x14ac:dyDescent="0.25">
      <c r="C2722" s="9">
        <f>Гамма!$B$1004</f>
        <v>93758.22</v>
      </c>
    </row>
    <row r="2723" spans="2:3" hidden="1" outlineLevel="1" collapsed="1" x14ac:dyDescent="0.25">
      <c r="C2723" s="9">
        <f>Гамма!$B$1029</f>
        <v>77985.8</v>
      </c>
    </row>
    <row r="2724" spans="2:3" hidden="1" outlineLevel="1" collapsed="1" x14ac:dyDescent="0.25">
      <c r="C2724" s="9">
        <f>Гамма!$B$1053</f>
        <v>83061.3</v>
      </c>
    </row>
    <row r="2725" spans="2:3" hidden="1" outlineLevel="1" collapsed="1" x14ac:dyDescent="0.25">
      <c r="C2725" s="9">
        <f>Гамма!$B$1078</f>
        <v>58171.25</v>
      </c>
    </row>
    <row r="2726" spans="2:3" hidden="1" outlineLevel="1" collapsed="1" x14ac:dyDescent="0.25">
      <c r="C2726" s="9">
        <f>Гамма!$B$1104</f>
        <v>21260.43</v>
      </c>
    </row>
    <row r="2727" spans="2:3" hidden="1" outlineLevel="1" collapsed="1" x14ac:dyDescent="0.25">
      <c r="C2727" s="9">
        <f>Гамма!$B$1128</f>
        <v>64389.24</v>
      </c>
    </row>
    <row r="2728" spans="2:3" hidden="1" outlineLevel="1" collapsed="1" x14ac:dyDescent="0.25">
      <c r="C2728" s="9">
        <f>Гамма!$B$1152</f>
        <v>75947.95</v>
      </c>
    </row>
    <row r="2729" spans="2:3" hidden="1" outlineLevel="1" collapsed="1" x14ac:dyDescent="0.25">
      <c r="C2729" s="9">
        <f>Гамма!$B$1178</f>
        <v>68947.61</v>
      </c>
    </row>
    <row r="2730" spans="2:3" hidden="1" outlineLevel="1" collapsed="1" x14ac:dyDescent="0.25">
      <c r="C2730" s="9">
        <f>Гамма!$B$1202</f>
        <v>74602.899999999994</v>
      </c>
    </row>
    <row r="2731" spans="2:3" hidden="1" outlineLevel="1" collapsed="1" x14ac:dyDescent="0.25">
      <c r="C2731" s="9">
        <f>Гамма!$B$1227</f>
        <v>57865.52</v>
      </c>
    </row>
    <row r="2732" spans="2:3" hidden="1" outlineLevel="1" collapsed="1" x14ac:dyDescent="0.25">
      <c r="C2732" s="9">
        <f>Гамма!$B$1252</f>
        <v>33462.26</v>
      </c>
    </row>
    <row r="2733" spans="2:3" hidden="1" outlineLevel="1" collapsed="1" x14ac:dyDescent="0.25">
      <c r="B2733" t="s">
        <v>72</v>
      </c>
      <c r="C2733" s="9">
        <f>Дельта!$B$17</f>
        <v>121229.86</v>
      </c>
    </row>
    <row r="2734" spans="2:3" hidden="1" outlineLevel="1" collapsed="1" x14ac:dyDescent="0.25">
      <c r="C2734" s="9">
        <f>Дельта!$B$43</f>
        <v>131920.29</v>
      </c>
    </row>
    <row r="2735" spans="2:3" hidden="1" outlineLevel="1" collapsed="1" x14ac:dyDescent="0.25">
      <c r="C2735" s="9">
        <f>Дельта!$B$69</f>
        <v>84497.33</v>
      </c>
    </row>
    <row r="2736" spans="2:3" hidden="1" outlineLevel="1" collapsed="1" x14ac:dyDescent="0.25">
      <c r="C2736" s="9">
        <f>Дельта!$B$95</f>
        <v>66508</v>
      </c>
    </row>
    <row r="2737" spans="3:3" hidden="1" outlineLevel="1" collapsed="1" x14ac:dyDescent="0.25">
      <c r="C2737" s="9">
        <f>Дельта!$B$121</f>
        <v>81572</v>
      </c>
    </row>
    <row r="2738" spans="3:3" hidden="1" outlineLevel="1" collapsed="1" x14ac:dyDescent="0.25">
      <c r="C2738" s="9">
        <f>Дельта!$B$147</f>
        <v>138001</v>
      </c>
    </row>
    <row r="2739" spans="3:3" hidden="1" outlineLevel="1" collapsed="1" x14ac:dyDescent="0.25">
      <c r="C2739" s="9">
        <f>Дельта!$B$172</f>
        <v>110769.31</v>
      </c>
    </row>
    <row r="2740" spans="3:3" hidden="1" outlineLevel="1" collapsed="1" x14ac:dyDescent="0.25">
      <c r="C2740" s="9">
        <f>Дельта!$B$198</f>
        <v>74156</v>
      </c>
    </row>
    <row r="2741" spans="3:3" hidden="1" outlineLevel="1" collapsed="1" x14ac:dyDescent="0.25">
      <c r="C2741" s="9">
        <f>Дельта!$B$224</f>
        <v>85133.36</v>
      </c>
    </row>
    <row r="2742" spans="3:3" hidden="1" outlineLevel="1" collapsed="1" x14ac:dyDescent="0.25">
      <c r="C2742" s="9">
        <f>Дельта!$B$249</f>
        <v>74103</v>
      </c>
    </row>
    <row r="2743" spans="3:3" hidden="1" outlineLevel="1" collapsed="1" x14ac:dyDescent="0.25">
      <c r="C2743" s="9">
        <f>Дельта!$B$275</f>
        <v>69502</v>
      </c>
    </row>
    <row r="2744" spans="3:3" hidden="1" outlineLevel="1" collapsed="1" x14ac:dyDescent="0.25">
      <c r="C2744" s="9">
        <f>Дельта!$B$301</f>
        <v>103553</v>
      </c>
    </row>
    <row r="2745" spans="3:3" hidden="1" outlineLevel="1" collapsed="1" x14ac:dyDescent="0.25">
      <c r="C2745" s="9">
        <f>Дельта!$B$327</f>
        <v>179900</v>
      </c>
    </row>
    <row r="2746" spans="3:3" hidden="1" outlineLevel="1" collapsed="1" x14ac:dyDescent="0.25">
      <c r="C2746" s="9">
        <f>Дельта!$B$353</f>
        <v>123629</v>
      </c>
    </row>
    <row r="2747" spans="3:3" hidden="1" outlineLevel="1" collapsed="1" x14ac:dyDescent="0.25">
      <c r="C2747" s="9">
        <f>Дельта!$B$379</f>
        <v>82983</v>
      </c>
    </row>
    <row r="2748" spans="3:3" hidden="1" outlineLevel="1" collapsed="1" x14ac:dyDescent="0.25">
      <c r="C2748" s="9">
        <f>Дельта!$B$405</f>
        <v>92818</v>
      </c>
    </row>
    <row r="2749" spans="3:3" hidden="1" outlineLevel="1" collapsed="1" x14ac:dyDescent="0.25">
      <c r="C2749" s="9">
        <f>Дельта!$B$431</f>
        <v>60242</v>
      </c>
    </row>
    <row r="2750" spans="3:3" hidden="1" outlineLevel="1" collapsed="1" x14ac:dyDescent="0.25">
      <c r="C2750" s="9">
        <f>Дельта!$B$457</f>
        <v>126794</v>
      </c>
    </row>
    <row r="2751" spans="3:3" hidden="1" outlineLevel="1" collapsed="1" x14ac:dyDescent="0.25">
      <c r="C2751" s="9">
        <f>Дельта!$B$483</f>
        <v>128999</v>
      </c>
    </row>
    <row r="2752" spans="3:3" hidden="1" outlineLevel="1" collapsed="1" x14ac:dyDescent="0.25">
      <c r="C2752" s="9">
        <f>Дельта!$B$509</f>
        <v>252206</v>
      </c>
    </row>
    <row r="2753" spans="3:3" hidden="1" outlineLevel="1" collapsed="1" x14ac:dyDescent="0.25">
      <c r="C2753" s="9">
        <f>Дельта!$B$535</f>
        <v>145184</v>
      </c>
    </row>
    <row r="2754" spans="3:3" hidden="1" outlineLevel="1" collapsed="1" x14ac:dyDescent="0.25">
      <c r="C2754" s="9">
        <f>Дельта!$B$561</f>
        <v>40472</v>
      </c>
    </row>
    <row r="2755" spans="3:3" hidden="1" outlineLevel="1" collapsed="1" x14ac:dyDescent="0.25">
      <c r="C2755" s="9">
        <f>Дельта!$B$587</f>
        <v>26628</v>
      </c>
    </row>
    <row r="2756" spans="3:3" hidden="1" outlineLevel="1" collapsed="1" x14ac:dyDescent="0.25">
      <c r="C2756" s="9">
        <f>Дельта!$B$613</f>
        <v>56914</v>
      </c>
    </row>
    <row r="2757" spans="3:3" hidden="1" outlineLevel="1" collapsed="1" x14ac:dyDescent="0.25">
      <c r="C2757" s="9">
        <f>Дельта!$B$638</f>
        <v>71978</v>
      </c>
    </row>
    <row r="2758" spans="3:3" hidden="1" outlineLevel="1" collapsed="1" x14ac:dyDescent="0.25">
      <c r="C2758" s="9">
        <f>Дельта!$B$664</f>
        <v>74911</v>
      </c>
    </row>
    <row r="2759" spans="3:3" hidden="1" outlineLevel="1" collapsed="1" x14ac:dyDescent="0.25">
      <c r="C2759" s="9">
        <f>Дельта!$B$691</f>
        <v>112475</v>
      </c>
    </row>
    <row r="2760" spans="3:3" hidden="1" outlineLevel="1" collapsed="1" x14ac:dyDescent="0.25">
      <c r="C2760" s="9">
        <f>Дельта!$B$717</f>
        <v>78447</v>
      </c>
    </row>
    <row r="2761" spans="3:3" hidden="1" outlineLevel="1" collapsed="1" x14ac:dyDescent="0.25">
      <c r="C2761" s="9">
        <f>Дельта!$B$742</f>
        <v>63256</v>
      </c>
    </row>
    <row r="2762" spans="3:3" hidden="1" outlineLevel="1" collapsed="1" x14ac:dyDescent="0.25">
      <c r="C2762" s="9">
        <f>Дельта!$B$768</f>
        <v>63265.03</v>
      </c>
    </row>
    <row r="2763" spans="3:3" hidden="1" outlineLevel="1" collapsed="1" x14ac:dyDescent="0.25">
      <c r="C2763" s="9">
        <f>Дельта!$B$793</f>
        <v>48392</v>
      </c>
    </row>
    <row r="2764" spans="3:3" hidden="1" outlineLevel="1" collapsed="1" x14ac:dyDescent="0.25">
      <c r="C2764" s="9">
        <f>Дельта!$B$819</f>
        <v>55889</v>
      </c>
    </row>
    <row r="2765" spans="3:3" hidden="1" outlineLevel="1" collapsed="1" x14ac:dyDescent="0.25">
      <c r="C2765" s="9">
        <f>Дельта!$B$845</f>
        <v>61712</v>
      </c>
    </row>
    <row r="2766" spans="3:3" hidden="1" outlineLevel="1" collapsed="1" x14ac:dyDescent="0.25">
      <c r="C2766" s="9">
        <f>Дельта!$B$871</f>
        <v>116045</v>
      </c>
    </row>
    <row r="2767" spans="3:3" hidden="1" outlineLevel="1" collapsed="1" x14ac:dyDescent="0.25">
      <c r="C2767" s="9">
        <f>Дельта!$B$897</f>
        <v>94954</v>
      </c>
    </row>
    <row r="2768" spans="3:3" hidden="1" outlineLevel="1" collapsed="1" x14ac:dyDescent="0.25">
      <c r="C2768" s="9">
        <f>Дельта!$B$923</f>
        <v>56052</v>
      </c>
    </row>
    <row r="2769" spans="1:3" hidden="1" outlineLevel="1" collapsed="1" x14ac:dyDescent="0.25">
      <c r="C2769" s="9">
        <f>Дельта!$B$948</f>
        <v>39842</v>
      </c>
    </row>
    <row r="2770" spans="1:3" hidden="1" outlineLevel="1" collapsed="1" x14ac:dyDescent="0.25">
      <c r="C2770" s="9">
        <f>Дельта!$B$974</f>
        <v>23198.69</v>
      </c>
    </row>
    <row r="2771" spans="1:3" hidden="1" outlineLevel="1" collapsed="1" x14ac:dyDescent="0.25">
      <c r="C2771" s="9">
        <f>Дельта!$B$999</f>
        <v>34479</v>
      </c>
    </row>
    <row r="2772" spans="1:3" hidden="1" outlineLevel="1" collapsed="1" x14ac:dyDescent="0.25">
      <c r="C2772" s="9">
        <f>Дельта!$B$1024</f>
        <v>19299</v>
      </c>
    </row>
    <row r="2773" spans="1:3" hidden="1" outlineLevel="1" collapsed="1" x14ac:dyDescent="0.25">
      <c r="C2773" s="9">
        <f>Дельта!$B$1050</f>
        <v>31033.5</v>
      </c>
    </row>
    <row r="2774" spans="1:3" hidden="1" outlineLevel="1" collapsed="1" x14ac:dyDescent="0.25">
      <c r="C2774" s="9">
        <f>Дельта!$B$1076</f>
        <v>22135.96</v>
      </c>
    </row>
    <row r="2775" spans="1:3" hidden="1" outlineLevel="1" collapsed="1" x14ac:dyDescent="0.25">
      <c r="C2775" s="9">
        <f>Дельта!$B$1100</f>
        <v>12149</v>
      </c>
    </row>
    <row r="2776" spans="1:3" hidden="1" outlineLevel="1" collapsed="1" x14ac:dyDescent="0.25">
      <c r="C2776" s="9">
        <f>Дельта!$B$1125</f>
        <v>10246</v>
      </c>
    </row>
    <row r="2777" spans="1:3" hidden="1" outlineLevel="1" collapsed="1" x14ac:dyDescent="0.25">
      <c r="C2777" s="9">
        <f>Дельта!$B$1150</f>
        <v>30534</v>
      </c>
    </row>
    <row r="2778" spans="1:3" hidden="1" outlineLevel="1" collapsed="1" x14ac:dyDescent="0.25">
      <c r="C2778" s="9">
        <f>Дельта!$B$1173</f>
        <v>26461.45</v>
      </c>
    </row>
    <row r="2779" spans="1:3" hidden="1" outlineLevel="1" collapsed="1" x14ac:dyDescent="0.25">
      <c r="C2779" s="9">
        <f>Дельта!$B$1197</f>
        <v>44961.1</v>
      </c>
    </row>
    <row r="2780" spans="1:3" hidden="1" outlineLevel="1" collapsed="1" x14ac:dyDescent="0.25">
      <c r="C2780" s="9">
        <f>Дельта!$B$1222</f>
        <v>32953</v>
      </c>
    </row>
    <row r="2781" spans="1:3" hidden="1" outlineLevel="1" collapsed="1" x14ac:dyDescent="0.25">
      <c r="C2781" s="9">
        <f>Дельта!$B$1246</f>
        <v>16796</v>
      </c>
    </row>
    <row r="2782" spans="1:3" collapsed="1" x14ac:dyDescent="0.25">
      <c r="A2782" t="s">
        <v>16</v>
      </c>
      <c r="C2782" s="9">
        <f>SUM(C2635:C2781)</f>
        <v>15278209.419999998</v>
      </c>
    </row>
    <row r="2783" spans="1:3" hidden="1" outlineLevel="1" x14ac:dyDescent="0.25">
      <c r="B2783" t="s">
        <v>72</v>
      </c>
      <c r="C2783" s="9">
        <f>Альфа!$B$17</f>
        <v>826766.17</v>
      </c>
    </row>
    <row r="2784" spans="1:3" hidden="1" outlineLevel="1" collapsed="1" x14ac:dyDescent="0.25">
      <c r="C2784" s="9">
        <f>Альфа!$B$43</f>
        <v>933452.07</v>
      </c>
    </row>
    <row r="2785" spans="3:3" hidden="1" outlineLevel="1" collapsed="1" x14ac:dyDescent="0.25">
      <c r="C2785" s="9">
        <f>Альфа!$B$69</f>
        <v>885869.19</v>
      </c>
    </row>
    <row r="2786" spans="3:3" hidden="1" outlineLevel="1" collapsed="1" x14ac:dyDescent="0.25">
      <c r="C2786" s="9">
        <f>Альфа!$B$95</f>
        <v>969901.63</v>
      </c>
    </row>
    <row r="2787" spans="3:3" hidden="1" outlineLevel="1" collapsed="1" x14ac:dyDescent="0.25">
      <c r="C2787" s="9">
        <f>Альфа!$B$122</f>
        <v>904585.96</v>
      </c>
    </row>
    <row r="2788" spans="3:3" hidden="1" outlineLevel="1" collapsed="1" x14ac:dyDescent="0.25">
      <c r="C2788" s="9">
        <f>Альфа!$B$149</f>
        <v>1110807.0900000001</v>
      </c>
    </row>
    <row r="2789" spans="3:3" hidden="1" outlineLevel="1" collapsed="1" x14ac:dyDescent="0.25">
      <c r="C2789" s="9">
        <f>Альфа!$B$175</f>
        <v>950500.19</v>
      </c>
    </row>
    <row r="2790" spans="3:3" hidden="1" outlineLevel="1" collapsed="1" x14ac:dyDescent="0.25">
      <c r="C2790" s="9">
        <f>Альфа!$B$201</f>
        <v>915303.52</v>
      </c>
    </row>
    <row r="2791" spans="3:3" hidden="1" outlineLevel="1" collapsed="1" x14ac:dyDescent="0.25">
      <c r="C2791" s="9">
        <f>Альфа!$B$227</f>
        <v>626836.66</v>
      </c>
    </row>
    <row r="2792" spans="3:3" hidden="1" outlineLevel="1" collapsed="1" x14ac:dyDescent="0.25">
      <c r="C2792" s="9">
        <f>Альфа!$B$254</f>
        <v>794108.24</v>
      </c>
    </row>
    <row r="2793" spans="3:3" hidden="1" outlineLevel="1" collapsed="1" x14ac:dyDescent="0.25">
      <c r="C2793" s="9">
        <f>Альфа!$B$280</f>
        <v>744603.9</v>
      </c>
    </row>
    <row r="2794" spans="3:3" hidden="1" outlineLevel="1" collapsed="1" x14ac:dyDescent="0.25">
      <c r="C2794" s="9">
        <f>Альфа!$B$306</f>
        <v>1027577.89</v>
      </c>
    </row>
    <row r="2795" spans="3:3" hidden="1" outlineLevel="1" collapsed="1" x14ac:dyDescent="0.25">
      <c r="C2795" s="9">
        <f>Альфа!$B$332</f>
        <v>1169548.9099999999</v>
      </c>
    </row>
    <row r="2796" spans="3:3" hidden="1" outlineLevel="1" collapsed="1" x14ac:dyDescent="0.25">
      <c r="C2796" s="9">
        <f>Альфа!$B$358</f>
        <v>893624.03</v>
      </c>
    </row>
    <row r="2797" spans="3:3" hidden="1" outlineLevel="1" collapsed="1" x14ac:dyDescent="0.25">
      <c r="C2797" s="9">
        <f>Альфа!$B$385</f>
        <v>721656.6</v>
      </c>
    </row>
    <row r="2798" spans="3:3" hidden="1" outlineLevel="1" collapsed="1" x14ac:dyDescent="0.25">
      <c r="C2798" s="9">
        <f>Альфа!$B$411</f>
        <v>895232.6</v>
      </c>
    </row>
    <row r="2799" spans="3:3" hidden="1" outlineLevel="1" collapsed="1" x14ac:dyDescent="0.25">
      <c r="C2799" s="9">
        <f>Альфа!$B$437</f>
        <v>931616.79</v>
      </c>
    </row>
    <row r="2800" spans="3:3" hidden="1" outlineLevel="1" collapsed="1" x14ac:dyDescent="0.25">
      <c r="C2800" s="9">
        <f>Альфа!$B$462</f>
        <v>1079538.23</v>
      </c>
    </row>
    <row r="2801" spans="3:3" hidden="1" outlineLevel="1" collapsed="1" x14ac:dyDescent="0.25">
      <c r="C2801" s="9">
        <f>Альфа!$B$488</f>
        <v>1335561.72</v>
      </c>
    </row>
    <row r="2802" spans="3:3" hidden="1" outlineLevel="1" collapsed="1" x14ac:dyDescent="0.25">
      <c r="C2802" s="9">
        <f>Альфа!$B$513</f>
        <v>1420366.08</v>
      </c>
    </row>
    <row r="2803" spans="3:3" hidden="1" outlineLevel="1" collapsed="1" x14ac:dyDescent="0.25">
      <c r="C2803" s="9">
        <f>Альфа!$B$538</f>
        <v>1191606.2</v>
      </c>
    </row>
    <row r="2804" spans="3:3" hidden="1" outlineLevel="1" collapsed="1" x14ac:dyDescent="0.25">
      <c r="C2804" s="9">
        <f>Альфа!$B$563</f>
        <v>790987.71</v>
      </c>
    </row>
    <row r="2805" spans="3:3" hidden="1" outlineLevel="1" collapsed="1" x14ac:dyDescent="0.25">
      <c r="C2805" s="9">
        <f>Альфа!$B$588</f>
        <v>633274.31999999995</v>
      </c>
    </row>
    <row r="2806" spans="3:3" hidden="1" outlineLevel="1" collapsed="1" x14ac:dyDescent="0.25">
      <c r="C2806" s="9">
        <f>Альфа!$B$612</f>
        <v>696036.38</v>
      </c>
    </row>
    <row r="2807" spans="3:3" hidden="1" outlineLevel="1" collapsed="1" x14ac:dyDescent="0.25">
      <c r="C2807" s="9">
        <f>Альфа!$B$637</f>
        <v>704758.31</v>
      </c>
    </row>
    <row r="2808" spans="3:3" hidden="1" outlineLevel="1" collapsed="1" x14ac:dyDescent="0.25">
      <c r="C2808" s="9">
        <f>Альфа!$B$662</f>
        <v>901618.68</v>
      </c>
    </row>
    <row r="2809" spans="3:3" hidden="1" outlineLevel="1" collapsed="1" x14ac:dyDescent="0.25">
      <c r="C2809" s="9">
        <f>Альфа!$B$687</f>
        <v>1071763.78</v>
      </c>
    </row>
    <row r="2810" spans="3:3" hidden="1" outlineLevel="1" collapsed="1" x14ac:dyDescent="0.25">
      <c r="C2810" s="9">
        <f>Альфа!$B$712</f>
        <v>845040.91</v>
      </c>
    </row>
    <row r="2811" spans="3:3" hidden="1" outlineLevel="1" collapsed="1" x14ac:dyDescent="0.25">
      <c r="C2811" s="9">
        <f>Альфа!$B$737</f>
        <v>723546.31</v>
      </c>
    </row>
    <row r="2812" spans="3:3" hidden="1" outlineLevel="1" collapsed="1" x14ac:dyDescent="0.25">
      <c r="C2812" s="9">
        <f>Альфа!$B$762</f>
        <v>637217.5</v>
      </c>
    </row>
    <row r="2813" spans="3:3" hidden="1" outlineLevel="1" collapsed="1" x14ac:dyDescent="0.25">
      <c r="C2813" s="9">
        <f>Альфа!$B$787</f>
        <v>680529.84</v>
      </c>
    </row>
    <row r="2814" spans="3:3" hidden="1" outlineLevel="1" collapsed="1" x14ac:dyDescent="0.25">
      <c r="C2814" s="9">
        <f>Альфа!$B$810</f>
        <v>755801.69</v>
      </c>
    </row>
    <row r="2815" spans="3:3" hidden="1" outlineLevel="1" collapsed="1" x14ac:dyDescent="0.25">
      <c r="C2815" s="9">
        <f>Альфа!$B$834</f>
        <v>877474.87</v>
      </c>
    </row>
    <row r="2816" spans="3:3" hidden="1" outlineLevel="1" collapsed="1" x14ac:dyDescent="0.25">
      <c r="C2816" s="9">
        <f>Альфа!$B$859</f>
        <v>1269073.6200000001</v>
      </c>
    </row>
    <row r="2817" spans="2:3" hidden="1" outlineLevel="1" collapsed="1" x14ac:dyDescent="0.25">
      <c r="C2817" s="9">
        <f>Альфа!$B$884</f>
        <v>1083976.22</v>
      </c>
    </row>
    <row r="2818" spans="2:3" hidden="1" outlineLevel="1" collapsed="1" x14ac:dyDescent="0.25">
      <c r="C2818" s="9">
        <f>Альфа!$B$909</f>
        <v>606107.5</v>
      </c>
    </row>
    <row r="2819" spans="2:3" hidden="1" outlineLevel="1" collapsed="1" x14ac:dyDescent="0.25">
      <c r="C2819" s="9">
        <f>Альфа!$B$934</f>
        <v>311636.40000000002</v>
      </c>
    </row>
    <row r="2820" spans="2:3" hidden="1" outlineLevel="1" collapsed="1" x14ac:dyDescent="0.25">
      <c r="C2820" s="9">
        <f>Альфа!$B$959</f>
        <v>376326.3</v>
      </c>
    </row>
    <row r="2821" spans="2:3" hidden="1" outlineLevel="1" collapsed="1" x14ac:dyDescent="0.25">
      <c r="C2821" s="9">
        <f>Альфа!$B$983</f>
        <v>395567.2</v>
      </c>
    </row>
    <row r="2822" spans="2:3" hidden="1" outlineLevel="1" collapsed="1" x14ac:dyDescent="0.25">
      <c r="C2822" s="9">
        <f>Альфа!$B$1009</f>
        <v>487596.61</v>
      </c>
    </row>
    <row r="2823" spans="2:3" hidden="1" outlineLevel="1" collapsed="1" x14ac:dyDescent="0.25">
      <c r="C2823" s="9">
        <f>Альфа!$B$1034</f>
        <v>639344.96</v>
      </c>
    </row>
    <row r="2824" spans="2:3" hidden="1" outlineLevel="1" collapsed="1" x14ac:dyDescent="0.25">
      <c r="C2824" s="9">
        <f>Альфа!$B$1060</f>
        <v>588351.25</v>
      </c>
    </row>
    <row r="2825" spans="2:3" hidden="1" outlineLevel="1" collapsed="1" x14ac:dyDescent="0.25">
      <c r="C2825" s="9">
        <f>Альфа!$B$1084</f>
        <v>413009.47</v>
      </c>
    </row>
    <row r="2826" spans="2:3" hidden="1" outlineLevel="1" collapsed="1" x14ac:dyDescent="0.25">
      <c r="C2826" s="9">
        <f>Альфа!$B$1109</f>
        <v>479505.03</v>
      </c>
    </row>
    <row r="2827" spans="2:3" hidden="1" outlineLevel="1" collapsed="1" x14ac:dyDescent="0.25">
      <c r="C2827" s="9">
        <f>Альфа!$B$1134</f>
        <v>537855.62</v>
      </c>
    </row>
    <row r="2828" spans="2:3" hidden="1" outlineLevel="1" collapsed="1" x14ac:dyDescent="0.25">
      <c r="C2828" s="9">
        <f>Альфа!$B$1159</f>
        <v>609553.02</v>
      </c>
    </row>
    <row r="2829" spans="2:3" hidden="1" outlineLevel="1" collapsed="1" x14ac:dyDescent="0.25">
      <c r="C2829" s="9">
        <f>Альфа!$B$1185</f>
        <v>816058.3</v>
      </c>
    </row>
    <row r="2830" spans="2:3" hidden="1" outlineLevel="1" collapsed="1" x14ac:dyDescent="0.25">
      <c r="C2830" s="9">
        <f>Альфа!$B$1211</f>
        <v>793959.46</v>
      </c>
    </row>
    <row r="2831" spans="2:3" hidden="1" outlineLevel="1" collapsed="1" x14ac:dyDescent="0.25">
      <c r="C2831" s="9">
        <f>Альфа!$B$1236</f>
        <v>630990.5</v>
      </c>
    </row>
    <row r="2832" spans="2:3" hidden="1" outlineLevel="1" collapsed="1" x14ac:dyDescent="0.25">
      <c r="B2832" t="s">
        <v>72</v>
      </c>
      <c r="C2832" s="9">
        <f>Бета!$B$16</f>
        <v>68993</v>
      </c>
    </row>
    <row r="2833" spans="3:3" hidden="1" outlineLevel="1" collapsed="1" x14ac:dyDescent="0.25">
      <c r="C2833" s="9">
        <f>Бета!$B$38</f>
        <v>77657</v>
      </c>
    </row>
    <row r="2834" spans="3:3" hidden="1" outlineLevel="1" collapsed="1" x14ac:dyDescent="0.25">
      <c r="C2834" s="9">
        <f>Бета!$B$60</f>
        <v>78195</v>
      </c>
    </row>
    <row r="2835" spans="3:3" hidden="1" outlineLevel="1" collapsed="1" x14ac:dyDescent="0.25">
      <c r="C2835" s="9">
        <f>Бета!$B$82</f>
        <v>60663</v>
      </c>
    </row>
    <row r="2836" spans="3:3" hidden="1" outlineLevel="1" collapsed="1" x14ac:dyDescent="0.25">
      <c r="C2836" s="9">
        <f>Бета!$B$104</f>
        <v>71737</v>
      </c>
    </row>
    <row r="2837" spans="3:3" hidden="1" outlineLevel="1" collapsed="1" x14ac:dyDescent="0.25">
      <c r="C2837" s="9">
        <f>Бета!$B$126</f>
        <v>142414</v>
      </c>
    </row>
    <row r="2838" spans="3:3" hidden="1" outlineLevel="1" collapsed="1" x14ac:dyDescent="0.25">
      <c r="C2838" s="9">
        <f>Бета!$B$148</f>
        <v>130435</v>
      </c>
    </row>
    <row r="2839" spans="3:3" hidden="1" outlineLevel="1" collapsed="1" x14ac:dyDescent="0.25">
      <c r="C2839" s="9">
        <f>Бета!$B$170</f>
        <v>60971</v>
      </c>
    </row>
    <row r="2840" spans="3:3" hidden="1" outlineLevel="1" collapsed="1" x14ac:dyDescent="0.25">
      <c r="C2840" s="9">
        <f>Бета!$B$192</f>
        <v>65359</v>
      </c>
    </row>
    <row r="2841" spans="3:3" hidden="1" outlineLevel="1" collapsed="1" x14ac:dyDescent="0.25">
      <c r="C2841" s="9">
        <f>Бета!$B$214</f>
        <v>60837</v>
      </c>
    </row>
    <row r="2842" spans="3:3" hidden="1" outlineLevel="1" collapsed="1" x14ac:dyDescent="0.25">
      <c r="C2842" s="9">
        <f>Бета!$B$236</f>
        <v>56232</v>
      </c>
    </row>
    <row r="2843" spans="3:3" hidden="1" outlineLevel="1" collapsed="1" x14ac:dyDescent="0.25">
      <c r="C2843" s="9">
        <f>Бета!$B$258</f>
        <v>62018</v>
      </c>
    </row>
    <row r="2844" spans="3:3" hidden="1" outlineLevel="1" collapsed="1" x14ac:dyDescent="0.25">
      <c r="C2844" s="9">
        <f>Бета!$B$279</f>
        <v>95623</v>
      </c>
    </row>
    <row r="2845" spans="3:3" hidden="1" outlineLevel="1" collapsed="1" x14ac:dyDescent="0.25">
      <c r="C2845" s="9">
        <f>Бета!$B$301</f>
        <v>90433</v>
      </c>
    </row>
    <row r="2846" spans="3:3" hidden="1" outlineLevel="1" collapsed="1" x14ac:dyDescent="0.25">
      <c r="C2846" s="9">
        <f>Бета!$B$323</f>
        <v>48951</v>
      </c>
    </row>
    <row r="2847" spans="3:3" hidden="1" outlineLevel="1" collapsed="1" x14ac:dyDescent="0.25">
      <c r="C2847" s="9">
        <f>Бета!$B$344</f>
        <v>61611</v>
      </c>
    </row>
    <row r="2848" spans="3:3" hidden="1" outlineLevel="1" collapsed="1" x14ac:dyDescent="0.25">
      <c r="C2848" s="9">
        <f>Бета!$B$365</f>
        <v>57537</v>
      </c>
    </row>
    <row r="2849" spans="3:3" hidden="1" outlineLevel="1" collapsed="1" x14ac:dyDescent="0.25">
      <c r="C2849" s="9">
        <f>Бета!$B$386</f>
        <v>59567</v>
      </c>
    </row>
    <row r="2850" spans="3:3" hidden="1" outlineLevel="1" collapsed="1" x14ac:dyDescent="0.25">
      <c r="C2850" s="9">
        <f>Бета!$B$407</f>
        <v>63816</v>
      </c>
    </row>
    <row r="2851" spans="3:3" hidden="1" outlineLevel="1" collapsed="1" x14ac:dyDescent="0.25">
      <c r="C2851" s="9">
        <f>Бета!$B$428</f>
        <v>125224.23</v>
      </c>
    </row>
    <row r="2852" spans="3:3" hidden="1" outlineLevel="1" collapsed="1" x14ac:dyDescent="0.25">
      <c r="C2852" s="9">
        <f>Бета!$B$449</f>
        <v>94608.85</v>
      </c>
    </row>
    <row r="2853" spans="3:3" hidden="1" outlineLevel="1" collapsed="1" x14ac:dyDescent="0.25">
      <c r="C2853" s="9">
        <f>Бета!$B$470</f>
        <v>44923.45</v>
      </c>
    </row>
    <row r="2854" spans="3:3" hidden="1" outlineLevel="1" collapsed="1" x14ac:dyDescent="0.25">
      <c r="C2854" s="9">
        <f>Бета!$B$491</f>
        <v>44866.22</v>
      </c>
    </row>
    <row r="2855" spans="3:3" hidden="1" outlineLevel="1" collapsed="1" x14ac:dyDescent="0.25">
      <c r="C2855" s="9">
        <f>Бета!$B$512</f>
        <v>98856.74</v>
      </c>
    </row>
    <row r="2856" spans="3:3" hidden="1" outlineLevel="1" collapsed="1" x14ac:dyDescent="0.25">
      <c r="C2856" s="9">
        <f>Бета!$B$533</f>
        <v>53656.87</v>
      </c>
    </row>
    <row r="2857" spans="3:3" hidden="1" outlineLevel="1" collapsed="1" x14ac:dyDescent="0.25">
      <c r="C2857" s="9">
        <f>Бета!$B$553</f>
        <v>41917.480000000003</v>
      </c>
    </row>
    <row r="2858" spans="3:3" hidden="1" outlineLevel="1" collapsed="1" x14ac:dyDescent="0.25">
      <c r="C2858" s="9">
        <f>Бета!$B$572</f>
        <v>93582.63</v>
      </c>
    </row>
    <row r="2859" spans="3:3" hidden="1" outlineLevel="1" collapsed="1" x14ac:dyDescent="0.25">
      <c r="C2859" s="9">
        <f>Бета!$B$592</f>
        <v>60743.38</v>
      </c>
    </row>
    <row r="2860" spans="3:3" hidden="1" outlineLevel="1" collapsed="1" x14ac:dyDescent="0.25">
      <c r="C2860" s="9">
        <f>Бета!$B$611</f>
        <v>50918.03</v>
      </c>
    </row>
    <row r="2861" spans="3:3" hidden="1" outlineLevel="1" collapsed="1" x14ac:dyDescent="0.25">
      <c r="C2861" s="9">
        <f>Бета!$B$631</f>
        <v>68280.45</v>
      </c>
    </row>
    <row r="2862" spans="3:3" hidden="1" outlineLevel="1" collapsed="1" x14ac:dyDescent="0.25">
      <c r="C2862" s="9">
        <f>Бета!$B$651</f>
        <v>33663.35</v>
      </c>
    </row>
    <row r="2863" spans="3:3" hidden="1" outlineLevel="1" collapsed="1" x14ac:dyDescent="0.25">
      <c r="C2863" s="9">
        <f>Бета!$B$671</f>
        <v>50068.68</v>
      </c>
    </row>
    <row r="2864" spans="3:3" hidden="1" outlineLevel="1" collapsed="1" x14ac:dyDescent="0.25">
      <c r="C2864" s="9">
        <f>Бета!$B$692</f>
        <v>45598.05</v>
      </c>
    </row>
    <row r="2865" spans="3:3" hidden="1" outlineLevel="1" collapsed="1" x14ac:dyDescent="0.25">
      <c r="C2865" s="9">
        <f>Бета!$B$712</f>
        <v>81350</v>
      </c>
    </row>
    <row r="2866" spans="3:3" hidden="1" outlineLevel="1" collapsed="1" x14ac:dyDescent="0.25">
      <c r="C2866" s="9">
        <f>Бета!$B$733</f>
        <v>81065.02</v>
      </c>
    </row>
    <row r="2867" spans="3:3" hidden="1" outlineLevel="1" collapsed="1" x14ac:dyDescent="0.25">
      <c r="C2867" s="9">
        <f>Бета!$B$753</f>
        <v>66088.850000000006</v>
      </c>
    </row>
    <row r="2868" spans="3:3" hidden="1" outlineLevel="1" collapsed="1" x14ac:dyDescent="0.25">
      <c r="C2868" s="9">
        <f>Бета!$B$773</f>
        <v>38450.050000000003</v>
      </c>
    </row>
    <row r="2869" spans="3:3" hidden="1" outlineLevel="1" collapsed="1" x14ac:dyDescent="0.25">
      <c r="C2869" s="9">
        <f>Бета!$B$793</f>
        <v>41318.67</v>
      </c>
    </row>
    <row r="2870" spans="3:3" hidden="1" outlineLevel="1" collapsed="1" x14ac:dyDescent="0.25">
      <c r="C2870" s="9">
        <f>Бета!$B$813</f>
        <v>48908.73</v>
      </c>
    </row>
    <row r="2871" spans="3:3" hidden="1" outlineLevel="1" collapsed="1" x14ac:dyDescent="0.25">
      <c r="C2871" s="9">
        <f>Бета!$B$833</f>
        <v>38010.550000000003</v>
      </c>
    </row>
    <row r="2872" spans="3:3" hidden="1" outlineLevel="1" collapsed="1" x14ac:dyDescent="0.25">
      <c r="C2872" s="9">
        <f>Бета!$B$853</f>
        <v>49610.47</v>
      </c>
    </row>
    <row r="2873" spans="3:3" hidden="1" outlineLevel="1" collapsed="1" x14ac:dyDescent="0.25">
      <c r="C2873" s="9">
        <f>Бета!$B$873</f>
        <v>40432.339999999997</v>
      </c>
    </row>
    <row r="2874" spans="3:3" hidden="1" outlineLevel="1" collapsed="1" x14ac:dyDescent="0.25">
      <c r="C2874" s="9">
        <f>Бета!$B$893</f>
        <v>36573.040000000001</v>
      </c>
    </row>
    <row r="2875" spans="3:3" hidden="1" outlineLevel="1" collapsed="1" x14ac:dyDescent="0.25">
      <c r="C2875" s="9">
        <f>Бета!$B$913</f>
        <v>31063.03</v>
      </c>
    </row>
    <row r="2876" spans="3:3" hidden="1" outlineLevel="1" collapsed="1" x14ac:dyDescent="0.25">
      <c r="C2876" s="9">
        <f>Бета!$B$932</f>
        <v>30031.19</v>
      </c>
    </row>
    <row r="2877" spans="3:3" hidden="1" outlineLevel="1" collapsed="1" x14ac:dyDescent="0.25">
      <c r="C2877" s="9">
        <f>Бета!$B$952</f>
        <v>35856.129999999997</v>
      </c>
    </row>
    <row r="2878" spans="3:3" hidden="1" outlineLevel="1" collapsed="1" x14ac:dyDescent="0.25">
      <c r="C2878" s="9">
        <f>Бета!$B$972</f>
        <v>47437.98</v>
      </c>
    </row>
    <row r="2879" spans="3:3" hidden="1" outlineLevel="1" collapsed="1" x14ac:dyDescent="0.25">
      <c r="C2879" s="9">
        <f>Бета!$B$992</f>
        <v>59960.77</v>
      </c>
    </row>
    <row r="2880" spans="3:3" hidden="1" outlineLevel="1" collapsed="1" x14ac:dyDescent="0.25">
      <c r="C2880" s="9">
        <f>Бета!$B$1012</f>
        <v>30328.720000000001</v>
      </c>
    </row>
    <row r="2881" spans="2:3" hidden="1" outlineLevel="1" collapsed="1" x14ac:dyDescent="0.25">
      <c r="B2881" t="s">
        <v>72</v>
      </c>
      <c r="C2881" s="9">
        <f>Гамма!$B$18</f>
        <v>380078.83</v>
      </c>
    </row>
    <row r="2882" spans="2:3" hidden="1" outlineLevel="1" collapsed="1" x14ac:dyDescent="0.25">
      <c r="C2882" s="9">
        <f>Гамма!$B$44</f>
        <v>483576.33</v>
      </c>
    </row>
    <row r="2883" spans="2:3" hidden="1" outlineLevel="1" collapsed="1" x14ac:dyDescent="0.25">
      <c r="C2883" s="9">
        <f>Гамма!$B$71</f>
        <v>555246.67000000004</v>
      </c>
    </row>
    <row r="2884" spans="2:3" hidden="1" outlineLevel="1" collapsed="1" x14ac:dyDescent="0.25">
      <c r="C2884" s="9">
        <f>Гамма!$B$98</f>
        <v>567322.67000000004</v>
      </c>
    </row>
    <row r="2885" spans="2:3" hidden="1" outlineLevel="1" collapsed="1" x14ac:dyDescent="0.25">
      <c r="C2885" s="9">
        <f>Гамма!$B$124</f>
        <v>596058</v>
      </c>
    </row>
    <row r="2886" spans="2:3" hidden="1" outlineLevel="1" collapsed="1" x14ac:dyDescent="0.25">
      <c r="C2886" s="9">
        <f>Гамма!$B$150</f>
        <v>1059869</v>
      </c>
    </row>
    <row r="2887" spans="2:3" hidden="1" outlineLevel="1" collapsed="1" x14ac:dyDescent="0.25">
      <c r="C2887" s="9">
        <f>Гамма!$B$176</f>
        <v>1000761.33</v>
      </c>
    </row>
    <row r="2888" spans="2:3" hidden="1" outlineLevel="1" collapsed="1" x14ac:dyDescent="0.25">
      <c r="C2888" s="9">
        <f>Гамма!$B$203</f>
        <v>588220.82999999996</v>
      </c>
    </row>
    <row r="2889" spans="2:3" hidden="1" outlineLevel="1" collapsed="1" x14ac:dyDescent="0.25">
      <c r="C2889" s="9">
        <f>Гамма!$B$230</f>
        <v>572402</v>
      </c>
    </row>
    <row r="2890" spans="2:3" hidden="1" outlineLevel="1" collapsed="1" x14ac:dyDescent="0.25">
      <c r="C2890" s="9">
        <f>Гамма!$B$256</f>
        <v>515462</v>
      </c>
    </row>
    <row r="2891" spans="2:3" hidden="1" outlineLevel="1" collapsed="1" x14ac:dyDescent="0.25">
      <c r="C2891" s="9">
        <f>Гамма!$B$282</f>
        <v>604649.57999999996</v>
      </c>
    </row>
    <row r="2892" spans="2:3" hidden="1" outlineLevel="1" collapsed="1" x14ac:dyDescent="0.25">
      <c r="C2892" s="9">
        <f>Гамма!$B$308</f>
        <v>767931.22</v>
      </c>
    </row>
    <row r="2893" spans="2:3" hidden="1" outlineLevel="1" collapsed="1" x14ac:dyDescent="0.25">
      <c r="C2893" s="9">
        <f>Гамма!$B$334</f>
        <v>1327410.24</v>
      </c>
    </row>
    <row r="2894" spans="2:3" hidden="1" outlineLevel="1" collapsed="1" x14ac:dyDescent="0.25">
      <c r="C2894" s="9">
        <f>Гамма!$B$360</f>
        <v>996003.64</v>
      </c>
    </row>
    <row r="2895" spans="2:3" hidden="1" outlineLevel="1" collapsed="1" x14ac:dyDescent="0.25">
      <c r="C2895" s="9">
        <f>Гамма!$B$385</f>
        <v>584089.53</v>
      </c>
    </row>
    <row r="2896" spans="2:3" hidden="1" outlineLevel="1" collapsed="1" x14ac:dyDescent="0.25">
      <c r="C2896" s="9">
        <f>Гамма!$B$411</f>
        <v>604561.85</v>
      </c>
    </row>
    <row r="2897" spans="3:3" hidden="1" outlineLevel="1" collapsed="1" x14ac:dyDescent="0.25">
      <c r="C2897" s="9">
        <f>Гамма!$B$438</f>
        <v>670182.13</v>
      </c>
    </row>
    <row r="2898" spans="3:3" hidden="1" outlineLevel="1" collapsed="1" x14ac:dyDescent="0.25">
      <c r="C2898" s="9">
        <f>Гамма!$B$465</f>
        <v>906491.19</v>
      </c>
    </row>
    <row r="2899" spans="3:3" hidden="1" outlineLevel="1" collapsed="1" x14ac:dyDescent="0.25">
      <c r="C2899" s="9">
        <f>Гамма!$B$491</f>
        <v>933333.3</v>
      </c>
    </row>
    <row r="2900" spans="3:3" hidden="1" outlineLevel="1" collapsed="1" x14ac:dyDescent="0.25">
      <c r="C2900" s="9">
        <f>Гамма!$B$517</f>
        <v>1547790.64</v>
      </c>
    </row>
    <row r="2901" spans="3:3" hidden="1" outlineLevel="1" collapsed="1" x14ac:dyDescent="0.25">
      <c r="C2901" s="9">
        <f>Гамма!$B$543</f>
        <v>1282211.57</v>
      </c>
    </row>
    <row r="2902" spans="3:3" hidden="1" outlineLevel="1" collapsed="1" x14ac:dyDescent="0.25">
      <c r="C2902" s="9">
        <f>Гамма!$B$569</f>
        <v>643337.29</v>
      </c>
    </row>
    <row r="2903" spans="3:3" hidden="1" outlineLevel="1" collapsed="1" x14ac:dyDescent="0.25">
      <c r="C2903" s="9">
        <f>Гамма!$B$594</f>
        <v>539734.59</v>
      </c>
    </row>
    <row r="2904" spans="3:3" hidden="1" outlineLevel="1" collapsed="1" x14ac:dyDescent="0.25">
      <c r="C2904" s="9">
        <f>Гамма!$B$620</f>
        <v>720918.08</v>
      </c>
    </row>
    <row r="2905" spans="3:3" hidden="1" outlineLevel="1" collapsed="1" x14ac:dyDescent="0.25">
      <c r="C2905" s="9">
        <f>Гамма!$B$646</f>
        <v>742420.95</v>
      </c>
    </row>
    <row r="2906" spans="3:3" hidden="1" outlineLevel="1" collapsed="1" x14ac:dyDescent="0.25">
      <c r="C2906" s="9">
        <f>Гамма!$B$672</f>
        <v>744959.97</v>
      </c>
    </row>
    <row r="2907" spans="3:3" hidden="1" outlineLevel="1" collapsed="1" x14ac:dyDescent="0.25">
      <c r="C2907" s="9">
        <f>Гамма!$B$698</f>
        <v>1240990.81</v>
      </c>
    </row>
    <row r="2908" spans="3:3" hidden="1" outlineLevel="1" collapsed="1" x14ac:dyDescent="0.25">
      <c r="C2908" s="9">
        <f>Гамма!$B$724</f>
        <v>858942.07</v>
      </c>
    </row>
    <row r="2909" spans="3:3" hidden="1" outlineLevel="1" collapsed="1" x14ac:dyDescent="0.25">
      <c r="C2909" s="9">
        <f>Гамма!$B$748</f>
        <v>527186.63</v>
      </c>
    </row>
    <row r="2910" spans="3:3" hidden="1" outlineLevel="1" collapsed="1" x14ac:dyDescent="0.25">
      <c r="C2910" s="9">
        <f>Гамма!$B$774</f>
        <v>460201.77</v>
      </c>
    </row>
    <row r="2911" spans="3:3" hidden="1" outlineLevel="1" collapsed="1" x14ac:dyDescent="0.25">
      <c r="C2911" s="9">
        <f>Гамма!$B$798</f>
        <v>539223.98</v>
      </c>
    </row>
    <row r="2912" spans="3:3" hidden="1" outlineLevel="1" collapsed="1" x14ac:dyDescent="0.25">
      <c r="C2912" s="9">
        <f>Гамма!$B$824</f>
        <v>582822.62</v>
      </c>
    </row>
    <row r="2913" spans="3:3" hidden="1" outlineLevel="1" collapsed="1" x14ac:dyDescent="0.25">
      <c r="C2913" s="9">
        <f>Гамма!$B$850</f>
        <v>666366.12</v>
      </c>
    </row>
    <row r="2914" spans="3:3" hidden="1" outlineLevel="1" collapsed="1" x14ac:dyDescent="0.25">
      <c r="C2914" s="9">
        <f>Гамма!$B$876</f>
        <v>1096754.52</v>
      </c>
    </row>
    <row r="2915" spans="3:3" hidden="1" outlineLevel="1" collapsed="1" x14ac:dyDescent="0.25">
      <c r="C2915" s="9">
        <f>Гамма!$B$902</f>
        <v>782201.48</v>
      </c>
    </row>
    <row r="2916" spans="3:3" hidden="1" outlineLevel="1" collapsed="1" x14ac:dyDescent="0.25">
      <c r="C2916" s="9">
        <f>Гамма!$B$928</f>
        <v>398198</v>
      </c>
    </row>
    <row r="2917" spans="3:3" hidden="1" outlineLevel="1" collapsed="1" x14ac:dyDescent="0.25">
      <c r="C2917" s="9">
        <f>Гамма!$B$953</f>
        <v>297011</v>
      </c>
    </row>
    <row r="2918" spans="3:3" hidden="1" outlineLevel="1" collapsed="1" x14ac:dyDescent="0.25">
      <c r="C2918" s="9">
        <f>Гамма!$B$979</f>
        <v>215152</v>
      </c>
    </row>
    <row r="2919" spans="3:3" hidden="1" outlineLevel="1" collapsed="1" x14ac:dyDescent="0.25">
      <c r="C2919" s="9">
        <f>Гамма!$B$1005</f>
        <v>306728</v>
      </c>
    </row>
    <row r="2920" spans="3:3" hidden="1" outlineLevel="1" collapsed="1" x14ac:dyDescent="0.25">
      <c r="C2920" s="9">
        <f>Гамма!$B$1030</f>
        <v>425814.33</v>
      </c>
    </row>
    <row r="2921" spans="3:3" hidden="1" outlineLevel="1" collapsed="1" x14ac:dyDescent="0.25">
      <c r="C2921" s="9">
        <f>Гамма!$B$1054</f>
        <v>786333.33</v>
      </c>
    </row>
    <row r="2922" spans="3:3" hidden="1" outlineLevel="1" collapsed="1" x14ac:dyDescent="0.25">
      <c r="C2922" s="9">
        <f>Гамма!$B$1079</f>
        <v>613454</v>
      </c>
    </row>
    <row r="2923" spans="3:3" hidden="1" outlineLevel="1" collapsed="1" x14ac:dyDescent="0.25">
      <c r="C2923" s="9">
        <f>Гамма!$B$1105</f>
        <v>305723.67</v>
      </c>
    </row>
    <row r="2924" spans="3:3" hidden="1" outlineLevel="1" collapsed="1" x14ac:dyDescent="0.25">
      <c r="C2924" s="9">
        <f>Гамма!$B$1129</f>
        <v>544316.84</v>
      </c>
    </row>
    <row r="2925" spans="3:3" hidden="1" outlineLevel="1" collapsed="1" x14ac:dyDescent="0.25">
      <c r="C2925" s="9">
        <f>Гамма!$B$1153</f>
        <v>591464.65</v>
      </c>
    </row>
    <row r="2926" spans="3:3" hidden="1" outlineLevel="1" collapsed="1" x14ac:dyDescent="0.25">
      <c r="C2926" s="9">
        <f>Гамма!$B$1179</f>
        <v>464809.96</v>
      </c>
    </row>
    <row r="2927" spans="3:3" hidden="1" outlineLevel="1" collapsed="1" x14ac:dyDescent="0.25">
      <c r="C2927" s="9">
        <f>Гамма!$B$1203</f>
        <v>529893.30000000005</v>
      </c>
    </row>
    <row r="2928" spans="3:3" hidden="1" outlineLevel="1" collapsed="1" x14ac:dyDescent="0.25">
      <c r="C2928" s="9">
        <f>Гамма!$B$1228</f>
        <v>886050.28</v>
      </c>
    </row>
    <row r="2929" spans="2:3" hidden="1" outlineLevel="1" collapsed="1" x14ac:dyDescent="0.25">
      <c r="C2929" s="9">
        <f>Гамма!$B$1253</f>
        <v>370941.91</v>
      </c>
    </row>
    <row r="2930" spans="2:3" hidden="1" outlineLevel="1" collapsed="1" x14ac:dyDescent="0.25">
      <c r="B2930" t="s">
        <v>72</v>
      </c>
      <c r="C2930" s="9">
        <f>Дельта!$B$18</f>
        <v>397833.25</v>
      </c>
    </row>
    <row r="2931" spans="2:3" hidden="1" outlineLevel="1" collapsed="1" x14ac:dyDescent="0.25">
      <c r="C2931" s="9">
        <f>Дельта!$B$44</f>
        <v>401604.35</v>
      </c>
    </row>
    <row r="2932" spans="2:3" hidden="1" outlineLevel="1" collapsed="1" x14ac:dyDescent="0.25">
      <c r="C2932" s="9">
        <f>Дельта!$B$70</f>
        <v>462954.43</v>
      </c>
    </row>
    <row r="2933" spans="2:3" hidden="1" outlineLevel="1" collapsed="1" x14ac:dyDescent="0.25">
      <c r="C2933" s="9">
        <f>Дельта!$B$96</f>
        <v>476398</v>
      </c>
    </row>
    <row r="2934" spans="2:3" hidden="1" outlineLevel="1" collapsed="1" x14ac:dyDescent="0.25">
      <c r="C2934" s="9">
        <f>Дельта!$B$122</f>
        <v>569973</v>
      </c>
    </row>
    <row r="2935" spans="2:3" hidden="1" outlineLevel="1" collapsed="1" x14ac:dyDescent="0.25">
      <c r="C2935" s="9">
        <f>Дельта!$B$148</f>
        <v>667511</v>
      </c>
    </row>
    <row r="2936" spans="2:3" hidden="1" outlineLevel="1" collapsed="1" x14ac:dyDescent="0.25">
      <c r="C2936" s="9">
        <f>Дельта!$B$173</f>
        <v>605960.31999999995</v>
      </c>
    </row>
    <row r="2937" spans="2:3" hidden="1" outlineLevel="1" collapsed="1" x14ac:dyDescent="0.25">
      <c r="C2937" s="9">
        <f>Дельта!$B$199</f>
        <v>400178</v>
      </c>
    </row>
    <row r="2938" spans="2:3" hidden="1" outlineLevel="1" collapsed="1" x14ac:dyDescent="0.25">
      <c r="C2938" s="9">
        <f>Дельта!$B$225</f>
        <v>356102.03</v>
      </c>
    </row>
    <row r="2939" spans="2:3" hidden="1" outlineLevel="1" collapsed="1" x14ac:dyDescent="0.25">
      <c r="C2939" s="9">
        <f>Дельта!$B$250</f>
        <v>381549</v>
      </c>
    </row>
    <row r="2940" spans="2:3" hidden="1" outlineLevel="1" collapsed="1" x14ac:dyDescent="0.25">
      <c r="C2940" s="9">
        <f>Дельта!$B$276</f>
        <v>363350</v>
      </c>
    </row>
    <row r="2941" spans="2:3" hidden="1" outlineLevel="1" collapsed="1" x14ac:dyDescent="0.25">
      <c r="C2941" s="9">
        <f>Дельта!$B$302</f>
        <v>464056</v>
      </c>
    </row>
    <row r="2942" spans="2:3" hidden="1" outlineLevel="1" collapsed="1" x14ac:dyDescent="0.25">
      <c r="C2942" s="9">
        <f>Дельта!$B$328</f>
        <v>647501</v>
      </c>
    </row>
    <row r="2943" spans="2:3" hidden="1" outlineLevel="1" collapsed="1" x14ac:dyDescent="0.25">
      <c r="C2943" s="9">
        <f>Дельта!$B$354</f>
        <v>469356</v>
      </c>
    </row>
    <row r="2944" spans="2:3" hidden="1" outlineLevel="1" collapsed="1" x14ac:dyDescent="0.25">
      <c r="C2944" s="9">
        <f>Дельта!$B$380</f>
        <v>302149</v>
      </c>
    </row>
    <row r="2945" spans="3:3" hidden="1" outlineLevel="1" collapsed="1" x14ac:dyDescent="0.25">
      <c r="C2945" s="9">
        <f>Дельта!$B$406</f>
        <v>457530</v>
      </c>
    </row>
    <row r="2946" spans="3:3" hidden="1" outlineLevel="1" collapsed="1" x14ac:dyDescent="0.25">
      <c r="C2946" s="9">
        <f>Дельта!$B$432</f>
        <v>397056</v>
      </c>
    </row>
    <row r="2947" spans="3:3" hidden="1" outlineLevel="1" collapsed="1" x14ac:dyDescent="0.25">
      <c r="C2947" s="9">
        <f>Дельта!$B$458</f>
        <v>483679</v>
      </c>
    </row>
    <row r="2948" spans="3:3" hidden="1" outlineLevel="1" collapsed="1" x14ac:dyDescent="0.25">
      <c r="C2948" s="9">
        <f>Дельта!$B$484</f>
        <v>496788</v>
      </c>
    </row>
    <row r="2949" spans="3:3" hidden="1" outlineLevel="1" collapsed="1" x14ac:dyDescent="0.25">
      <c r="C2949" s="9">
        <f>Дельта!$B$510</f>
        <v>897630</v>
      </c>
    </row>
    <row r="2950" spans="3:3" hidden="1" outlineLevel="1" collapsed="1" x14ac:dyDescent="0.25">
      <c r="C2950" s="9">
        <f>Дельта!$B$536</f>
        <v>618737</v>
      </c>
    </row>
    <row r="2951" spans="3:3" hidden="1" outlineLevel="1" collapsed="1" x14ac:dyDescent="0.25">
      <c r="C2951" s="9">
        <f>Дельта!$B$562</f>
        <v>354666</v>
      </c>
    </row>
    <row r="2952" spans="3:3" hidden="1" outlineLevel="1" collapsed="1" x14ac:dyDescent="0.25">
      <c r="C2952" s="9">
        <f>Дельта!$B$588</f>
        <v>254238</v>
      </c>
    </row>
    <row r="2953" spans="3:3" hidden="1" outlineLevel="1" collapsed="1" x14ac:dyDescent="0.25">
      <c r="C2953" s="9">
        <f>Дельта!$B$614</f>
        <v>358442</v>
      </c>
    </row>
    <row r="2954" spans="3:3" hidden="1" outlineLevel="1" collapsed="1" x14ac:dyDescent="0.25">
      <c r="C2954" s="9">
        <f>Дельта!$B$639</f>
        <v>386862</v>
      </c>
    </row>
    <row r="2955" spans="3:3" hidden="1" outlineLevel="1" collapsed="1" x14ac:dyDescent="0.25">
      <c r="C2955" s="9">
        <f>Дельта!$B$665</f>
        <v>411975</v>
      </c>
    </row>
    <row r="2956" spans="3:3" hidden="1" outlineLevel="1" collapsed="1" x14ac:dyDescent="0.25">
      <c r="C2956" s="9">
        <f>Дельта!$B$692</f>
        <v>519216</v>
      </c>
    </row>
    <row r="2957" spans="3:3" hidden="1" outlineLevel="1" collapsed="1" x14ac:dyDescent="0.25">
      <c r="C2957" s="9">
        <f>Дельта!$B$718</f>
        <v>441463</v>
      </c>
    </row>
    <row r="2958" spans="3:3" hidden="1" outlineLevel="1" collapsed="1" x14ac:dyDescent="0.25">
      <c r="C2958" s="9">
        <f>Дельта!$B$743</f>
        <v>334111</v>
      </c>
    </row>
    <row r="2959" spans="3:3" hidden="1" outlineLevel="1" collapsed="1" x14ac:dyDescent="0.25">
      <c r="C2959" s="9">
        <f>Дельта!$B$769</f>
        <v>263216.86</v>
      </c>
    </row>
    <row r="2960" spans="3:3" hidden="1" outlineLevel="1" collapsed="1" x14ac:dyDescent="0.25">
      <c r="C2960" s="9">
        <f>Дельта!$B$794</f>
        <v>296724</v>
      </c>
    </row>
    <row r="2961" spans="3:3" hidden="1" outlineLevel="1" collapsed="1" x14ac:dyDescent="0.25">
      <c r="C2961" s="9">
        <f>Дельта!$B$820</f>
        <v>372500</v>
      </c>
    </row>
    <row r="2962" spans="3:3" hidden="1" outlineLevel="1" collapsed="1" x14ac:dyDescent="0.25">
      <c r="C2962" s="9">
        <f>Дельта!$B$846</f>
        <v>391731</v>
      </c>
    </row>
    <row r="2963" spans="3:3" hidden="1" outlineLevel="1" collapsed="1" x14ac:dyDescent="0.25">
      <c r="C2963" s="9">
        <f>Дельта!$B$872</f>
        <v>480643</v>
      </c>
    </row>
    <row r="2964" spans="3:3" hidden="1" outlineLevel="1" collapsed="1" x14ac:dyDescent="0.25">
      <c r="C2964" s="9">
        <f>Дельта!$B$898</f>
        <v>425912</v>
      </c>
    </row>
    <row r="2965" spans="3:3" hidden="1" outlineLevel="1" collapsed="1" x14ac:dyDescent="0.25">
      <c r="C2965" s="9">
        <f>Дельта!$B$924</f>
        <v>241614</v>
      </c>
    </row>
    <row r="2966" spans="3:3" hidden="1" outlineLevel="1" collapsed="1" x14ac:dyDescent="0.25">
      <c r="C2966" s="9">
        <f>Дельта!$B$949</f>
        <v>158399</v>
      </c>
    </row>
    <row r="2967" spans="3:3" hidden="1" outlineLevel="1" collapsed="1" x14ac:dyDescent="0.25">
      <c r="C2967" s="9">
        <f>Дельта!$B$975</f>
        <v>157981.79999999999</v>
      </c>
    </row>
    <row r="2968" spans="3:3" hidden="1" outlineLevel="1" collapsed="1" x14ac:dyDescent="0.25">
      <c r="C2968" s="9">
        <f>Дельта!$B$1000</f>
        <v>186879</v>
      </c>
    </row>
    <row r="2969" spans="3:3" hidden="1" outlineLevel="1" collapsed="1" x14ac:dyDescent="0.25">
      <c r="C2969" s="9">
        <f>Дельта!$B$1025</f>
        <v>178227</v>
      </c>
    </row>
    <row r="2970" spans="3:3" hidden="1" outlineLevel="1" collapsed="1" x14ac:dyDescent="0.25">
      <c r="C2970" s="9">
        <f>Дельта!$B$1051</f>
        <v>276722.59999999998</v>
      </c>
    </row>
    <row r="2971" spans="3:3" hidden="1" outlineLevel="1" collapsed="1" x14ac:dyDescent="0.25">
      <c r="C2971" s="9">
        <f>Дельта!$B$1077</f>
        <v>253441.6</v>
      </c>
    </row>
    <row r="2972" spans="3:3" hidden="1" outlineLevel="1" collapsed="1" x14ac:dyDescent="0.25">
      <c r="C2972" s="9">
        <f>Дельта!$B$1101</f>
        <v>164075</v>
      </c>
    </row>
    <row r="2973" spans="3:3" hidden="1" outlineLevel="1" collapsed="1" x14ac:dyDescent="0.25">
      <c r="C2973" s="9">
        <f>Дельта!$B$1126</f>
        <v>144606</v>
      </c>
    </row>
    <row r="2974" spans="3:3" hidden="1" outlineLevel="1" collapsed="1" x14ac:dyDescent="0.25">
      <c r="C2974" s="9">
        <f>Дельта!$B$1151</f>
        <v>169816</v>
      </c>
    </row>
    <row r="2975" spans="3:3" hidden="1" outlineLevel="1" collapsed="1" x14ac:dyDescent="0.25">
      <c r="C2975" s="9">
        <f>Дельта!$B$1174</f>
        <v>213859</v>
      </c>
    </row>
    <row r="2976" spans="3:3" hidden="1" outlineLevel="1" collapsed="1" x14ac:dyDescent="0.25">
      <c r="C2976" s="9">
        <f>Дельта!$B$1198</f>
        <v>287266</v>
      </c>
    </row>
    <row r="2977" spans="1:3" hidden="1" outlineLevel="1" collapsed="1" x14ac:dyDescent="0.25">
      <c r="C2977" s="9">
        <f>Дельта!$B$1223</f>
        <v>304855</v>
      </c>
    </row>
    <row r="2978" spans="1:3" hidden="1" outlineLevel="1" collapsed="1" x14ac:dyDescent="0.25">
      <c r="C2978" s="9">
        <f>Дельта!$B$1247</f>
        <v>195708</v>
      </c>
    </row>
    <row r="2979" spans="1:3" collapsed="1" x14ac:dyDescent="0.25">
      <c r="A2979" t="s">
        <v>17</v>
      </c>
      <c r="C2979" s="9">
        <f>SUM(C2783:C2978)</f>
        <v>94731118.319999978</v>
      </c>
    </row>
    <row r="2980" spans="1:3" hidden="1" outlineLevel="1" x14ac:dyDescent="0.25">
      <c r="B2980" t="s">
        <v>72</v>
      </c>
      <c r="C2980" s="9">
        <f>Альфа!$B$18</f>
        <v>137484.35999999999</v>
      </c>
    </row>
    <row r="2981" spans="1:3" hidden="1" outlineLevel="1" collapsed="1" x14ac:dyDescent="0.25">
      <c r="C2981" s="9">
        <f>Альфа!$B$44</f>
        <v>46822.96</v>
      </c>
    </row>
    <row r="2982" spans="1:3" hidden="1" outlineLevel="1" collapsed="1" x14ac:dyDescent="0.25">
      <c r="C2982" s="9">
        <f>Альфа!$B$70</f>
        <v>121041.9</v>
      </c>
    </row>
    <row r="2983" spans="1:3" hidden="1" outlineLevel="1" collapsed="1" x14ac:dyDescent="0.25">
      <c r="C2983" s="9">
        <f>Альфа!$B$96</f>
        <v>140090.94</v>
      </c>
    </row>
    <row r="2984" spans="1:3" hidden="1" outlineLevel="1" collapsed="1" x14ac:dyDescent="0.25">
      <c r="C2984" s="9">
        <f>Альфа!$B$123</f>
        <v>155647.66</v>
      </c>
    </row>
    <row r="2985" spans="1:3" hidden="1" outlineLevel="1" collapsed="1" x14ac:dyDescent="0.25">
      <c r="C2985" s="9">
        <f>Альфа!$B$150</f>
        <v>186971.36</v>
      </c>
    </row>
    <row r="2986" spans="1:3" hidden="1" outlineLevel="1" collapsed="1" x14ac:dyDescent="0.25">
      <c r="C2986" s="9">
        <f>Альфа!$B$176</f>
        <v>137408.07999999999</v>
      </c>
    </row>
    <row r="2987" spans="1:3" hidden="1" outlineLevel="1" collapsed="1" x14ac:dyDescent="0.25">
      <c r="C2987" s="9">
        <f>Альфа!$B$202</f>
        <v>134627.26</v>
      </c>
    </row>
    <row r="2988" spans="1:3" hidden="1" outlineLevel="1" collapsed="1" x14ac:dyDescent="0.25">
      <c r="C2988" s="9">
        <f>Альфа!$B$228</f>
        <v>99099.6</v>
      </c>
    </row>
    <row r="2989" spans="1:3" hidden="1" outlineLevel="1" collapsed="1" x14ac:dyDescent="0.25">
      <c r="C2989" s="9">
        <f>Альфа!$B$255</f>
        <v>89895</v>
      </c>
    </row>
    <row r="2990" spans="1:3" hidden="1" outlineLevel="1" collapsed="1" x14ac:dyDescent="0.25">
      <c r="C2990" s="9">
        <f>Альфа!$B$281</f>
        <v>90469.54</v>
      </c>
    </row>
    <row r="2991" spans="1:3" hidden="1" outlineLevel="1" collapsed="1" x14ac:dyDescent="0.25">
      <c r="C2991" s="9">
        <f>Альфа!$B$307</f>
        <v>147779.1</v>
      </c>
    </row>
    <row r="2992" spans="1:3" hidden="1" outlineLevel="1" collapsed="1" x14ac:dyDescent="0.25">
      <c r="C2992" s="9">
        <f>Альфа!$B$333</f>
        <v>204069.04</v>
      </c>
    </row>
    <row r="2993" spans="3:3" hidden="1" outlineLevel="1" collapsed="1" x14ac:dyDescent="0.25">
      <c r="C2993" s="9">
        <f>Альфа!$B$359</f>
        <v>148000.48000000001</v>
      </c>
    </row>
    <row r="2994" spans="3:3" hidden="1" outlineLevel="1" collapsed="1" x14ac:dyDescent="0.25">
      <c r="C2994" s="9">
        <f>Альфа!$B$386</f>
        <v>127359.48</v>
      </c>
    </row>
    <row r="2995" spans="3:3" hidden="1" outlineLevel="1" collapsed="1" x14ac:dyDescent="0.25">
      <c r="C2995" s="9">
        <f>Альфа!$B$412</f>
        <v>182187.88</v>
      </c>
    </row>
    <row r="2996" spans="3:3" hidden="1" outlineLevel="1" collapsed="1" x14ac:dyDescent="0.25">
      <c r="C2996" s="9">
        <f>Альфа!$B$438</f>
        <v>135498.78</v>
      </c>
    </row>
    <row r="2997" spans="3:3" hidden="1" outlineLevel="1" collapsed="1" x14ac:dyDescent="0.25">
      <c r="C2997" s="9">
        <f>Альфа!$B$463</f>
        <v>161436.32</v>
      </c>
    </row>
    <row r="2998" spans="3:3" hidden="1" outlineLevel="1" collapsed="1" x14ac:dyDescent="0.25">
      <c r="C2998" s="9">
        <f>Альфа!$B$489</f>
        <v>243986.62</v>
      </c>
    </row>
    <row r="2999" spans="3:3" hidden="1" outlineLevel="1" collapsed="1" x14ac:dyDescent="0.25">
      <c r="C2999" s="9">
        <f>Альфа!$B$514</f>
        <v>235634.62</v>
      </c>
    </row>
    <row r="3000" spans="3:3" hidden="1" outlineLevel="1" collapsed="1" x14ac:dyDescent="0.25">
      <c r="C3000" s="9">
        <f>Альфа!$B$539</f>
        <v>178304.62</v>
      </c>
    </row>
    <row r="3001" spans="3:3" hidden="1" outlineLevel="1" collapsed="1" x14ac:dyDescent="0.25">
      <c r="C3001" s="9">
        <f>Альфа!$B$564</f>
        <v>78253.98</v>
      </c>
    </row>
    <row r="3002" spans="3:3" hidden="1" outlineLevel="1" collapsed="1" x14ac:dyDescent="0.25">
      <c r="C3002" s="9">
        <f>Альфа!$B$589</f>
        <v>46700.07</v>
      </c>
    </row>
    <row r="3003" spans="3:3" hidden="1" outlineLevel="1" collapsed="1" x14ac:dyDescent="0.25">
      <c r="C3003" s="9">
        <f>Альфа!$B$613</f>
        <v>50702.879999999997</v>
      </c>
    </row>
    <row r="3004" spans="3:3" hidden="1" outlineLevel="1" collapsed="1" x14ac:dyDescent="0.25">
      <c r="C3004" s="9">
        <f>Альфа!$B$638</f>
        <v>80461.3</v>
      </c>
    </row>
    <row r="3005" spans="3:3" hidden="1" outlineLevel="1" collapsed="1" x14ac:dyDescent="0.25">
      <c r="C3005" s="9">
        <f>Альфа!$B$663</f>
        <v>171650.36</v>
      </c>
    </row>
    <row r="3006" spans="3:3" hidden="1" outlineLevel="1" collapsed="1" x14ac:dyDescent="0.25">
      <c r="C3006" s="9">
        <f>Альфа!$B$688</f>
        <v>158534.76</v>
      </c>
    </row>
    <row r="3007" spans="3:3" hidden="1" outlineLevel="1" collapsed="1" x14ac:dyDescent="0.25">
      <c r="C3007" s="9">
        <f>Альфа!$B$713</f>
        <v>130232.82</v>
      </c>
    </row>
    <row r="3008" spans="3:3" hidden="1" outlineLevel="1" collapsed="1" x14ac:dyDescent="0.25">
      <c r="C3008" s="9">
        <f>Альфа!$B$738</f>
        <v>86314.44</v>
      </c>
    </row>
    <row r="3009" spans="3:3" hidden="1" outlineLevel="1" collapsed="1" x14ac:dyDescent="0.25">
      <c r="C3009" s="9">
        <f>Альфа!$B$763</f>
        <v>101427.12</v>
      </c>
    </row>
    <row r="3010" spans="3:3" hidden="1" outlineLevel="1" collapsed="1" x14ac:dyDescent="0.25">
      <c r="C3010" s="9">
        <f>Альфа!$B$788</f>
        <v>77593.039999999994</v>
      </c>
    </row>
    <row r="3011" spans="3:3" hidden="1" outlineLevel="1" collapsed="1" x14ac:dyDescent="0.25">
      <c r="C3011" s="9">
        <f>Альфа!$B$811</f>
        <v>119998.32</v>
      </c>
    </row>
    <row r="3012" spans="3:3" hidden="1" outlineLevel="1" collapsed="1" x14ac:dyDescent="0.25">
      <c r="C3012" s="9">
        <f>Альфа!$B$835</f>
        <v>123616.38</v>
      </c>
    </row>
    <row r="3013" spans="3:3" hidden="1" outlineLevel="1" collapsed="1" x14ac:dyDescent="0.25">
      <c r="C3013" s="9">
        <f>Альфа!$B$860</f>
        <v>195895.36</v>
      </c>
    </row>
    <row r="3014" spans="3:3" hidden="1" outlineLevel="1" collapsed="1" x14ac:dyDescent="0.25">
      <c r="C3014" s="9">
        <f>Альфа!$B$885</f>
        <v>177286.2</v>
      </c>
    </row>
    <row r="3015" spans="3:3" hidden="1" outlineLevel="1" collapsed="1" x14ac:dyDescent="0.25">
      <c r="C3015" s="9">
        <f>Альфа!$B$910</f>
        <v>76471.3</v>
      </c>
    </row>
    <row r="3016" spans="3:3" hidden="1" outlineLevel="1" collapsed="1" x14ac:dyDescent="0.25">
      <c r="C3016" s="9">
        <f>Альфа!$B$935</f>
        <v>59162.9</v>
      </c>
    </row>
    <row r="3017" spans="3:3" hidden="1" outlineLevel="1" collapsed="1" x14ac:dyDescent="0.25">
      <c r="C3017" s="9">
        <f>Альфа!$B$960</f>
        <v>47805.2</v>
      </c>
    </row>
    <row r="3018" spans="3:3" hidden="1" outlineLevel="1" collapsed="1" x14ac:dyDescent="0.25">
      <c r="C3018" s="9">
        <f>Альфа!$B$984</f>
        <v>51359.12</v>
      </c>
    </row>
    <row r="3019" spans="3:3" hidden="1" outlineLevel="1" collapsed="1" x14ac:dyDescent="0.25">
      <c r="C3019" s="9">
        <f>Альфа!$B$1010</f>
        <v>41205.839999999997</v>
      </c>
    </row>
    <row r="3020" spans="3:3" hidden="1" outlineLevel="1" collapsed="1" x14ac:dyDescent="0.25">
      <c r="C3020" s="9">
        <f>Альфа!$B$1035</f>
        <v>109637.3</v>
      </c>
    </row>
    <row r="3021" spans="3:3" hidden="1" outlineLevel="1" collapsed="1" x14ac:dyDescent="0.25">
      <c r="C3021" s="9">
        <f>Альфа!$B$1061</f>
        <v>78979.28</v>
      </c>
    </row>
    <row r="3022" spans="3:3" hidden="1" outlineLevel="1" collapsed="1" x14ac:dyDescent="0.25">
      <c r="C3022" s="9">
        <f>Альфа!$B$1085</f>
        <v>67193.72</v>
      </c>
    </row>
    <row r="3023" spans="3:3" hidden="1" outlineLevel="1" collapsed="1" x14ac:dyDescent="0.25">
      <c r="C3023" s="9">
        <f>Альфа!$B$1110</f>
        <v>83807.86</v>
      </c>
    </row>
    <row r="3024" spans="3:3" hidden="1" outlineLevel="1" collapsed="1" x14ac:dyDescent="0.25">
      <c r="C3024" s="9">
        <f>Альфа!$B$1135</f>
        <v>66996.36</v>
      </c>
    </row>
    <row r="3025" spans="2:3" hidden="1" outlineLevel="1" collapsed="1" x14ac:dyDescent="0.25">
      <c r="C3025" s="9">
        <f>Альфа!$B$1160</f>
        <v>64988.14</v>
      </c>
    </row>
    <row r="3026" spans="2:3" hidden="1" outlineLevel="1" collapsed="1" x14ac:dyDescent="0.25">
      <c r="C3026" s="9">
        <f>Альфа!$B$1186</f>
        <v>52683.02</v>
      </c>
    </row>
    <row r="3027" spans="2:3" hidden="1" outlineLevel="1" collapsed="1" x14ac:dyDescent="0.25">
      <c r="C3027" s="9">
        <f>Альфа!$B$1212</f>
        <v>81802.42</v>
      </c>
    </row>
    <row r="3028" spans="2:3" hidden="1" outlineLevel="1" collapsed="1" x14ac:dyDescent="0.25">
      <c r="C3028" s="9">
        <f>Альфа!$B$1237</f>
        <v>80450.720000000001</v>
      </c>
    </row>
    <row r="3029" spans="2:3" hidden="1" outlineLevel="1" collapsed="1" x14ac:dyDescent="0.25">
      <c r="B3029" t="s">
        <v>72</v>
      </c>
      <c r="C3029" s="9">
        <f>Бета!$B$17</f>
        <v>11895.48</v>
      </c>
    </row>
    <row r="3030" spans="2:3" hidden="1" outlineLevel="1" collapsed="1" x14ac:dyDescent="0.25">
      <c r="C3030" s="9">
        <f>Бета!$B$39</f>
        <v>7758.88</v>
      </c>
    </row>
    <row r="3031" spans="2:3" hidden="1" outlineLevel="1" collapsed="1" x14ac:dyDescent="0.25">
      <c r="C3031" s="9">
        <f>Бета!$B$61</f>
        <v>8737.42</v>
      </c>
    </row>
    <row r="3032" spans="2:3" hidden="1" outlineLevel="1" collapsed="1" x14ac:dyDescent="0.25">
      <c r="C3032" s="9">
        <f>Бета!$B$83</f>
        <v>15393.8</v>
      </c>
    </row>
    <row r="3033" spans="2:3" hidden="1" outlineLevel="1" collapsed="1" x14ac:dyDescent="0.25">
      <c r="C3033" s="9">
        <f>Бета!$B$105</f>
        <v>15519.24</v>
      </c>
    </row>
    <row r="3034" spans="2:3" hidden="1" outlineLevel="1" collapsed="1" x14ac:dyDescent="0.25">
      <c r="C3034" s="9">
        <f>Бета!$B$127</f>
        <v>24344.880000000001</v>
      </c>
    </row>
    <row r="3035" spans="2:3" hidden="1" outlineLevel="1" collapsed="1" x14ac:dyDescent="0.25">
      <c r="C3035" s="9">
        <f>Бета!$B$149</f>
        <v>16774.599999999999</v>
      </c>
    </row>
    <row r="3036" spans="2:3" hidden="1" outlineLevel="1" collapsed="1" x14ac:dyDescent="0.25">
      <c r="C3036" s="9">
        <f>Бета!$B$171</f>
        <v>8003.78</v>
      </c>
    </row>
    <row r="3037" spans="2:3" hidden="1" outlineLevel="1" collapsed="1" x14ac:dyDescent="0.25">
      <c r="C3037" s="9">
        <f>Бета!$B$193</f>
        <v>9769.86</v>
      </c>
    </row>
    <row r="3038" spans="2:3" hidden="1" outlineLevel="1" collapsed="1" x14ac:dyDescent="0.25">
      <c r="C3038" s="9">
        <f>Бета!$B$215</f>
        <v>3728.78</v>
      </c>
    </row>
    <row r="3039" spans="2:3" hidden="1" outlineLevel="1" collapsed="1" x14ac:dyDescent="0.25">
      <c r="C3039" s="9">
        <f>Бета!$B$237</f>
        <v>7391.9</v>
      </c>
    </row>
    <row r="3040" spans="2:3" hidden="1" outlineLevel="1" collapsed="1" x14ac:dyDescent="0.25">
      <c r="C3040" s="9">
        <f>Бета!$B$259</f>
        <v>9025.64</v>
      </c>
    </row>
    <row r="3041" spans="3:3" hidden="1" outlineLevel="1" collapsed="1" x14ac:dyDescent="0.25">
      <c r="C3041" s="9">
        <f>Бета!$B$280</f>
        <v>13782.64</v>
      </c>
    </row>
    <row r="3042" spans="3:3" hidden="1" outlineLevel="1" collapsed="1" x14ac:dyDescent="0.25">
      <c r="C3042" s="9">
        <f>Бета!$B$302</f>
        <v>17606.7</v>
      </c>
    </row>
    <row r="3043" spans="3:3" hidden="1" outlineLevel="1" collapsed="1" x14ac:dyDescent="0.25">
      <c r="C3043" s="9">
        <f>Бета!$B$324</f>
        <v>8368.92</v>
      </c>
    </row>
    <row r="3044" spans="3:3" hidden="1" outlineLevel="1" collapsed="1" x14ac:dyDescent="0.25">
      <c r="C3044" s="9">
        <f>Бета!$B$345</f>
        <v>9632.52</v>
      </c>
    </row>
    <row r="3045" spans="3:3" hidden="1" outlineLevel="1" collapsed="1" x14ac:dyDescent="0.25">
      <c r="C3045" s="9">
        <f>Бета!$B$366</f>
        <v>15749.24</v>
      </c>
    </row>
    <row r="3046" spans="3:3" hidden="1" outlineLevel="1" collapsed="1" x14ac:dyDescent="0.25">
      <c r="C3046" s="9">
        <f>Бета!$B$387</f>
        <v>5743.6</v>
      </c>
    </row>
    <row r="3047" spans="3:3" hidden="1" outlineLevel="1" collapsed="1" x14ac:dyDescent="0.25">
      <c r="C3047" s="9">
        <f>Бета!$B$408</f>
        <v>10904.44</v>
      </c>
    </row>
    <row r="3048" spans="3:3" hidden="1" outlineLevel="1" collapsed="1" x14ac:dyDescent="0.25">
      <c r="C3048" s="9">
        <f>Бета!$B$429</f>
        <v>19727.66</v>
      </c>
    </row>
    <row r="3049" spans="3:3" hidden="1" outlineLevel="1" collapsed="1" x14ac:dyDescent="0.25">
      <c r="C3049" s="9">
        <f>Бета!$B$450</f>
        <v>15766.98</v>
      </c>
    </row>
    <row r="3050" spans="3:3" hidden="1" outlineLevel="1" collapsed="1" x14ac:dyDescent="0.25">
      <c r="C3050" s="9">
        <f>Бета!$B$471</f>
        <v>5207.58</v>
      </c>
    </row>
    <row r="3051" spans="3:3" hidden="1" outlineLevel="1" collapsed="1" x14ac:dyDescent="0.25">
      <c r="C3051" s="9">
        <f>Бета!$B$492</f>
        <v>2440.7199999999998</v>
      </c>
    </row>
    <row r="3052" spans="3:3" hidden="1" outlineLevel="1" collapsed="1" x14ac:dyDescent="0.25">
      <c r="C3052" s="9">
        <f>Бета!$B$513</f>
        <v>2382.1799999999998</v>
      </c>
    </row>
    <row r="3053" spans="3:3" hidden="1" outlineLevel="1" collapsed="1" x14ac:dyDescent="0.25">
      <c r="C3053" s="9">
        <f>Бета!$B$534</f>
        <v>5871.84</v>
      </c>
    </row>
    <row r="3054" spans="3:3" hidden="1" outlineLevel="1" collapsed="1" x14ac:dyDescent="0.25">
      <c r="C3054" s="9">
        <f>Бета!$B$554</f>
        <v>8919.26</v>
      </c>
    </row>
    <row r="3055" spans="3:3" hidden="1" outlineLevel="1" collapsed="1" x14ac:dyDescent="0.25">
      <c r="C3055" s="9">
        <f>Бета!$B$573</f>
        <v>22289.759999999998</v>
      </c>
    </row>
    <row r="3056" spans="3:3" hidden="1" outlineLevel="1" collapsed="1" x14ac:dyDescent="0.25">
      <c r="C3056" s="9">
        <f>Бета!$B$593</f>
        <v>5621.42</v>
      </c>
    </row>
    <row r="3057" spans="3:3" hidden="1" outlineLevel="1" collapsed="1" x14ac:dyDescent="0.25">
      <c r="C3057" s="9">
        <f>Бета!$B$612</f>
        <v>2110.42</v>
      </c>
    </row>
    <row r="3058" spans="3:3" hidden="1" outlineLevel="1" collapsed="1" x14ac:dyDescent="0.25">
      <c r="C3058" s="9">
        <f>Бета!$B$632</f>
        <v>4296.9399999999996</v>
      </c>
    </row>
    <row r="3059" spans="3:3" hidden="1" outlineLevel="1" collapsed="1" x14ac:dyDescent="0.25">
      <c r="C3059" s="9">
        <f>Бета!$B$652</f>
        <v>2431.3000000000002</v>
      </c>
    </row>
    <row r="3060" spans="3:3" hidden="1" outlineLevel="1" collapsed="1" x14ac:dyDescent="0.25">
      <c r="C3060" s="9">
        <f>Бета!$B$672</f>
        <v>7339.76</v>
      </c>
    </row>
    <row r="3061" spans="3:3" hidden="1" outlineLevel="1" collapsed="1" x14ac:dyDescent="0.25">
      <c r="C3061" s="9">
        <f>Бета!$B$693</f>
        <v>6348.74</v>
      </c>
    </row>
    <row r="3062" spans="3:3" hidden="1" outlineLevel="1" collapsed="1" x14ac:dyDescent="0.25">
      <c r="C3062" s="9">
        <f>Бета!$B$713</f>
        <v>13850.9</v>
      </c>
    </row>
    <row r="3063" spans="3:3" hidden="1" outlineLevel="1" collapsed="1" x14ac:dyDescent="0.25">
      <c r="C3063" s="9">
        <f>Бета!$B$734</f>
        <v>13016.94</v>
      </c>
    </row>
    <row r="3064" spans="3:3" hidden="1" outlineLevel="1" collapsed="1" x14ac:dyDescent="0.25">
      <c r="C3064" s="9">
        <f>Бета!$B$754</f>
        <v>8993.5</v>
      </c>
    </row>
    <row r="3065" spans="3:3" hidden="1" outlineLevel="1" collapsed="1" x14ac:dyDescent="0.25">
      <c r="C3065" s="9">
        <f>Бета!$B$774</f>
        <v>3540.12</v>
      </c>
    </row>
    <row r="3066" spans="3:3" hidden="1" outlineLevel="1" collapsed="1" x14ac:dyDescent="0.25">
      <c r="C3066" s="9">
        <f>Бета!$B$794</f>
        <v>3908.74</v>
      </c>
    </row>
    <row r="3067" spans="3:3" hidden="1" outlineLevel="1" collapsed="1" x14ac:dyDescent="0.25">
      <c r="C3067" s="9">
        <f>Бета!$B$814</f>
        <v>2826.82</v>
      </c>
    </row>
    <row r="3068" spans="3:3" hidden="1" outlineLevel="1" collapsed="1" x14ac:dyDescent="0.25">
      <c r="C3068" s="9">
        <f>Бета!$B$834</f>
        <v>3790.48</v>
      </c>
    </row>
    <row r="3069" spans="3:3" hidden="1" outlineLevel="1" collapsed="1" x14ac:dyDescent="0.25">
      <c r="C3069" s="9">
        <f>Бета!$B$854</f>
        <v>963.88</v>
      </c>
    </row>
    <row r="3070" spans="3:3" hidden="1" outlineLevel="1" collapsed="1" x14ac:dyDescent="0.25">
      <c r="C3070" s="9">
        <f>Бета!$B$874</f>
        <v>2093.86</v>
      </c>
    </row>
    <row r="3071" spans="3:3" hidden="1" outlineLevel="1" collapsed="1" x14ac:dyDescent="0.25">
      <c r="C3071" s="9">
        <f>Бета!$B$894</f>
        <v>434.4</v>
      </c>
    </row>
    <row r="3072" spans="3:3" hidden="1" outlineLevel="1" collapsed="1" x14ac:dyDescent="0.25">
      <c r="C3072" s="9">
        <f>Бета!$B$914</f>
        <v>1890.6</v>
      </c>
    </row>
    <row r="3073" spans="2:3" hidden="1" outlineLevel="1" collapsed="1" x14ac:dyDescent="0.25">
      <c r="C3073" s="9">
        <f>Бета!$B$933</f>
        <v>2711.28</v>
      </c>
    </row>
    <row r="3074" spans="2:3" hidden="1" outlineLevel="1" collapsed="1" x14ac:dyDescent="0.25">
      <c r="C3074" s="9">
        <f>Бета!$B$953</f>
        <v>451.4</v>
      </c>
    </row>
    <row r="3075" spans="2:3" hidden="1" outlineLevel="1" collapsed="1" x14ac:dyDescent="0.25">
      <c r="C3075" s="9">
        <f>Бета!$B$973</f>
        <v>1400.56</v>
      </c>
    </row>
    <row r="3076" spans="2:3" hidden="1" outlineLevel="1" collapsed="1" x14ac:dyDescent="0.25">
      <c r="C3076" s="9">
        <f>Бета!$B$993</f>
        <v>3341.2</v>
      </c>
    </row>
    <row r="3077" spans="2:3" hidden="1" outlineLevel="1" collapsed="1" x14ac:dyDescent="0.25">
      <c r="C3077" s="9">
        <f>Бета!$B$1013</f>
        <v>1165.1199999999999</v>
      </c>
    </row>
    <row r="3078" spans="2:3" hidden="1" outlineLevel="1" collapsed="1" x14ac:dyDescent="0.25">
      <c r="B3078" t="s">
        <v>72</v>
      </c>
      <c r="C3078" s="9">
        <f>Гамма!$B$19</f>
        <v>62852.76</v>
      </c>
    </row>
    <row r="3079" spans="2:3" hidden="1" outlineLevel="1" collapsed="1" x14ac:dyDescent="0.25">
      <c r="C3079" s="9">
        <f>Гамма!$B$45</f>
        <v>22091</v>
      </c>
    </row>
    <row r="3080" spans="2:3" hidden="1" outlineLevel="1" collapsed="1" x14ac:dyDescent="0.25">
      <c r="C3080" s="9">
        <f>Гамма!$B$72</f>
        <v>136787.9</v>
      </c>
    </row>
    <row r="3081" spans="2:3" hidden="1" outlineLevel="1" collapsed="1" x14ac:dyDescent="0.25">
      <c r="C3081" s="9">
        <f>Гамма!$B$99</f>
        <v>171220.88</v>
      </c>
    </row>
    <row r="3082" spans="2:3" hidden="1" outlineLevel="1" collapsed="1" x14ac:dyDescent="0.25">
      <c r="C3082" s="9">
        <f>Гамма!$B$125</f>
        <v>184648.24</v>
      </c>
    </row>
    <row r="3083" spans="2:3" hidden="1" outlineLevel="1" collapsed="1" x14ac:dyDescent="0.25">
      <c r="C3083" s="9">
        <f>Гамма!$B$151</f>
        <v>266731.08</v>
      </c>
    </row>
    <row r="3084" spans="2:3" hidden="1" outlineLevel="1" collapsed="1" x14ac:dyDescent="0.25">
      <c r="C3084" s="9">
        <f>Гамма!$B$177</f>
        <v>175485.7</v>
      </c>
    </row>
    <row r="3085" spans="2:3" hidden="1" outlineLevel="1" collapsed="1" x14ac:dyDescent="0.25">
      <c r="C3085" s="9">
        <f>Гамма!$B$204</f>
        <v>46366.400000000001</v>
      </c>
    </row>
    <row r="3086" spans="2:3" hidden="1" outlineLevel="1" collapsed="1" x14ac:dyDescent="0.25">
      <c r="C3086" s="9">
        <f>Гамма!$B$231</f>
        <v>165992.79999999999</v>
      </c>
    </row>
    <row r="3087" spans="2:3" hidden="1" outlineLevel="1" collapsed="1" x14ac:dyDescent="0.25">
      <c r="C3087" s="9">
        <f>Гамма!$B$257</f>
        <v>128624.26</v>
      </c>
    </row>
    <row r="3088" spans="2:3" hidden="1" outlineLevel="1" collapsed="1" x14ac:dyDescent="0.25">
      <c r="C3088" s="9">
        <f>Гамма!$B$283</f>
        <v>147344.78</v>
      </c>
    </row>
    <row r="3089" spans="3:3" hidden="1" outlineLevel="1" collapsed="1" x14ac:dyDescent="0.25">
      <c r="C3089" s="9">
        <f>Гамма!$B$309</f>
        <v>175042.88</v>
      </c>
    </row>
    <row r="3090" spans="3:3" hidden="1" outlineLevel="1" collapsed="1" x14ac:dyDescent="0.25">
      <c r="C3090" s="9">
        <f>Гамма!$B$335</f>
        <v>324515.48</v>
      </c>
    </row>
    <row r="3091" spans="3:3" hidden="1" outlineLevel="1" collapsed="1" x14ac:dyDescent="0.25">
      <c r="C3091" s="9">
        <f>Гамма!$B$361</f>
        <v>257754.72</v>
      </c>
    </row>
    <row r="3092" spans="3:3" hidden="1" outlineLevel="1" collapsed="1" x14ac:dyDescent="0.25">
      <c r="C3092" s="9">
        <f>Гамма!$B$386</f>
        <v>169126.5</v>
      </c>
    </row>
    <row r="3093" spans="3:3" hidden="1" outlineLevel="1" collapsed="1" x14ac:dyDescent="0.25">
      <c r="C3093" s="9">
        <f>Гамма!$B$412</f>
        <v>152954.14000000001</v>
      </c>
    </row>
    <row r="3094" spans="3:3" hidden="1" outlineLevel="1" collapsed="1" x14ac:dyDescent="0.25">
      <c r="C3094" s="9">
        <f>Гамма!$B$439</f>
        <v>171271.16</v>
      </c>
    </row>
    <row r="3095" spans="3:3" hidden="1" outlineLevel="1" collapsed="1" x14ac:dyDescent="0.25">
      <c r="C3095" s="9">
        <f>Гамма!$B$466</f>
        <v>226216.44</v>
      </c>
    </row>
    <row r="3096" spans="3:3" hidden="1" outlineLevel="1" collapsed="1" x14ac:dyDescent="0.25">
      <c r="C3096" s="9">
        <f>Гамма!$B$492</f>
        <v>220346</v>
      </c>
    </row>
    <row r="3097" spans="3:3" hidden="1" outlineLevel="1" collapsed="1" x14ac:dyDescent="0.25">
      <c r="C3097" s="9">
        <f>Гамма!$B$518</f>
        <v>347494.54</v>
      </c>
    </row>
    <row r="3098" spans="3:3" hidden="1" outlineLevel="1" collapsed="1" x14ac:dyDescent="0.25">
      <c r="C3098" s="9">
        <f>Гамма!$B$544</f>
        <v>298378.44</v>
      </c>
    </row>
    <row r="3099" spans="3:3" hidden="1" outlineLevel="1" collapsed="1" x14ac:dyDescent="0.25">
      <c r="C3099" s="9">
        <f>Гамма!$B$570</f>
        <v>125403.46</v>
      </c>
    </row>
    <row r="3100" spans="3:3" hidden="1" outlineLevel="1" collapsed="1" x14ac:dyDescent="0.25">
      <c r="C3100" s="9">
        <f>Гамма!$B$595</f>
        <v>92599.86</v>
      </c>
    </row>
    <row r="3101" spans="3:3" hidden="1" outlineLevel="1" collapsed="1" x14ac:dyDescent="0.25">
      <c r="C3101" s="9">
        <f>Гамма!$B$621</f>
        <v>140399.4</v>
      </c>
    </row>
    <row r="3102" spans="3:3" hidden="1" outlineLevel="1" collapsed="1" x14ac:dyDescent="0.25">
      <c r="C3102" s="9">
        <f>Гамма!$B$647</f>
        <v>137849.48000000001</v>
      </c>
    </row>
    <row r="3103" spans="3:3" hidden="1" outlineLevel="1" collapsed="1" x14ac:dyDescent="0.25">
      <c r="C3103" s="9">
        <f>Гамма!$B$673</f>
        <v>148790.20000000001</v>
      </c>
    </row>
    <row r="3104" spans="3:3" hidden="1" outlineLevel="1" collapsed="1" x14ac:dyDescent="0.25">
      <c r="C3104" s="9">
        <f>Гамма!$B$699</f>
        <v>252153.96</v>
      </c>
    </row>
    <row r="3105" spans="3:3" hidden="1" outlineLevel="1" collapsed="1" x14ac:dyDescent="0.25">
      <c r="C3105" s="9">
        <f>Гамма!$B$725</f>
        <v>179139.98</v>
      </c>
    </row>
    <row r="3106" spans="3:3" hidden="1" outlineLevel="1" collapsed="1" x14ac:dyDescent="0.25">
      <c r="C3106" s="9">
        <f>Гамма!$B$749</f>
        <v>101802.3</v>
      </c>
    </row>
    <row r="3107" spans="3:3" hidden="1" outlineLevel="1" collapsed="1" x14ac:dyDescent="0.25">
      <c r="C3107" s="9">
        <f>Гамма!$B$775</f>
        <v>92350.96</v>
      </c>
    </row>
    <row r="3108" spans="3:3" hidden="1" outlineLevel="1" collapsed="1" x14ac:dyDescent="0.25">
      <c r="C3108" s="9">
        <f>Гамма!$B$799</f>
        <v>64967.98</v>
      </c>
    </row>
    <row r="3109" spans="3:3" hidden="1" outlineLevel="1" collapsed="1" x14ac:dyDescent="0.25">
      <c r="C3109" s="9">
        <f>Гамма!$B$825</f>
        <v>121897.42</v>
      </c>
    </row>
    <row r="3110" spans="3:3" hidden="1" outlineLevel="1" collapsed="1" x14ac:dyDescent="0.25">
      <c r="C3110" s="9">
        <f>Гамма!$B$851</f>
        <v>181392.96</v>
      </c>
    </row>
    <row r="3111" spans="3:3" hidden="1" outlineLevel="1" collapsed="1" x14ac:dyDescent="0.25">
      <c r="C3111" s="9">
        <f>Гамма!$B$877</f>
        <v>265962.78000000003</v>
      </c>
    </row>
    <row r="3112" spans="3:3" hidden="1" outlineLevel="1" collapsed="1" x14ac:dyDescent="0.25">
      <c r="C3112" s="9">
        <f>Гамма!$B$903</f>
        <v>178153.96</v>
      </c>
    </row>
    <row r="3113" spans="3:3" hidden="1" outlineLevel="1" collapsed="1" x14ac:dyDescent="0.25">
      <c r="C3113" s="9">
        <f>Гамма!$B$929</f>
        <v>89060.04</v>
      </c>
    </row>
    <row r="3114" spans="3:3" hidden="1" outlineLevel="1" collapsed="1" x14ac:dyDescent="0.25">
      <c r="C3114" s="9">
        <f>Гамма!$B$954</f>
        <v>55841.94</v>
      </c>
    </row>
    <row r="3115" spans="3:3" hidden="1" outlineLevel="1" collapsed="1" x14ac:dyDescent="0.25">
      <c r="C3115" s="9">
        <f>Гамма!$B$980</f>
        <v>44241.54</v>
      </c>
    </row>
    <row r="3116" spans="3:3" hidden="1" outlineLevel="1" collapsed="1" x14ac:dyDescent="0.25">
      <c r="C3116" s="9">
        <f>Гамма!$B$1006</f>
        <v>41119.040000000001</v>
      </c>
    </row>
    <row r="3117" spans="3:3" hidden="1" outlineLevel="1" collapsed="1" x14ac:dyDescent="0.25">
      <c r="C3117" s="9">
        <f>Гамма!$B$1031</f>
        <v>32772</v>
      </c>
    </row>
    <row r="3118" spans="3:3" hidden="1" outlineLevel="1" collapsed="1" x14ac:dyDescent="0.25">
      <c r="C3118" s="9">
        <f>Гамма!$B$1055</f>
        <v>150503.64000000001</v>
      </c>
    </row>
    <row r="3119" spans="3:3" hidden="1" outlineLevel="1" collapsed="1" x14ac:dyDescent="0.25">
      <c r="C3119" s="9">
        <f>Гамма!$B$1080</f>
        <v>130564.16</v>
      </c>
    </row>
    <row r="3120" spans="3:3" hidden="1" outlineLevel="1" collapsed="1" x14ac:dyDescent="0.25">
      <c r="C3120" s="9">
        <f>Гамма!$B$1106</f>
        <v>86269.18</v>
      </c>
    </row>
    <row r="3121" spans="2:3" hidden="1" outlineLevel="1" collapsed="1" x14ac:dyDescent="0.25">
      <c r="C3121" s="9">
        <f>Гамма!$B$1130</f>
        <v>110989.08</v>
      </c>
    </row>
    <row r="3122" spans="2:3" hidden="1" outlineLevel="1" collapsed="1" x14ac:dyDescent="0.25">
      <c r="C3122" s="9">
        <f>Гамма!$B$1154</f>
        <v>119008.66</v>
      </c>
    </row>
    <row r="3123" spans="2:3" hidden="1" outlineLevel="1" collapsed="1" x14ac:dyDescent="0.25">
      <c r="C3123" s="9">
        <f>Гамма!$B$1180</f>
        <v>112379.7</v>
      </c>
    </row>
    <row r="3124" spans="2:3" hidden="1" outlineLevel="1" collapsed="1" x14ac:dyDescent="0.25">
      <c r="C3124" s="9">
        <f>Гамма!$B$1204</f>
        <v>85314.82</v>
      </c>
    </row>
    <row r="3125" spans="2:3" hidden="1" outlineLevel="1" collapsed="1" x14ac:dyDescent="0.25">
      <c r="C3125" s="9">
        <f>Гамма!$B$1229</f>
        <v>174710.98</v>
      </c>
    </row>
    <row r="3126" spans="2:3" hidden="1" outlineLevel="1" collapsed="1" x14ac:dyDescent="0.25">
      <c r="C3126" s="9">
        <f>Гамма!$B$1254</f>
        <v>125098.96</v>
      </c>
    </row>
    <row r="3127" spans="2:3" hidden="1" outlineLevel="1" collapsed="1" x14ac:dyDescent="0.25">
      <c r="B3127" t="s">
        <v>72</v>
      </c>
      <c r="C3127" s="9">
        <f>Дельта!$B$19</f>
        <v>101876.03</v>
      </c>
    </row>
    <row r="3128" spans="2:3" hidden="1" outlineLevel="1" collapsed="1" x14ac:dyDescent="0.25">
      <c r="C3128" s="9">
        <f>Дельта!$B$45</f>
        <v>86752.639999999999</v>
      </c>
    </row>
    <row r="3129" spans="2:3" hidden="1" outlineLevel="1" collapsed="1" x14ac:dyDescent="0.25">
      <c r="C3129" s="9">
        <f>Дельта!$B$71</f>
        <v>82174.92</v>
      </c>
    </row>
    <row r="3130" spans="2:3" hidden="1" outlineLevel="1" collapsed="1" x14ac:dyDescent="0.25">
      <c r="C3130" s="9">
        <f>Дельта!$B$97</f>
        <v>96486</v>
      </c>
    </row>
    <row r="3131" spans="2:3" hidden="1" outlineLevel="1" collapsed="1" x14ac:dyDescent="0.25">
      <c r="C3131" s="9">
        <f>Дельта!$B$123</f>
        <v>137488</v>
      </c>
    </row>
    <row r="3132" spans="2:3" hidden="1" outlineLevel="1" collapsed="1" x14ac:dyDescent="0.25">
      <c r="C3132" s="9">
        <f>Дельта!$B$149</f>
        <v>149315</v>
      </c>
    </row>
    <row r="3133" spans="2:3" hidden="1" outlineLevel="1" collapsed="1" x14ac:dyDescent="0.25">
      <c r="C3133" s="9">
        <f>Дельта!$B$174</f>
        <v>120242.28</v>
      </c>
    </row>
    <row r="3134" spans="2:3" hidden="1" outlineLevel="1" collapsed="1" x14ac:dyDescent="0.25">
      <c r="C3134" s="9">
        <f>Дельта!$B$200</f>
        <v>96277</v>
      </c>
    </row>
    <row r="3135" spans="2:3" hidden="1" outlineLevel="1" collapsed="1" x14ac:dyDescent="0.25">
      <c r="C3135" s="9">
        <f>Дельта!$B$226</f>
        <v>67469.279999999999</v>
      </c>
    </row>
    <row r="3136" spans="2:3" hidden="1" outlineLevel="1" collapsed="1" x14ac:dyDescent="0.25">
      <c r="C3136" s="9">
        <f>Дельта!$B$251</f>
        <v>81365</v>
      </c>
    </row>
    <row r="3137" spans="3:3" hidden="1" outlineLevel="1" collapsed="1" x14ac:dyDescent="0.25">
      <c r="C3137" s="9">
        <f>Дельта!$B$277</f>
        <v>63755</v>
      </c>
    </row>
    <row r="3138" spans="3:3" hidden="1" outlineLevel="1" collapsed="1" x14ac:dyDescent="0.25">
      <c r="C3138" s="9">
        <f>Дельта!$B$303</f>
        <v>104295</v>
      </c>
    </row>
    <row r="3139" spans="3:3" hidden="1" outlineLevel="1" collapsed="1" x14ac:dyDescent="0.25">
      <c r="C3139" s="9">
        <f>Дельта!$B$329</f>
        <v>162205</v>
      </c>
    </row>
    <row r="3140" spans="3:3" hidden="1" outlineLevel="1" collapsed="1" x14ac:dyDescent="0.25">
      <c r="C3140" s="9">
        <f>Дельта!$B$355</f>
        <v>118145</v>
      </c>
    </row>
    <row r="3141" spans="3:3" hidden="1" outlineLevel="1" collapsed="1" x14ac:dyDescent="0.25">
      <c r="C3141" s="9">
        <f>Дельта!$B$381</f>
        <v>78354</v>
      </c>
    </row>
    <row r="3142" spans="3:3" hidden="1" outlineLevel="1" collapsed="1" x14ac:dyDescent="0.25">
      <c r="C3142" s="9">
        <f>Дельта!$B$407</f>
        <v>96976</v>
      </c>
    </row>
    <row r="3143" spans="3:3" hidden="1" outlineLevel="1" collapsed="1" x14ac:dyDescent="0.25">
      <c r="C3143" s="9">
        <f>Дельта!$B$433</f>
        <v>87198</v>
      </c>
    </row>
    <row r="3144" spans="3:3" hidden="1" outlineLevel="1" collapsed="1" x14ac:dyDescent="0.25">
      <c r="C3144" s="9">
        <f>Дельта!$B$459</f>
        <v>122545</v>
      </c>
    </row>
    <row r="3145" spans="3:3" hidden="1" outlineLevel="1" collapsed="1" x14ac:dyDescent="0.25">
      <c r="C3145" s="9">
        <f>Дельта!$B$485</f>
        <v>107041</v>
      </c>
    </row>
    <row r="3146" spans="3:3" hidden="1" outlineLevel="1" collapsed="1" x14ac:dyDescent="0.25">
      <c r="C3146" s="9">
        <f>Дельта!$B$511</f>
        <v>216249</v>
      </c>
    </row>
    <row r="3147" spans="3:3" hidden="1" outlineLevel="1" collapsed="1" x14ac:dyDescent="0.25">
      <c r="C3147" s="9">
        <f>Дельта!$B$537</f>
        <v>128231</v>
      </c>
    </row>
    <row r="3148" spans="3:3" hidden="1" outlineLevel="1" collapsed="1" x14ac:dyDescent="0.25">
      <c r="C3148" s="9">
        <f>Дельта!$B$563</f>
        <v>75832</v>
      </c>
    </row>
    <row r="3149" spans="3:3" hidden="1" outlineLevel="1" collapsed="1" x14ac:dyDescent="0.25">
      <c r="C3149" s="9">
        <f>Дельта!$B$589</f>
        <v>37075</v>
      </c>
    </row>
    <row r="3150" spans="3:3" hidden="1" outlineLevel="1" collapsed="1" x14ac:dyDescent="0.25">
      <c r="C3150" s="9">
        <f>Дельта!$B$615</f>
        <v>65654</v>
      </c>
    </row>
    <row r="3151" spans="3:3" hidden="1" outlineLevel="1" collapsed="1" x14ac:dyDescent="0.25">
      <c r="C3151" s="9">
        <f>Дельта!$B$640</f>
        <v>71726</v>
      </c>
    </row>
    <row r="3152" spans="3:3" hidden="1" outlineLevel="1" collapsed="1" x14ac:dyDescent="0.25">
      <c r="C3152" s="9">
        <f>Дельта!$B$666</f>
        <v>69577</v>
      </c>
    </row>
    <row r="3153" spans="3:3" hidden="1" outlineLevel="1" collapsed="1" x14ac:dyDescent="0.25">
      <c r="C3153" s="9">
        <f>Дельта!$B$693</f>
        <v>99861</v>
      </c>
    </row>
    <row r="3154" spans="3:3" hidden="1" outlineLevel="1" collapsed="1" x14ac:dyDescent="0.25">
      <c r="C3154" s="9">
        <f>Дельта!$B$719</f>
        <v>83536</v>
      </c>
    </row>
    <row r="3155" spans="3:3" hidden="1" outlineLevel="1" collapsed="1" x14ac:dyDescent="0.25">
      <c r="C3155" s="9">
        <f>Дельта!$B$744</f>
        <v>57216</v>
      </c>
    </row>
    <row r="3156" spans="3:3" hidden="1" outlineLevel="1" collapsed="1" x14ac:dyDescent="0.25">
      <c r="C3156" s="9">
        <f>Дельта!$B$770</f>
        <v>51087.78</v>
      </c>
    </row>
    <row r="3157" spans="3:3" hidden="1" outlineLevel="1" collapsed="1" x14ac:dyDescent="0.25">
      <c r="C3157" s="9">
        <f>Дельта!$B$795</f>
        <v>60529</v>
      </c>
    </row>
    <row r="3158" spans="3:3" hidden="1" outlineLevel="1" collapsed="1" x14ac:dyDescent="0.25">
      <c r="C3158" s="9">
        <f>Дельта!$B$821</f>
        <v>62079</v>
      </c>
    </row>
    <row r="3159" spans="3:3" hidden="1" outlineLevel="1" collapsed="1" x14ac:dyDescent="0.25">
      <c r="C3159" s="9">
        <f>Дельта!$B$847</f>
        <v>73037</v>
      </c>
    </row>
    <row r="3160" spans="3:3" hidden="1" outlineLevel="1" collapsed="1" x14ac:dyDescent="0.25">
      <c r="C3160" s="9">
        <f>Дельта!$B$873</f>
        <v>116471</v>
      </c>
    </row>
    <row r="3161" spans="3:3" hidden="1" outlineLevel="1" collapsed="1" x14ac:dyDescent="0.25">
      <c r="C3161" s="9">
        <f>Дельта!$B$899</f>
        <v>111173</v>
      </c>
    </row>
    <row r="3162" spans="3:3" hidden="1" outlineLevel="1" collapsed="1" x14ac:dyDescent="0.25">
      <c r="C3162" s="9">
        <f>Дельта!$B$925</f>
        <v>56780</v>
      </c>
    </row>
    <row r="3163" spans="3:3" hidden="1" outlineLevel="1" collapsed="1" x14ac:dyDescent="0.25">
      <c r="C3163" s="9">
        <f>Дельта!$B$950</f>
        <v>37735.360000000001</v>
      </c>
    </row>
    <row r="3164" spans="3:3" hidden="1" outlineLevel="1" collapsed="1" x14ac:dyDescent="0.25">
      <c r="C3164" s="9">
        <f>Дельта!$B$976</f>
        <v>36195.4</v>
      </c>
    </row>
    <row r="3165" spans="3:3" hidden="1" outlineLevel="1" collapsed="1" x14ac:dyDescent="0.25">
      <c r="C3165" s="9">
        <f>Дельта!$B$1001</f>
        <v>33726</v>
      </c>
    </row>
    <row r="3166" spans="3:3" hidden="1" outlineLevel="1" collapsed="1" x14ac:dyDescent="0.25">
      <c r="C3166" s="9">
        <f>Дельта!$B$1026</f>
        <v>34665</v>
      </c>
    </row>
    <row r="3167" spans="3:3" hidden="1" outlineLevel="1" collapsed="1" x14ac:dyDescent="0.25">
      <c r="C3167" s="9">
        <f>Дельта!$B$1052</f>
        <v>51493</v>
      </c>
    </row>
    <row r="3168" spans="3:3" hidden="1" outlineLevel="1" collapsed="1" x14ac:dyDescent="0.25">
      <c r="C3168" s="9">
        <f>Дельта!$B$1078</f>
        <v>54506.04</v>
      </c>
    </row>
    <row r="3169" spans="1:3" hidden="1" outlineLevel="1" collapsed="1" x14ac:dyDescent="0.25">
      <c r="C3169" s="9">
        <f>Дельта!$B$1102</f>
        <v>30636</v>
      </c>
    </row>
    <row r="3170" spans="1:3" hidden="1" outlineLevel="1" collapsed="1" x14ac:dyDescent="0.25">
      <c r="C3170" s="9">
        <f>Дельта!$B$1127</f>
        <v>22011</v>
      </c>
    </row>
    <row r="3171" spans="1:3" hidden="1" outlineLevel="1" collapsed="1" x14ac:dyDescent="0.25">
      <c r="C3171" s="9">
        <f>Дельта!$B$1152</f>
        <v>21860</v>
      </c>
    </row>
    <row r="3172" spans="1:3" hidden="1" outlineLevel="1" collapsed="1" x14ac:dyDescent="0.25">
      <c r="C3172" s="9">
        <f>Дельта!$B$1175</f>
        <v>27627.06</v>
      </c>
    </row>
    <row r="3173" spans="1:3" hidden="1" outlineLevel="1" collapsed="1" x14ac:dyDescent="0.25">
      <c r="C3173" s="9">
        <f>Дельта!$B$1199</f>
        <v>61777.2</v>
      </c>
    </row>
    <row r="3174" spans="1:3" hidden="1" outlineLevel="1" collapsed="1" x14ac:dyDescent="0.25">
      <c r="C3174" s="9">
        <f>Дельта!$B$1224</f>
        <v>76400</v>
      </c>
    </row>
    <row r="3175" spans="1:3" hidden="1" outlineLevel="1" collapsed="1" x14ac:dyDescent="0.25">
      <c r="C3175" s="9">
        <f>Дельта!$B$1248</f>
        <v>36283</v>
      </c>
    </row>
    <row r="3176" spans="1:3" collapsed="1" x14ac:dyDescent="0.25">
      <c r="A3176" t="s">
        <v>18</v>
      </c>
      <c r="C3176" s="9">
        <f>SUM(C2980:C3175)</f>
        <v>17273266.019999996</v>
      </c>
    </row>
    <row r="3177" spans="1:3" hidden="1" outlineLevel="1" x14ac:dyDescent="0.25">
      <c r="B3177" t="s">
        <v>72</v>
      </c>
      <c r="C3177" s="9">
        <f>Альфа!$B$19</f>
        <v>1121886.78</v>
      </c>
    </row>
    <row r="3178" spans="1:3" hidden="1" outlineLevel="1" collapsed="1" x14ac:dyDescent="0.25">
      <c r="C3178" s="9">
        <f>Альфа!$B$45</f>
        <v>1056832.44</v>
      </c>
    </row>
    <row r="3179" spans="1:3" hidden="1" outlineLevel="1" collapsed="1" x14ac:dyDescent="0.25">
      <c r="C3179" s="9">
        <f>Альфа!$B$71</f>
        <v>1015632.52</v>
      </c>
    </row>
    <row r="3180" spans="1:3" hidden="1" outlineLevel="1" collapsed="1" x14ac:dyDescent="0.25">
      <c r="C3180" s="9">
        <f>Альфа!$B$97</f>
        <v>1120393.94</v>
      </c>
    </row>
    <row r="3181" spans="1:3" hidden="1" outlineLevel="1" collapsed="1" x14ac:dyDescent="0.25">
      <c r="C3181" s="9">
        <f>Альфа!$B$124</f>
        <v>1241720.55</v>
      </c>
    </row>
    <row r="3182" spans="1:3" hidden="1" outlineLevel="1" collapsed="1" x14ac:dyDescent="0.25">
      <c r="C3182" s="9">
        <f>Альфа!$B$151</f>
        <v>1383643.01</v>
      </c>
    </row>
    <row r="3183" spans="1:3" hidden="1" outlineLevel="1" collapsed="1" x14ac:dyDescent="0.25">
      <c r="C3183" s="9">
        <f>Альфа!$B$177</f>
        <v>910731.55</v>
      </c>
    </row>
    <row r="3184" spans="1:3" hidden="1" outlineLevel="1" collapsed="1" x14ac:dyDescent="0.25">
      <c r="C3184" s="9">
        <f>Альфа!$B$203</f>
        <v>728454.52</v>
      </c>
    </row>
    <row r="3185" spans="3:3" hidden="1" outlineLevel="1" collapsed="1" x14ac:dyDescent="0.25">
      <c r="C3185" s="9">
        <f>Альфа!$B$229</f>
        <v>784023.65</v>
      </c>
    </row>
    <row r="3186" spans="3:3" hidden="1" outlineLevel="1" collapsed="1" x14ac:dyDescent="0.25">
      <c r="C3186" s="9">
        <f>Альфа!$B$256</f>
        <v>741810.34</v>
      </c>
    </row>
    <row r="3187" spans="3:3" hidden="1" outlineLevel="1" collapsed="1" x14ac:dyDescent="0.25">
      <c r="C3187" s="9">
        <f>Альфа!$B$282</f>
        <v>720360.39</v>
      </c>
    </row>
    <row r="3188" spans="3:3" hidden="1" outlineLevel="1" collapsed="1" x14ac:dyDescent="0.25">
      <c r="C3188" s="9">
        <f>Альфа!$B$308</f>
        <v>1052790.9099999999</v>
      </c>
    </row>
    <row r="3189" spans="3:3" hidden="1" outlineLevel="1" collapsed="1" x14ac:dyDescent="0.25">
      <c r="C3189" s="9">
        <f>Альфа!$B$334</f>
        <v>1017193.7</v>
      </c>
    </row>
    <row r="3190" spans="3:3" hidden="1" outlineLevel="1" collapsed="1" x14ac:dyDescent="0.25">
      <c r="C3190" s="9">
        <f>Альфа!$B$360</f>
        <v>732357.92</v>
      </c>
    </row>
    <row r="3191" spans="3:3" hidden="1" outlineLevel="1" collapsed="1" x14ac:dyDescent="0.25">
      <c r="C3191" s="9">
        <f>Альфа!$B$387</f>
        <v>698705.27</v>
      </c>
    </row>
    <row r="3192" spans="3:3" hidden="1" outlineLevel="1" collapsed="1" x14ac:dyDescent="0.25">
      <c r="C3192" s="9">
        <f>Альфа!$B$413</f>
        <v>938882.49</v>
      </c>
    </row>
    <row r="3193" spans="3:3" hidden="1" outlineLevel="1" collapsed="1" x14ac:dyDescent="0.25">
      <c r="C3193" s="9">
        <f>Альфа!$B$439</f>
        <v>971682.3</v>
      </c>
    </row>
    <row r="3194" spans="3:3" hidden="1" outlineLevel="1" collapsed="1" x14ac:dyDescent="0.25">
      <c r="C3194" s="9">
        <f>Альфа!$B$464</f>
        <v>1189403.76</v>
      </c>
    </row>
    <row r="3195" spans="3:3" hidden="1" outlineLevel="1" collapsed="1" x14ac:dyDescent="0.25">
      <c r="C3195" s="9">
        <f>Альфа!$B$490</f>
        <v>1530877.08</v>
      </c>
    </row>
    <row r="3196" spans="3:3" hidden="1" outlineLevel="1" collapsed="1" x14ac:dyDescent="0.25">
      <c r="C3196" s="9">
        <f>Альфа!$B$515</f>
        <v>1768747.25</v>
      </c>
    </row>
    <row r="3197" spans="3:3" hidden="1" outlineLevel="1" collapsed="1" x14ac:dyDescent="0.25">
      <c r="C3197" s="9">
        <f>Альфа!$B$540</f>
        <v>1491153.16</v>
      </c>
    </row>
    <row r="3198" spans="3:3" hidden="1" outlineLevel="1" collapsed="1" x14ac:dyDescent="0.25">
      <c r="C3198" s="9">
        <f>Альфа!$B$565</f>
        <v>911380.59</v>
      </c>
    </row>
    <row r="3199" spans="3:3" hidden="1" outlineLevel="1" collapsed="1" x14ac:dyDescent="0.25">
      <c r="C3199" s="9">
        <f>Альфа!$B$590</f>
        <v>550172.62</v>
      </c>
    </row>
    <row r="3200" spans="3:3" hidden="1" outlineLevel="1" collapsed="1" x14ac:dyDescent="0.25">
      <c r="C3200" s="9">
        <f>Альфа!$B$614</f>
        <v>719956.8</v>
      </c>
    </row>
    <row r="3201" spans="3:3" hidden="1" outlineLevel="1" collapsed="1" x14ac:dyDescent="0.25">
      <c r="C3201" s="9">
        <f>Альфа!$B$639</f>
        <v>757764.1</v>
      </c>
    </row>
    <row r="3202" spans="3:3" hidden="1" outlineLevel="1" collapsed="1" x14ac:dyDescent="0.25">
      <c r="C3202" s="9">
        <f>Альфа!$B$664</f>
        <v>805989.64</v>
      </c>
    </row>
    <row r="3203" spans="3:3" hidden="1" outlineLevel="1" collapsed="1" x14ac:dyDescent="0.25">
      <c r="C3203" s="9">
        <f>Альфа!$B$689</f>
        <v>998986.46</v>
      </c>
    </row>
    <row r="3204" spans="3:3" hidden="1" outlineLevel="1" collapsed="1" x14ac:dyDescent="0.25">
      <c r="C3204" s="9">
        <f>Альфа!$B$714</f>
        <v>798496.2</v>
      </c>
    </row>
    <row r="3205" spans="3:3" hidden="1" outlineLevel="1" collapsed="1" x14ac:dyDescent="0.25">
      <c r="C3205" s="9">
        <f>Альфа!$B$739</f>
        <v>624240.79</v>
      </c>
    </row>
    <row r="3206" spans="3:3" hidden="1" outlineLevel="1" collapsed="1" x14ac:dyDescent="0.25">
      <c r="C3206" s="9">
        <f>Альфа!$B$764</f>
        <v>735441.24</v>
      </c>
    </row>
    <row r="3207" spans="3:3" hidden="1" outlineLevel="1" collapsed="1" x14ac:dyDescent="0.25">
      <c r="C3207" s="9">
        <f>Альфа!$B$789</f>
        <v>574180.68000000005</v>
      </c>
    </row>
    <row r="3208" spans="3:3" hidden="1" outlineLevel="1" collapsed="1" x14ac:dyDescent="0.25">
      <c r="C3208" s="9">
        <f>Альфа!$B$812</f>
        <v>716673.97</v>
      </c>
    </row>
    <row r="3209" spans="3:3" hidden="1" outlineLevel="1" collapsed="1" x14ac:dyDescent="0.25">
      <c r="C3209" s="9">
        <f>Альфа!$B$836</f>
        <v>825799.38</v>
      </c>
    </row>
    <row r="3210" spans="3:3" hidden="1" outlineLevel="1" collapsed="1" x14ac:dyDescent="0.25">
      <c r="C3210" s="9">
        <f>Альфа!$B$861</f>
        <v>1308679.6299999999</v>
      </c>
    </row>
    <row r="3211" spans="3:3" hidden="1" outlineLevel="1" collapsed="1" x14ac:dyDescent="0.25">
      <c r="C3211" s="9">
        <f>Альфа!$B$886</f>
        <v>1161646.54</v>
      </c>
    </row>
    <row r="3212" spans="3:3" hidden="1" outlineLevel="1" collapsed="1" x14ac:dyDescent="0.25">
      <c r="C3212" s="9">
        <f>Альфа!$B$911</f>
        <v>526507.06999999995</v>
      </c>
    </row>
    <row r="3213" spans="3:3" hidden="1" outlineLevel="1" collapsed="1" x14ac:dyDescent="0.25">
      <c r="C3213" s="9">
        <f>Альфа!$B$936</f>
        <v>190932.52</v>
      </c>
    </row>
    <row r="3214" spans="3:3" hidden="1" outlineLevel="1" collapsed="1" x14ac:dyDescent="0.25">
      <c r="C3214" s="9">
        <f>Альфа!$B$961</f>
        <v>356687.52</v>
      </c>
    </row>
    <row r="3215" spans="3:3" hidden="1" outlineLevel="1" collapsed="1" x14ac:dyDescent="0.25">
      <c r="C3215" s="9">
        <f>Альфа!$B$985</f>
        <v>399010.95</v>
      </c>
    </row>
    <row r="3216" spans="3:3" hidden="1" outlineLevel="1" collapsed="1" x14ac:dyDescent="0.25">
      <c r="C3216" s="9">
        <f>Альфа!$B$1011</f>
        <v>455940.76</v>
      </c>
    </row>
    <row r="3217" spans="2:3" hidden="1" outlineLevel="1" collapsed="1" x14ac:dyDescent="0.25">
      <c r="C3217" s="9">
        <f>Альфа!$B$1036</f>
        <v>497023.1</v>
      </c>
    </row>
    <row r="3218" spans="2:3" hidden="1" outlineLevel="1" collapsed="1" x14ac:dyDescent="0.25">
      <c r="C3218" s="9">
        <f>Альфа!$B$1062</f>
        <v>439219.98</v>
      </c>
    </row>
    <row r="3219" spans="2:3" hidden="1" outlineLevel="1" collapsed="1" x14ac:dyDescent="0.25">
      <c r="C3219" s="9">
        <f>Альфа!$B$1086</f>
        <v>349689.82</v>
      </c>
    </row>
    <row r="3220" spans="2:3" hidden="1" outlineLevel="1" collapsed="1" x14ac:dyDescent="0.25">
      <c r="C3220" s="9">
        <f>Альфа!$B$1111</f>
        <v>492061.43</v>
      </c>
    </row>
    <row r="3221" spans="2:3" hidden="1" outlineLevel="1" collapsed="1" x14ac:dyDescent="0.25">
      <c r="C3221" s="9">
        <f>Альфа!$B$1136</f>
        <v>509377.86</v>
      </c>
    </row>
    <row r="3222" spans="2:3" hidden="1" outlineLevel="1" collapsed="1" x14ac:dyDescent="0.25">
      <c r="C3222" s="9">
        <f>Альфа!$B$1161</f>
        <v>543813.24</v>
      </c>
    </row>
    <row r="3223" spans="2:3" hidden="1" outlineLevel="1" collapsed="1" x14ac:dyDescent="0.25">
      <c r="C3223" s="9">
        <f>Альфа!$B$1187</f>
        <v>540619.82999999996</v>
      </c>
    </row>
    <row r="3224" spans="2:3" hidden="1" outlineLevel="1" collapsed="1" x14ac:dyDescent="0.25">
      <c r="C3224" s="9">
        <f>Альфа!$B$1213</f>
        <v>632796.09</v>
      </c>
    </row>
    <row r="3225" spans="2:3" hidden="1" outlineLevel="1" collapsed="1" x14ac:dyDescent="0.25">
      <c r="C3225" s="9">
        <f>Альфа!$B$1238</f>
        <v>584814.35</v>
      </c>
    </row>
    <row r="3226" spans="2:3" hidden="1" outlineLevel="1" collapsed="1" x14ac:dyDescent="0.25">
      <c r="B3226" t="s">
        <v>72</v>
      </c>
      <c r="C3226" s="9">
        <f>Бета!$B$18</f>
        <v>81985.48</v>
      </c>
    </row>
    <row r="3227" spans="2:3" hidden="1" outlineLevel="1" collapsed="1" x14ac:dyDescent="0.25">
      <c r="C3227" s="9">
        <f>Бета!$B$40</f>
        <v>99125.46</v>
      </c>
    </row>
    <row r="3228" spans="2:3" hidden="1" outlineLevel="1" collapsed="1" x14ac:dyDescent="0.25">
      <c r="C3228" s="9">
        <f>Бета!$B$62</f>
        <v>83674.98</v>
      </c>
    </row>
    <row r="3229" spans="2:3" hidden="1" outlineLevel="1" collapsed="1" x14ac:dyDescent="0.25">
      <c r="C3229" s="9">
        <f>Бета!$B$84</f>
        <v>101850.73</v>
      </c>
    </row>
    <row r="3230" spans="2:3" hidden="1" outlineLevel="1" collapsed="1" x14ac:dyDescent="0.25">
      <c r="C3230" s="9">
        <f>Бета!$B$106</f>
        <v>75189.08</v>
      </c>
    </row>
    <row r="3231" spans="2:3" hidden="1" outlineLevel="1" collapsed="1" x14ac:dyDescent="0.25">
      <c r="C3231" s="9">
        <f>Бета!$B$128</f>
        <v>195663.68</v>
      </c>
    </row>
    <row r="3232" spans="2:3" hidden="1" outlineLevel="1" collapsed="1" x14ac:dyDescent="0.25">
      <c r="C3232" s="9">
        <f>Бета!$B$150</f>
        <v>151388.49</v>
      </c>
    </row>
    <row r="3233" spans="3:3" hidden="1" outlineLevel="1" collapsed="1" x14ac:dyDescent="0.25">
      <c r="C3233" s="9">
        <f>Бета!$B$172</f>
        <v>220499.27</v>
      </c>
    </row>
    <row r="3234" spans="3:3" hidden="1" outlineLevel="1" collapsed="1" x14ac:dyDescent="0.25">
      <c r="C3234" s="9">
        <f>Бета!$B$194</f>
        <v>65107.42</v>
      </c>
    </row>
    <row r="3235" spans="3:3" hidden="1" outlineLevel="1" collapsed="1" x14ac:dyDescent="0.25">
      <c r="C3235" s="9">
        <f>Бета!$B$216</f>
        <v>71495.320000000007</v>
      </c>
    </row>
    <row r="3236" spans="3:3" hidden="1" outlineLevel="1" collapsed="1" x14ac:dyDescent="0.25">
      <c r="C3236" s="9">
        <f>Бета!$B$238</f>
        <v>56330.2</v>
      </c>
    </row>
    <row r="3237" spans="3:3" hidden="1" outlineLevel="1" collapsed="1" x14ac:dyDescent="0.25">
      <c r="C3237" s="9">
        <f>Бета!$B$260</f>
        <v>-75712.05</v>
      </c>
    </row>
    <row r="3238" spans="3:3" hidden="1" outlineLevel="1" collapsed="1" x14ac:dyDescent="0.25">
      <c r="C3238" s="9">
        <f>Бета!$B$281</f>
        <v>102542.65</v>
      </c>
    </row>
    <row r="3239" spans="3:3" hidden="1" outlineLevel="1" collapsed="1" x14ac:dyDescent="0.25">
      <c r="C3239" s="9">
        <f>Бета!$B$303</f>
        <v>86215.9</v>
      </c>
    </row>
    <row r="3240" spans="3:3" hidden="1" outlineLevel="1" collapsed="1" x14ac:dyDescent="0.25">
      <c r="C3240" s="9">
        <f>Бета!$B$325</f>
        <v>42114.66</v>
      </c>
    </row>
    <row r="3241" spans="3:3" hidden="1" outlineLevel="1" collapsed="1" x14ac:dyDescent="0.25">
      <c r="C3241" s="9">
        <f>Бета!$B$346</f>
        <v>64119.07</v>
      </c>
    </row>
    <row r="3242" spans="3:3" hidden="1" outlineLevel="1" collapsed="1" x14ac:dyDescent="0.25">
      <c r="C3242" s="9">
        <f>Бета!$B$367</f>
        <v>76631.75</v>
      </c>
    </row>
    <row r="3243" spans="3:3" hidden="1" outlineLevel="1" collapsed="1" x14ac:dyDescent="0.25">
      <c r="C3243" s="9">
        <f>Бета!$B$388</f>
        <v>39107.440000000002</v>
      </c>
    </row>
    <row r="3244" spans="3:3" hidden="1" outlineLevel="1" collapsed="1" x14ac:dyDescent="0.25">
      <c r="C3244" s="9">
        <f>Бета!$B$409</f>
        <v>56540.76</v>
      </c>
    </row>
    <row r="3245" spans="3:3" hidden="1" outlineLevel="1" collapsed="1" x14ac:dyDescent="0.25">
      <c r="C3245" s="9">
        <f>Бета!$B$430</f>
        <v>132610.79999999999</v>
      </c>
    </row>
    <row r="3246" spans="3:3" hidden="1" outlineLevel="1" collapsed="1" x14ac:dyDescent="0.25">
      <c r="C3246" s="9">
        <f>Бета!$B$451</f>
        <v>64592.54</v>
      </c>
    </row>
    <row r="3247" spans="3:3" hidden="1" outlineLevel="1" collapsed="1" x14ac:dyDescent="0.25">
      <c r="C3247" s="9">
        <f>Бета!$B$472</f>
        <v>22249.41</v>
      </c>
    </row>
    <row r="3248" spans="3:3" hidden="1" outlineLevel="1" collapsed="1" x14ac:dyDescent="0.25">
      <c r="C3248" s="9">
        <f>Бета!$B$493</f>
        <v>17090.63</v>
      </c>
    </row>
    <row r="3249" spans="3:3" hidden="1" outlineLevel="1" collapsed="1" x14ac:dyDescent="0.25">
      <c r="C3249" s="9">
        <f>Бета!$B$514</f>
        <v>36115.49</v>
      </c>
    </row>
    <row r="3250" spans="3:3" hidden="1" outlineLevel="1" collapsed="1" x14ac:dyDescent="0.25">
      <c r="C3250" s="9">
        <f>Бета!$B$535</f>
        <v>38382.620000000003</v>
      </c>
    </row>
    <row r="3251" spans="3:3" hidden="1" outlineLevel="1" collapsed="1" x14ac:dyDescent="0.25">
      <c r="C3251" s="9">
        <f>Бета!$B$555</f>
        <v>40468.879999999997</v>
      </c>
    </row>
    <row r="3252" spans="3:3" hidden="1" outlineLevel="1" collapsed="1" x14ac:dyDescent="0.25">
      <c r="C3252" s="9">
        <f>Бета!$B$574</f>
        <v>69970.22</v>
      </c>
    </row>
    <row r="3253" spans="3:3" hidden="1" outlineLevel="1" collapsed="1" x14ac:dyDescent="0.25">
      <c r="C3253" s="9">
        <f>Бета!$B$594</f>
        <v>36075.58</v>
      </c>
    </row>
    <row r="3254" spans="3:3" hidden="1" outlineLevel="1" collapsed="1" x14ac:dyDescent="0.25">
      <c r="C3254" s="9">
        <f>Бета!$B$613</f>
        <v>42622.89</v>
      </c>
    </row>
    <row r="3255" spans="3:3" hidden="1" outlineLevel="1" collapsed="1" x14ac:dyDescent="0.25">
      <c r="C3255" s="9">
        <f>Бета!$B$633</f>
        <v>26463.31</v>
      </c>
    </row>
    <row r="3256" spans="3:3" hidden="1" outlineLevel="1" collapsed="1" x14ac:dyDescent="0.25">
      <c r="C3256" s="9">
        <f>Бета!$B$653</f>
        <v>25603.32</v>
      </c>
    </row>
    <row r="3257" spans="3:3" hidden="1" outlineLevel="1" collapsed="1" x14ac:dyDescent="0.25">
      <c r="C3257" s="9">
        <f>Бета!$B$673</f>
        <v>39315.24</v>
      </c>
    </row>
    <row r="3258" spans="3:3" hidden="1" outlineLevel="1" collapsed="1" x14ac:dyDescent="0.25">
      <c r="C3258" s="9">
        <f>Бета!$B$694</f>
        <v>23922.43</v>
      </c>
    </row>
    <row r="3259" spans="3:3" hidden="1" outlineLevel="1" collapsed="1" x14ac:dyDescent="0.25">
      <c r="C3259" s="9">
        <f>Бета!$B$714</f>
        <v>42331.75</v>
      </c>
    </row>
    <row r="3260" spans="3:3" hidden="1" outlineLevel="1" collapsed="1" x14ac:dyDescent="0.25">
      <c r="C3260" s="9">
        <f>Бета!$B$735</f>
        <v>43441.68</v>
      </c>
    </row>
    <row r="3261" spans="3:3" hidden="1" outlineLevel="1" collapsed="1" x14ac:dyDescent="0.25">
      <c r="C3261" s="9">
        <f>Бета!$B$755</f>
        <v>39863.19</v>
      </c>
    </row>
    <row r="3262" spans="3:3" hidden="1" outlineLevel="1" collapsed="1" x14ac:dyDescent="0.25">
      <c r="C3262" s="9">
        <f>Бета!$B$775</f>
        <v>21769.39</v>
      </c>
    </row>
    <row r="3263" spans="3:3" hidden="1" outlineLevel="1" collapsed="1" x14ac:dyDescent="0.25">
      <c r="C3263" s="9">
        <f>Бета!$B$795</f>
        <v>15443.45</v>
      </c>
    </row>
    <row r="3264" spans="3:3" hidden="1" outlineLevel="1" collapsed="1" x14ac:dyDescent="0.25">
      <c r="C3264" s="9">
        <f>Бета!$B$815</f>
        <v>12460.43</v>
      </c>
    </row>
    <row r="3265" spans="2:3" hidden="1" outlineLevel="1" collapsed="1" x14ac:dyDescent="0.25">
      <c r="C3265" s="9">
        <f>Бета!$B$835</f>
        <v>17066.88</v>
      </c>
    </row>
    <row r="3266" spans="2:3" hidden="1" outlineLevel="1" collapsed="1" x14ac:dyDescent="0.25">
      <c r="C3266" s="9">
        <f>Бета!$B$855</f>
        <v>27744.04</v>
      </c>
    </row>
    <row r="3267" spans="2:3" hidden="1" outlineLevel="1" collapsed="1" x14ac:dyDescent="0.25">
      <c r="C3267" s="9">
        <f>Бета!$B$875</f>
        <v>14719.33</v>
      </c>
    </row>
    <row r="3268" spans="2:3" hidden="1" outlineLevel="1" collapsed="1" x14ac:dyDescent="0.25">
      <c r="C3268" s="9">
        <f>Бета!$B$895</f>
        <v>16530.32</v>
      </c>
    </row>
    <row r="3269" spans="2:3" hidden="1" outlineLevel="1" collapsed="1" x14ac:dyDescent="0.25">
      <c r="C3269" s="9">
        <f>Бета!$B$915</f>
        <v>27369.73</v>
      </c>
    </row>
    <row r="3270" spans="2:3" hidden="1" outlineLevel="1" collapsed="1" x14ac:dyDescent="0.25">
      <c r="C3270" s="9">
        <f>Бета!$B$934</f>
        <v>25869.06</v>
      </c>
    </row>
    <row r="3271" spans="2:3" hidden="1" outlineLevel="1" collapsed="1" x14ac:dyDescent="0.25">
      <c r="C3271" s="9">
        <f>Бета!$B$954</f>
        <v>14920.91</v>
      </c>
    </row>
    <row r="3272" spans="2:3" hidden="1" outlineLevel="1" collapsed="1" x14ac:dyDescent="0.25">
      <c r="C3272" s="9">
        <f>Бета!$B$974</f>
        <v>31566.23</v>
      </c>
    </row>
    <row r="3273" spans="2:3" hidden="1" outlineLevel="1" collapsed="1" x14ac:dyDescent="0.25">
      <c r="C3273" s="9">
        <f>Бета!$B$994</f>
        <v>35267.5</v>
      </c>
    </row>
    <row r="3274" spans="2:3" hidden="1" outlineLevel="1" collapsed="1" x14ac:dyDescent="0.25">
      <c r="C3274" s="9">
        <f>Бета!$B$1014</f>
        <v>17088.04</v>
      </c>
    </row>
    <row r="3275" spans="2:3" hidden="1" outlineLevel="1" collapsed="1" x14ac:dyDescent="0.25">
      <c r="B3275" t="s">
        <v>72</v>
      </c>
      <c r="C3275" s="9">
        <f>Гамма!$B$46</f>
        <v>80</v>
      </c>
    </row>
    <row r="3276" spans="2:3" hidden="1" outlineLevel="1" collapsed="1" x14ac:dyDescent="0.25">
      <c r="C3276" s="9">
        <f>Гамма!$B$73</f>
        <v>80</v>
      </c>
    </row>
    <row r="3277" spans="2:3" hidden="1" outlineLevel="1" collapsed="1" x14ac:dyDescent="0.25">
      <c r="C3277" s="9">
        <f>Гамма!$B$100</f>
        <v>120</v>
      </c>
    </row>
    <row r="3278" spans="2:3" hidden="1" outlineLevel="1" collapsed="1" x14ac:dyDescent="0.25">
      <c r="C3278" s="9">
        <f>Гамма!$B$126</f>
        <v>680</v>
      </c>
    </row>
    <row r="3279" spans="2:3" hidden="1" outlineLevel="1" collapsed="1" x14ac:dyDescent="0.25">
      <c r="C3279" s="9">
        <f>Гамма!$B$152</f>
        <v>1520</v>
      </c>
    </row>
    <row r="3280" spans="2:3" hidden="1" outlineLevel="1" collapsed="1" x14ac:dyDescent="0.25">
      <c r="C3280" s="9">
        <f>Гамма!$B$178</f>
        <v>760</v>
      </c>
    </row>
    <row r="3281" spans="2:3" hidden="1" outlineLevel="1" collapsed="1" x14ac:dyDescent="0.25">
      <c r="C3281" s="9">
        <f>Гамма!$B$205</f>
        <v>240</v>
      </c>
    </row>
    <row r="3282" spans="2:3" hidden="1" outlineLevel="1" collapsed="1" x14ac:dyDescent="0.25">
      <c r="C3282" s="9">
        <f>Гамма!$B$232</f>
        <v>480</v>
      </c>
    </row>
    <row r="3283" spans="2:3" hidden="1" outlineLevel="1" collapsed="1" x14ac:dyDescent="0.25">
      <c r="C3283" s="9">
        <f>Гамма!$B$413</f>
        <v>120</v>
      </c>
    </row>
    <row r="3284" spans="2:3" hidden="1" outlineLevel="1" collapsed="1" x14ac:dyDescent="0.25">
      <c r="C3284" s="9">
        <f>Гамма!$B$440</f>
        <v>200</v>
      </c>
    </row>
    <row r="3285" spans="2:3" hidden="1" outlineLevel="1" collapsed="1" x14ac:dyDescent="0.25">
      <c r="B3285" t="s">
        <v>72</v>
      </c>
      <c r="C3285" s="9">
        <f>Дельта!$B$20</f>
        <v>624591.01</v>
      </c>
    </row>
    <row r="3286" spans="2:3" hidden="1" outlineLevel="1" collapsed="1" x14ac:dyDescent="0.25">
      <c r="C3286" s="9">
        <f>Дельта!$B$46</f>
        <v>664504.9</v>
      </c>
    </row>
    <row r="3287" spans="2:3" hidden="1" outlineLevel="1" collapsed="1" x14ac:dyDescent="0.25">
      <c r="C3287" s="9">
        <f>Дельта!$B$72</f>
        <v>639713.91</v>
      </c>
    </row>
    <row r="3288" spans="2:3" hidden="1" outlineLevel="1" collapsed="1" x14ac:dyDescent="0.25">
      <c r="C3288" s="9">
        <f>Дельта!$B$98</f>
        <v>636022</v>
      </c>
    </row>
    <row r="3289" spans="2:3" hidden="1" outlineLevel="1" collapsed="1" x14ac:dyDescent="0.25">
      <c r="C3289" s="9">
        <f>Дельта!$B$124</f>
        <v>813774</v>
      </c>
    </row>
    <row r="3290" spans="2:3" hidden="1" outlineLevel="1" collapsed="1" x14ac:dyDescent="0.25">
      <c r="C3290" s="9">
        <f>Дельта!$B$150</f>
        <v>903442</v>
      </c>
    </row>
    <row r="3291" spans="2:3" hidden="1" outlineLevel="1" collapsed="1" x14ac:dyDescent="0.25">
      <c r="C3291" s="9">
        <f>Дельта!$B$175</f>
        <v>657135.51</v>
      </c>
    </row>
    <row r="3292" spans="2:3" hidden="1" outlineLevel="1" collapsed="1" x14ac:dyDescent="0.25">
      <c r="C3292" s="9">
        <f>Дельта!$B$201</f>
        <v>518276</v>
      </c>
    </row>
    <row r="3293" spans="2:3" hidden="1" outlineLevel="1" collapsed="1" x14ac:dyDescent="0.25">
      <c r="C3293" s="9">
        <f>Дельта!$B$227</f>
        <v>392005.4</v>
      </c>
    </row>
    <row r="3294" spans="2:3" hidden="1" outlineLevel="1" collapsed="1" x14ac:dyDescent="0.25">
      <c r="C3294" s="9">
        <f>Дельта!$B$252</f>
        <v>429706</v>
      </c>
    </row>
    <row r="3295" spans="2:3" hidden="1" outlineLevel="1" collapsed="1" x14ac:dyDescent="0.25">
      <c r="C3295" s="9">
        <f>Дельта!$B$278</f>
        <v>407125</v>
      </c>
    </row>
    <row r="3296" spans="2:3" hidden="1" outlineLevel="1" collapsed="1" x14ac:dyDescent="0.25">
      <c r="C3296" s="9">
        <f>Дельта!$B$304</f>
        <v>484937</v>
      </c>
    </row>
    <row r="3297" spans="3:3" hidden="1" outlineLevel="1" collapsed="1" x14ac:dyDescent="0.25">
      <c r="C3297" s="9">
        <f>Дельта!$B$330</f>
        <v>643868</v>
      </c>
    </row>
    <row r="3298" spans="3:3" hidden="1" outlineLevel="1" collapsed="1" x14ac:dyDescent="0.25">
      <c r="C3298" s="9">
        <f>Дельта!$B$356</f>
        <v>475014</v>
      </c>
    </row>
    <row r="3299" spans="3:3" hidden="1" outlineLevel="1" collapsed="1" x14ac:dyDescent="0.25">
      <c r="C3299" s="9">
        <f>Дельта!$B$382</f>
        <v>466293</v>
      </c>
    </row>
    <row r="3300" spans="3:3" hidden="1" outlineLevel="1" collapsed="1" x14ac:dyDescent="0.25">
      <c r="C3300" s="9">
        <f>Дельта!$B$408</f>
        <v>473571</v>
      </c>
    </row>
    <row r="3301" spans="3:3" hidden="1" outlineLevel="1" collapsed="1" x14ac:dyDescent="0.25">
      <c r="C3301" s="9">
        <f>Дельта!$B$434</f>
        <v>562653</v>
      </c>
    </row>
    <row r="3302" spans="3:3" hidden="1" outlineLevel="1" collapsed="1" x14ac:dyDescent="0.25">
      <c r="C3302" s="9">
        <f>Дельта!$B$460</f>
        <v>764999</v>
      </c>
    </row>
    <row r="3303" spans="3:3" hidden="1" outlineLevel="1" collapsed="1" x14ac:dyDescent="0.25">
      <c r="C3303" s="9">
        <f>Дельта!$B$486</f>
        <v>819282</v>
      </c>
    </row>
    <row r="3304" spans="3:3" hidden="1" outlineLevel="1" collapsed="1" x14ac:dyDescent="0.25">
      <c r="C3304" s="9">
        <f>Дельта!$B$512</f>
        <v>1122699</v>
      </c>
    </row>
    <row r="3305" spans="3:3" hidden="1" outlineLevel="1" collapsed="1" x14ac:dyDescent="0.25">
      <c r="C3305" s="9">
        <f>Дельта!$B$538</f>
        <v>902757</v>
      </c>
    </row>
    <row r="3306" spans="3:3" hidden="1" outlineLevel="1" collapsed="1" x14ac:dyDescent="0.25">
      <c r="C3306" s="9">
        <f>Дельта!$B$564</f>
        <v>481273</v>
      </c>
    </row>
    <row r="3307" spans="3:3" hidden="1" outlineLevel="1" collapsed="1" x14ac:dyDescent="0.25">
      <c r="C3307" s="9">
        <f>Дельта!$B$590</f>
        <v>262467</v>
      </c>
    </row>
    <row r="3308" spans="3:3" hidden="1" outlineLevel="1" collapsed="1" x14ac:dyDescent="0.25">
      <c r="C3308" s="9">
        <f>Дельта!$B$616</f>
        <v>379206</v>
      </c>
    </row>
    <row r="3309" spans="3:3" hidden="1" outlineLevel="1" collapsed="1" x14ac:dyDescent="0.25">
      <c r="C3309" s="9">
        <f>Дельта!$B$641</f>
        <v>383152</v>
      </c>
    </row>
    <row r="3310" spans="3:3" hidden="1" outlineLevel="1" collapsed="1" x14ac:dyDescent="0.25">
      <c r="C3310" s="9">
        <f>Дельта!$B$667</f>
        <v>419781</v>
      </c>
    </row>
    <row r="3311" spans="3:3" hidden="1" outlineLevel="1" collapsed="1" x14ac:dyDescent="0.25">
      <c r="C3311" s="9">
        <f>Дельта!$B$694</f>
        <v>568449</v>
      </c>
    </row>
    <row r="3312" spans="3:3" hidden="1" outlineLevel="1" collapsed="1" x14ac:dyDescent="0.25">
      <c r="C3312" s="9">
        <f>Дельта!$B$720</f>
        <v>394410</v>
      </c>
    </row>
    <row r="3313" spans="3:3" hidden="1" outlineLevel="1" collapsed="1" x14ac:dyDescent="0.25">
      <c r="C3313" s="9">
        <f>Дельта!$B$745</f>
        <v>347093</v>
      </c>
    </row>
    <row r="3314" spans="3:3" hidden="1" outlineLevel="1" collapsed="1" x14ac:dyDescent="0.25">
      <c r="C3314" s="9">
        <f>Дельта!$B$771</f>
        <v>276988.5</v>
      </c>
    </row>
    <row r="3315" spans="3:3" hidden="1" outlineLevel="1" collapsed="1" x14ac:dyDescent="0.25">
      <c r="C3315" s="9">
        <f>Дельта!$B$796</f>
        <v>312852</v>
      </c>
    </row>
    <row r="3316" spans="3:3" hidden="1" outlineLevel="1" collapsed="1" x14ac:dyDescent="0.25">
      <c r="C3316" s="9">
        <f>Дельта!$B$822</f>
        <v>381735</v>
      </c>
    </row>
    <row r="3317" spans="3:3" hidden="1" outlineLevel="1" collapsed="1" x14ac:dyDescent="0.25">
      <c r="C3317" s="9">
        <f>Дельта!$B$848</f>
        <v>427785</v>
      </c>
    </row>
    <row r="3318" spans="3:3" hidden="1" outlineLevel="1" collapsed="1" x14ac:dyDescent="0.25">
      <c r="C3318" s="9">
        <f>Дельта!$B$874</f>
        <v>866122</v>
      </c>
    </row>
    <row r="3319" spans="3:3" hidden="1" outlineLevel="1" collapsed="1" x14ac:dyDescent="0.25">
      <c r="C3319" s="9">
        <f>Дельта!$B$900</f>
        <v>726860</v>
      </c>
    </row>
    <row r="3320" spans="3:3" hidden="1" outlineLevel="1" collapsed="1" x14ac:dyDescent="0.25">
      <c r="C3320" s="9">
        <f>Дельта!$B$926</f>
        <v>355467</v>
      </c>
    </row>
    <row r="3321" spans="3:3" hidden="1" outlineLevel="1" collapsed="1" x14ac:dyDescent="0.25">
      <c r="C3321" s="9">
        <f>Дельта!$B$951</f>
        <v>184150.33</v>
      </c>
    </row>
    <row r="3322" spans="3:3" hidden="1" outlineLevel="1" collapsed="1" x14ac:dyDescent="0.25">
      <c r="C3322" s="9">
        <f>Дельта!$B$977</f>
        <v>184983.49</v>
      </c>
    </row>
    <row r="3323" spans="3:3" hidden="1" outlineLevel="1" collapsed="1" x14ac:dyDescent="0.25">
      <c r="C3323" s="9">
        <f>Дельта!$B$1002</f>
        <v>213120</v>
      </c>
    </row>
    <row r="3324" spans="3:3" hidden="1" outlineLevel="1" collapsed="1" x14ac:dyDescent="0.25">
      <c r="C3324" s="9">
        <f>Дельта!$B$1027</f>
        <v>233366</v>
      </c>
    </row>
    <row r="3325" spans="3:3" hidden="1" outlineLevel="1" collapsed="1" x14ac:dyDescent="0.25">
      <c r="C3325" s="9">
        <f>Дельта!$B$1053</f>
        <v>379925</v>
      </c>
    </row>
    <row r="3326" spans="3:3" hidden="1" outlineLevel="1" collapsed="1" x14ac:dyDescent="0.25">
      <c r="C3326" s="9">
        <f>Дельта!$B$1079</f>
        <v>299531.27</v>
      </c>
    </row>
    <row r="3327" spans="3:3" hidden="1" outlineLevel="1" collapsed="1" x14ac:dyDescent="0.25">
      <c r="C3327" s="9">
        <f>Дельта!$B$1103</f>
        <v>239067</v>
      </c>
    </row>
    <row r="3328" spans="3:3" hidden="1" outlineLevel="1" collapsed="1" x14ac:dyDescent="0.25">
      <c r="C3328" s="9">
        <f>Дельта!$B$1128</f>
        <v>235459</v>
      </c>
    </row>
    <row r="3329" spans="1:3" hidden="1" outlineLevel="1" collapsed="1" x14ac:dyDescent="0.25">
      <c r="C3329" s="9">
        <f>Дельта!$B$1153</f>
        <v>315621</v>
      </c>
    </row>
    <row r="3330" spans="1:3" hidden="1" outlineLevel="1" collapsed="1" x14ac:dyDescent="0.25">
      <c r="C3330" s="9">
        <f>Дельта!$B$1176</f>
        <v>285304.87</v>
      </c>
    </row>
    <row r="3331" spans="1:3" hidden="1" outlineLevel="1" collapsed="1" x14ac:dyDescent="0.25">
      <c r="C3331" s="9">
        <f>Дельта!$B$1200</f>
        <v>339354.08</v>
      </c>
    </row>
    <row r="3332" spans="1:3" hidden="1" outlineLevel="1" collapsed="1" x14ac:dyDescent="0.25">
      <c r="C3332" s="9">
        <f>Дельта!$B$1225</f>
        <v>398149</v>
      </c>
    </row>
    <row r="3333" spans="1:3" hidden="1" outlineLevel="1" collapsed="1" x14ac:dyDescent="0.25">
      <c r="C3333" s="9">
        <f>Дельта!$B$1249</f>
        <v>217658</v>
      </c>
    </row>
    <row r="3334" spans="1:3" collapsed="1" x14ac:dyDescent="0.25">
      <c r="A3334" t="s">
        <v>19</v>
      </c>
      <c r="C3334" s="9">
        <f>SUM(C3177:C3333)</f>
        <v>66353970.539999977</v>
      </c>
    </row>
    <row r="3335" spans="1:3" hidden="1" outlineLevel="1" x14ac:dyDescent="0.25">
      <c r="B3335" t="s">
        <v>72</v>
      </c>
      <c r="C3335" s="9">
        <f>Альфа!$B$20</f>
        <v>12915.14</v>
      </c>
    </row>
    <row r="3336" spans="1:3" hidden="1" outlineLevel="1" collapsed="1" x14ac:dyDescent="0.25">
      <c r="C3336" s="9">
        <f>Альфа!$B$46</f>
        <v>9993.66</v>
      </c>
    </row>
    <row r="3337" spans="1:3" hidden="1" outlineLevel="1" collapsed="1" x14ac:dyDescent="0.25">
      <c r="C3337" s="9">
        <f>Альфа!$B$72</f>
        <v>12750.03</v>
      </c>
    </row>
    <row r="3338" spans="1:3" hidden="1" outlineLevel="1" collapsed="1" x14ac:dyDescent="0.25">
      <c r="C3338" s="9">
        <f>Альфа!$B$98</f>
        <v>11058.12</v>
      </c>
    </row>
    <row r="3339" spans="1:3" hidden="1" outlineLevel="1" collapsed="1" x14ac:dyDescent="0.25">
      <c r="C3339" s="9">
        <f>Альфа!$B$125</f>
        <v>12188.16</v>
      </c>
    </row>
    <row r="3340" spans="1:3" hidden="1" outlineLevel="1" collapsed="1" x14ac:dyDescent="0.25">
      <c r="C3340" s="9">
        <f>Альфа!$B$152</f>
        <v>18600.900000000001</v>
      </c>
    </row>
    <row r="3341" spans="1:3" hidden="1" outlineLevel="1" collapsed="1" x14ac:dyDescent="0.25">
      <c r="C3341" s="9">
        <f>Альфа!$B$178</f>
        <v>9677.2000000000007</v>
      </c>
    </row>
    <row r="3342" spans="1:3" hidden="1" outlineLevel="1" collapsed="1" x14ac:dyDescent="0.25">
      <c r="C3342" s="9">
        <f>Альфа!$B$204</f>
        <v>12510.1</v>
      </c>
    </row>
    <row r="3343" spans="1:3" hidden="1" outlineLevel="1" collapsed="1" x14ac:dyDescent="0.25">
      <c r="C3343" s="9">
        <f>Альфа!$B$230</f>
        <v>11367.86</v>
      </c>
    </row>
    <row r="3344" spans="1:3" hidden="1" outlineLevel="1" collapsed="1" x14ac:dyDescent="0.25">
      <c r="C3344" s="9">
        <f>Альфа!$B$257</f>
        <v>11037.35</v>
      </c>
    </row>
    <row r="3345" spans="3:3" hidden="1" outlineLevel="1" collapsed="1" x14ac:dyDescent="0.25">
      <c r="C3345" s="9">
        <f>Альфа!$B$283</f>
        <v>17073.98</v>
      </c>
    </row>
    <row r="3346" spans="3:3" hidden="1" outlineLevel="1" collapsed="1" x14ac:dyDescent="0.25">
      <c r="C3346" s="9">
        <f>Альфа!$B$309</f>
        <v>19954.71</v>
      </c>
    </row>
    <row r="3347" spans="3:3" hidden="1" outlineLevel="1" collapsed="1" x14ac:dyDescent="0.25">
      <c r="C3347" s="9">
        <f>Альфа!$B$335</f>
        <v>17522.990000000002</v>
      </c>
    </row>
    <row r="3348" spans="3:3" hidden="1" outlineLevel="1" collapsed="1" x14ac:dyDescent="0.25">
      <c r="C3348" s="9">
        <f>Альфа!$B$361</f>
        <v>10304.700000000001</v>
      </c>
    </row>
    <row r="3349" spans="3:3" hidden="1" outlineLevel="1" collapsed="1" x14ac:dyDescent="0.25">
      <c r="C3349" s="9">
        <f>Альфа!$B$388</f>
        <v>6577.92</v>
      </c>
    </row>
    <row r="3350" spans="3:3" hidden="1" outlineLevel="1" collapsed="1" x14ac:dyDescent="0.25">
      <c r="C3350" s="9">
        <f>Альфа!$B$414</f>
        <v>12004.36</v>
      </c>
    </row>
    <row r="3351" spans="3:3" hidden="1" outlineLevel="1" collapsed="1" x14ac:dyDescent="0.25">
      <c r="C3351" s="9">
        <f>Альфа!$B$440</f>
        <v>9552.25</v>
      </c>
    </row>
    <row r="3352" spans="3:3" hidden="1" outlineLevel="1" collapsed="1" x14ac:dyDescent="0.25">
      <c r="C3352" s="9">
        <f>Альфа!$B$465</f>
        <v>12711.82</v>
      </c>
    </row>
    <row r="3353" spans="3:3" hidden="1" outlineLevel="1" collapsed="1" x14ac:dyDescent="0.25">
      <c r="C3353" s="9">
        <f>Альфа!$B$491</f>
        <v>16379.07</v>
      </c>
    </row>
    <row r="3354" spans="3:3" hidden="1" outlineLevel="1" collapsed="1" x14ac:dyDescent="0.25">
      <c r="C3354" s="9">
        <f>Альфа!$B$516</f>
        <v>21924.91</v>
      </c>
    </row>
    <row r="3355" spans="3:3" hidden="1" outlineLevel="1" collapsed="1" x14ac:dyDescent="0.25">
      <c r="C3355" s="9">
        <f>Альфа!$B$541</f>
        <v>11291.36</v>
      </c>
    </row>
    <row r="3356" spans="3:3" hidden="1" outlineLevel="1" collapsed="1" x14ac:dyDescent="0.25">
      <c r="C3356" s="9">
        <f>Альфа!$B$566</f>
        <v>7715.41</v>
      </c>
    </row>
    <row r="3357" spans="3:3" hidden="1" outlineLevel="1" collapsed="1" x14ac:dyDescent="0.25">
      <c r="C3357" s="9">
        <f>Альфа!$B$591</f>
        <v>10811.04</v>
      </c>
    </row>
    <row r="3358" spans="3:3" hidden="1" outlineLevel="1" collapsed="1" x14ac:dyDescent="0.25">
      <c r="C3358" s="9">
        <f>Альфа!$B$615</f>
        <v>9596.2099999999991</v>
      </c>
    </row>
    <row r="3359" spans="3:3" hidden="1" outlineLevel="1" collapsed="1" x14ac:dyDescent="0.25">
      <c r="C3359" s="9">
        <f>Альфа!$B$640</f>
        <v>10462.799999999999</v>
      </c>
    </row>
    <row r="3360" spans="3:3" hidden="1" outlineLevel="1" collapsed="1" x14ac:dyDescent="0.25">
      <c r="C3360" s="9">
        <f>Альфа!$B$665</f>
        <v>11703.23</v>
      </c>
    </row>
    <row r="3361" spans="3:3" hidden="1" outlineLevel="1" collapsed="1" x14ac:dyDescent="0.25">
      <c r="C3361" s="9">
        <f>Альфа!$B$690</f>
        <v>13517.37</v>
      </c>
    </row>
    <row r="3362" spans="3:3" hidden="1" outlineLevel="1" collapsed="1" x14ac:dyDescent="0.25">
      <c r="C3362" s="9">
        <f>Альфа!$B$715</f>
        <v>10412.68</v>
      </c>
    </row>
    <row r="3363" spans="3:3" hidden="1" outlineLevel="1" collapsed="1" x14ac:dyDescent="0.25">
      <c r="C3363" s="9">
        <f>Альфа!$B$740</f>
        <v>9765.4699999999993</v>
      </c>
    </row>
    <row r="3364" spans="3:3" hidden="1" outlineLevel="1" collapsed="1" x14ac:dyDescent="0.25">
      <c r="C3364" s="9">
        <f>Альфа!$B$765</f>
        <v>6746.67</v>
      </c>
    </row>
    <row r="3365" spans="3:3" hidden="1" outlineLevel="1" collapsed="1" x14ac:dyDescent="0.25">
      <c r="C3365" s="9">
        <f>Альфа!$B$790</f>
        <v>5388.66</v>
      </c>
    </row>
    <row r="3366" spans="3:3" hidden="1" outlineLevel="1" collapsed="1" x14ac:dyDescent="0.25">
      <c r="C3366" s="9">
        <f>Альфа!$B$813</f>
        <v>8011.52</v>
      </c>
    </row>
    <row r="3367" spans="3:3" hidden="1" outlineLevel="1" collapsed="1" x14ac:dyDescent="0.25">
      <c r="C3367" s="9">
        <f>Альфа!$B$837</f>
        <v>15066.82</v>
      </c>
    </row>
    <row r="3368" spans="3:3" hidden="1" outlineLevel="1" collapsed="1" x14ac:dyDescent="0.25">
      <c r="C3368" s="9">
        <f>Альфа!$B$862</f>
        <v>14742.45</v>
      </c>
    </row>
    <row r="3369" spans="3:3" hidden="1" outlineLevel="1" collapsed="1" x14ac:dyDescent="0.25">
      <c r="C3369" s="9">
        <f>Альфа!$B$887</f>
        <v>11793.81</v>
      </c>
    </row>
    <row r="3370" spans="3:3" hidden="1" outlineLevel="1" collapsed="1" x14ac:dyDescent="0.25">
      <c r="C3370" s="9">
        <f>Альфа!$B$912</f>
        <v>7172.11</v>
      </c>
    </row>
    <row r="3371" spans="3:3" hidden="1" outlineLevel="1" collapsed="1" x14ac:dyDescent="0.25">
      <c r="C3371" s="9">
        <f>Альфа!$B$937</f>
        <v>4382.29</v>
      </c>
    </row>
    <row r="3372" spans="3:3" hidden="1" outlineLevel="1" collapsed="1" x14ac:dyDescent="0.25">
      <c r="C3372" s="9">
        <f>Альфа!$B$962</f>
        <v>6309.71</v>
      </c>
    </row>
    <row r="3373" spans="3:3" hidden="1" outlineLevel="1" collapsed="1" x14ac:dyDescent="0.25">
      <c r="C3373" s="9">
        <f>Альфа!$B$986</f>
        <v>8381.64</v>
      </c>
    </row>
    <row r="3374" spans="3:3" hidden="1" outlineLevel="1" collapsed="1" x14ac:dyDescent="0.25">
      <c r="C3374" s="9">
        <f>Альфа!$B$1012</f>
        <v>11259.58</v>
      </c>
    </row>
    <row r="3375" spans="3:3" hidden="1" outlineLevel="1" collapsed="1" x14ac:dyDescent="0.25">
      <c r="C3375" s="9">
        <f>Альфа!$B$1037</f>
        <v>10105.9</v>
      </c>
    </row>
    <row r="3376" spans="3:3" hidden="1" outlineLevel="1" collapsed="1" x14ac:dyDescent="0.25">
      <c r="C3376" s="9">
        <f>Альфа!$B$1063</f>
        <v>11373.06</v>
      </c>
    </row>
    <row r="3377" spans="2:3" hidden="1" outlineLevel="1" collapsed="1" x14ac:dyDescent="0.25">
      <c r="C3377" s="9">
        <f>Альфа!$B$1087</f>
        <v>9001.33</v>
      </c>
    </row>
    <row r="3378" spans="2:3" hidden="1" outlineLevel="1" collapsed="1" x14ac:dyDescent="0.25">
      <c r="C3378" s="9">
        <f>Альфа!$B$1112</f>
        <v>10272.02</v>
      </c>
    </row>
    <row r="3379" spans="2:3" hidden="1" outlineLevel="1" collapsed="1" x14ac:dyDescent="0.25">
      <c r="C3379" s="9">
        <f>Альфа!$B$1137</f>
        <v>10565.55</v>
      </c>
    </row>
    <row r="3380" spans="2:3" hidden="1" outlineLevel="1" collapsed="1" x14ac:dyDescent="0.25">
      <c r="C3380" s="9">
        <f>Альфа!$B$1162</f>
        <v>11261.98</v>
      </c>
    </row>
    <row r="3381" spans="2:3" hidden="1" outlineLevel="1" collapsed="1" x14ac:dyDescent="0.25">
      <c r="C3381" s="9">
        <f>Альфа!$B$1188</f>
        <v>6943.54</v>
      </c>
    </row>
    <row r="3382" spans="2:3" hidden="1" outlineLevel="1" collapsed="1" x14ac:dyDescent="0.25">
      <c r="C3382" s="9">
        <f>Альфа!$B$1214</f>
        <v>8543.82</v>
      </c>
    </row>
    <row r="3383" spans="2:3" hidden="1" outlineLevel="1" collapsed="1" x14ac:dyDescent="0.25">
      <c r="C3383" s="9">
        <f>Альфа!$B$1239</f>
        <v>3671.16</v>
      </c>
    </row>
    <row r="3384" spans="2:3" hidden="1" outlineLevel="1" collapsed="1" x14ac:dyDescent="0.25">
      <c r="B3384" t="s">
        <v>72</v>
      </c>
      <c r="C3384" s="9">
        <f>Гамма!$B$20</f>
        <v>17835.349999999999</v>
      </c>
    </row>
    <row r="3385" spans="2:3" hidden="1" outlineLevel="1" collapsed="1" x14ac:dyDescent="0.25">
      <c r="C3385" s="9">
        <f>Гамма!$B$47</f>
        <v>15087.23</v>
      </c>
    </row>
    <row r="3386" spans="2:3" hidden="1" outlineLevel="1" collapsed="1" x14ac:dyDescent="0.25">
      <c r="C3386" s="9">
        <f>Гамма!$B$74</f>
        <v>23873.64</v>
      </c>
    </row>
    <row r="3387" spans="2:3" hidden="1" outlineLevel="1" collapsed="1" x14ac:dyDescent="0.25">
      <c r="C3387" s="9">
        <f>Гамма!$B$101</f>
        <v>31724.12</v>
      </c>
    </row>
    <row r="3388" spans="2:3" hidden="1" outlineLevel="1" collapsed="1" x14ac:dyDescent="0.25">
      <c r="C3388" s="9">
        <f>Гамма!$B$127</f>
        <v>33151.26</v>
      </c>
    </row>
    <row r="3389" spans="2:3" hidden="1" outlineLevel="1" collapsed="1" x14ac:dyDescent="0.25">
      <c r="C3389" s="9">
        <f>Гамма!$B$153</f>
        <v>54327.7</v>
      </c>
    </row>
    <row r="3390" spans="2:3" hidden="1" outlineLevel="1" collapsed="1" x14ac:dyDescent="0.25">
      <c r="C3390" s="9">
        <f>Гамма!$B$179</f>
        <v>31501.919999999998</v>
      </c>
    </row>
    <row r="3391" spans="2:3" hidden="1" outlineLevel="1" collapsed="1" x14ac:dyDescent="0.25">
      <c r="C3391" s="9">
        <f>Гамма!$B$206</f>
        <v>22738.639999999999</v>
      </c>
    </row>
    <row r="3392" spans="2:3" hidden="1" outlineLevel="1" collapsed="1" x14ac:dyDescent="0.25">
      <c r="C3392" s="9">
        <f>Гамма!$B$233</f>
        <v>10823.89</v>
      </c>
    </row>
    <row r="3393" spans="3:3" hidden="1" outlineLevel="1" collapsed="1" x14ac:dyDescent="0.25">
      <c r="C3393" s="9">
        <f>Гамма!$B$258</f>
        <v>13879.98</v>
      </c>
    </row>
    <row r="3394" spans="3:3" hidden="1" outlineLevel="1" collapsed="1" x14ac:dyDescent="0.25">
      <c r="C3394" s="9">
        <f>Гамма!$B$284</f>
        <v>18844.43</v>
      </c>
    </row>
    <row r="3395" spans="3:3" hidden="1" outlineLevel="1" collapsed="1" x14ac:dyDescent="0.25">
      <c r="C3395" s="9">
        <f>Гамма!$B$310</f>
        <v>40572.639999999999</v>
      </c>
    </row>
    <row r="3396" spans="3:3" hidden="1" outlineLevel="1" collapsed="1" x14ac:dyDescent="0.25">
      <c r="C3396" s="9">
        <f>Гамма!$B$336</f>
        <v>62729.48</v>
      </c>
    </row>
    <row r="3397" spans="3:3" hidden="1" outlineLevel="1" collapsed="1" x14ac:dyDescent="0.25">
      <c r="C3397" s="9">
        <f>Гамма!$B$362</f>
        <v>48571.040000000001</v>
      </c>
    </row>
    <row r="3398" spans="3:3" hidden="1" outlineLevel="1" collapsed="1" x14ac:dyDescent="0.25">
      <c r="C3398" s="9">
        <f>Гамма!$B$387</f>
        <v>22765.24</v>
      </c>
    </row>
    <row r="3399" spans="3:3" hidden="1" outlineLevel="1" collapsed="1" x14ac:dyDescent="0.25">
      <c r="C3399" s="9">
        <f>Гамма!$B$414</f>
        <v>18955.96</v>
      </c>
    </row>
    <row r="3400" spans="3:3" hidden="1" outlineLevel="1" collapsed="1" x14ac:dyDescent="0.25">
      <c r="C3400" s="9">
        <f>Гамма!$B$441</f>
        <v>16721.849999999999</v>
      </c>
    </row>
    <row r="3401" spans="3:3" hidden="1" outlineLevel="1" collapsed="1" x14ac:dyDescent="0.25">
      <c r="C3401" s="9">
        <f>Гамма!$B$467</f>
        <v>18883.98</v>
      </c>
    </row>
    <row r="3402" spans="3:3" hidden="1" outlineLevel="1" collapsed="1" x14ac:dyDescent="0.25">
      <c r="C3402" s="9">
        <f>Гамма!$B$493</f>
        <v>50268.74</v>
      </c>
    </row>
    <row r="3403" spans="3:3" hidden="1" outlineLevel="1" collapsed="1" x14ac:dyDescent="0.25">
      <c r="C3403" s="9">
        <f>Гамма!$B$519</f>
        <v>94677.66</v>
      </c>
    </row>
    <row r="3404" spans="3:3" hidden="1" outlineLevel="1" collapsed="1" x14ac:dyDescent="0.25">
      <c r="C3404" s="9">
        <f>Гамма!$B$545</f>
        <v>27581.53</v>
      </c>
    </row>
    <row r="3405" spans="3:3" hidden="1" outlineLevel="1" collapsed="1" x14ac:dyDescent="0.25">
      <c r="C3405" s="9">
        <f>Гамма!$B$571</f>
        <v>64652.4</v>
      </c>
    </row>
    <row r="3406" spans="3:3" hidden="1" outlineLevel="1" collapsed="1" x14ac:dyDescent="0.25">
      <c r="C3406" s="9">
        <f>Гамма!$B$596</f>
        <v>3653.14</v>
      </c>
    </row>
    <row r="3407" spans="3:3" hidden="1" outlineLevel="1" collapsed="1" x14ac:dyDescent="0.25">
      <c r="C3407" s="9">
        <f>Гамма!$B$622</f>
        <v>7481.46</v>
      </c>
    </row>
    <row r="3408" spans="3:3" hidden="1" outlineLevel="1" collapsed="1" x14ac:dyDescent="0.25">
      <c r="C3408" s="9">
        <f>Гамма!$B$648</f>
        <v>17311.75</v>
      </c>
    </row>
    <row r="3409" spans="3:3" hidden="1" outlineLevel="1" collapsed="1" x14ac:dyDescent="0.25">
      <c r="C3409" s="9">
        <f>Гамма!$B$674</f>
        <v>32683.16</v>
      </c>
    </row>
    <row r="3410" spans="3:3" hidden="1" outlineLevel="1" collapsed="1" x14ac:dyDescent="0.25">
      <c r="C3410" s="9">
        <f>Гамма!$B$700</f>
        <v>57065.24</v>
      </c>
    </row>
    <row r="3411" spans="3:3" hidden="1" outlineLevel="1" collapsed="1" x14ac:dyDescent="0.25">
      <c r="C3411" s="9">
        <f>Гамма!$B$726</f>
        <v>45670.559999999998</v>
      </c>
    </row>
    <row r="3412" spans="3:3" hidden="1" outlineLevel="1" collapsed="1" x14ac:dyDescent="0.25">
      <c r="C3412" s="9">
        <f>Гамма!$B$750</f>
        <v>29248.44</v>
      </c>
    </row>
    <row r="3413" spans="3:3" hidden="1" outlineLevel="1" collapsed="1" x14ac:dyDescent="0.25">
      <c r="C3413" s="9">
        <f>Гамма!$B$776</f>
        <v>17725.09</v>
      </c>
    </row>
    <row r="3414" spans="3:3" hidden="1" outlineLevel="1" collapsed="1" x14ac:dyDescent="0.25">
      <c r="C3414" s="9">
        <f>Гамма!$B$800</f>
        <v>23011.42</v>
      </c>
    </row>
    <row r="3415" spans="3:3" hidden="1" outlineLevel="1" collapsed="1" x14ac:dyDescent="0.25">
      <c r="C3415" s="9">
        <f>Гамма!$B$826</f>
        <v>13116.42</v>
      </c>
    </row>
    <row r="3416" spans="3:3" hidden="1" outlineLevel="1" collapsed="1" x14ac:dyDescent="0.25">
      <c r="C3416" s="9">
        <f>Гамма!$B$852</f>
        <v>31369.41</v>
      </c>
    </row>
    <row r="3417" spans="3:3" hidden="1" outlineLevel="1" collapsed="1" x14ac:dyDescent="0.25">
      <c r="C3417" s="9">
        <f>Гамма!$B$878</f>
        <v>52635.55</v>
      </c>
    </row>
    <row r="3418" spans="3:3" hidden="1" outlineLevel="1" collapsed="1" x14ac:dyDescent="0.25">
      <c r="C3418" s="9">
        <f>Гамма!$B$904</f>
        <v>66224.160000000003</v>
      </c>
    </row>
    <row r="3419" spans="3:3" hidden="1" outlineLevel="1" collapsed="1" x14ac:dyDescent="0.25">
      <c r="C3419" s="9">
        <f>Гамма!$B$930</f>
        <v>94779.85</v>
      </c>
    </row>
    <row r="3420" spans="3:3" hidden="1" outlineLevel="1" collapsed="1" x14ac:dyDescent="0.25">
      <c r="C3420" s="9">
        <f>Гамма!$B$955</f>
        <v>59211.57</v>
      </c>
    </row>
    <row r="3421" spans="3:3" hidden="1" outlineLevel="1" collapsed="1" x14ac:dyDescent="0.25">
      <c r="C3421" s="9">
        <f>Гамма!$B$981</f>
        <v>25275.24</v>
      </c>
    </row>
    <row r="3422" spans="3:3" hidden="1" outlineLevel="1" collapsed="1" x14ac:dyDescent="0.25">
      <c r="C3422" s="9">
        <f>Гамма!$B$1007</f>
        <v>19074.63</v>
      </c>
    </row>
    <row r="3423" spans="3:3" hidden="1" outlineLevel="1" collapsed="1" x14ac:dyDescent="0.25">
      <c r="C3423" s="9">
        <f>Гамма!$B$1032</f>
        <v>18544.38</v>
      </c>
    </row>
    <row r="3424" spans="3:3" hidden="1" outlineLevel="1" collapsed="1" x14ac:dyDescent="0.25">
      <c r="C3424" s="9">
        <f>Гамма!$B$1056</f>
        <v>35801.870000000003</v>
      </c>
    </row>
    <row r="3425" spans="2:3" hidden="1" outlineLevel="1" collapsed="1" x14ac:dyDescent="0.25">
      <c r="C3425" s="9">
        <f>Гамма!$B$1081</f>
        <v>27264.880000000001</v>
      </c>
    </row>
    <row r="3426" spans="2:3" hidden="1" outlineLevel="1" collapsed="1" x14ac:dyDescent="0.25">
      <c r="C3426" s="9">
        <f>Гамма!$B$1107</f>
        <v>15310.7</v>
      </c>
    </row>
    <row r="3427" spans="2:3" hidden="1" outlineLevel="1" collapsed="1" x14ac:dyDescent="0.25">
      <c r="C3427" s="9">
        <f>Гамма!$B$1131</f>
        <v>22063.53</v>
      </c>
    </row>
    <row r="3428" spans="2:3" hidden="1" outlineLevel="1" collapsed="1" x14ac:dyDescent="0.25">
      <c r="C3428" s="9">
        <f>Гамма!$B$1155</f>
        <v>23259.03</v>
      </c>
    </row>
    <row r="3429" spans="2:3" hidden="1" outlineLevel="1" collapsed="1" x14ac:dyDescent="0.25">
      <c r="C3429" s="9">
        <f>Гамма!$B$1181</f>
        <v>15832.3</v>
      </c>
    </row>
    <row r="3430" spans="2:3" hidden="1" outlineLevel="1" collapsed="1" x14ac:dyDescent="0.25">
      <c r="C3430" s="9">
        <f>Гамма!$B$1205</f>
        <v>20807.560000000001</v>
      </c>
    </row>
    <row r="3431" spans="2:3" hidden="1" outlineLevel="1" collapsed="1" x14ac:dyDescent="0.25">
      <c r="C3431" s="9">
        <f>Гамма!$B$1230</f>
        <v>83963.85</v>
      </c>
    </row>
    <row r="3432" spans="2:3" hidden="1" outlineLevel="1" collapsed="1" x14ac:dyDescent="0.25">
      <c r="C3432" s="9">
        <f>Гамма!$B$1255</f>
        <v>17137.900000000001</v>
      </c>
    </row>
    <row r="3433" spans="2:3" hidden="1" outlineLevel="1" collapsed="1" x14ac:dyDescent="0.25">
      <c r="B3433" t="s">
        <v>72</v>
      </c>
      <c r="C3433" s="9">
        <f>Дельта!$B$21</f>
        <v>69087.47</v>
      </c>
    </row>
    <row r="3434" spans="2:3" hidden="1" outlineLevel="1" collapsed="1" x14ac:dyDescent="0.25">
      <c r="C3434" s="9">
        <f>Дельта!$B$47</f>
        <v>93456.98</v>
      </c>
    </row>
    <row r="3435" spans="2:3" hidden="1" outlineLevel="1" collapsed="1" x14ac:dyDescent="0.25">
      <c r="C3435" s="9">
        <f>Дельта!$B$73</f>
        <v>85413.04</v>
      </c>
    </row>
    <row r="3436" spans="2:3" hidden="1" outlineLevel="1" collapsed="1" x14ac:dyDescent="0.25">
      <c r="C3436" s="9">
        <f>Дельта!$B$99</f>
        <v>54441</v>
      </c>
    </row>
    <row r="3437" spans="2:3" hidden="1" outlineLevel="1" collapsed="1" x14ac:dyDescent="0.25">
      <c r="C3437" s="9">
        <f>Дельта!$B$125</f>
        <v>73147</v>
      </c>
    </row>
    <row r="3438" spans="2:3" hidden="1" outlineLevel="1" collapsed="1" x14ac:dyDescent="0.25">
      <c r="C3438" s="9">
        <f>Дельта!$B$151</f>
        <v>100333</v>
      </c>
    </row>
    <row r="3439" spans="2:3" hidden="1" outlineLevel="1" collapsed="1" x14ac:dyDescent="0.25">
      <c r="C3439" s="9">
        <f>Дельта!$B$176</f>
        <v>82554.77</v>
      </c>
    </row>
    <row r="3440" spans="2:3" hidden="1" outlineLevel="1" collapsed="1" x14ac:dyDescent="0.25">
      <c r="C3440" s="9">
        <f>Дельта!$B$202</f>
        <v>64024</v>
      </c>
    </row>
    <row r="3441" spans="3:3" hidden="1" outlineLevel="1" collapsed="1" x14ac:dyDescent="0.25">
      <c r="C3441" s="9">
        <f>Дельта!$B$228</f>
        <v>43510.25</v>
      </c>
    </row>
    <row r="3442" spans="3:3" hidden="1" outlineLevel="1" collapsed="1" x14ac:dyDescent="0.25">
      <c r="C3442" s="9">
        <f>Дельта!$B$253</f>
        <v>62582</v>
      </c>
    </row>
    <row r="3443" spans="3:3" hidden="1" outlineLevel="1" collapsed="1" x14ac:dyDescent="0.25">
      <c r="C3443" s="9">
        <f>Дельта!$B$279</f>
        <v>69776</v>
      </c>
    </row>
    <row r="3444" spans="3:3" hidden="1" outlineLevel="1" collapsed="1" x14ac:dyDescent="0.25">
      <c r="C3444" s="9">
        <f>Дельта!$B$305</f>
        <v>78854</v>
      </c>
    </row>
    <row r="3445" spans="3:3" hidden="1" outlineLevel="1" collapsed="1" x14ac:dyDescent="0.25">
      <c r="C3445" s="9">
        <f>Дельта!$B$331</f>
        <v>99178</v>
      </c>
    </row>
    <row r="3446" spans="3:3" hidden="1" outlineLevel="1" collapsed="1" x14ac:dyDescent="0.25">
      <c r="C3446" s="9">
        <f>Дельта!$B$357</f>
        <v>103734</v>
      </c>
    </row>
    <row r="3447" spans="3:3" hidden="1" outlineLevel="1" collapsed="1" x14ac:dyDescent="0.25">
      <c r="C3447" s="9">
        <f>Дельта!$B$383</f>
        <v>51918</v>
      </c>
    </row>
    <row r="3448" spans="3:3" hidden="1" outlineLevel="1" collapsed="1" x14ac:dyDescent="0.25">
      <c r="C3448" s="9">
        <f>Дельта!$B$409</f>
        <v>59367</v>
      </c>
    </row>
    <row r="3449" spans="3:3" hidden="1" outlineLevel="1" collapsed="1" x14ac:dyDescent="0.25">
      <c r="C3449" s="9">
        <f>Дельта!$B$435</f>
        <v>62085</v>
      </c>
    </row>
    <row r="3450" spans="3:3" hidden="1" outlineLevel="1" collapsed="1" x14ac:dyDescent="0.25">
      <c r="C3450" s="9">
        <f>Дельта!$B$461</f>
        <v>88614</v>
      </c>
    </row>
    <row r="3451" spans="3:3" hidden="1" outlineLevel="1" collapsed="1" x14ac:dyDescent="0.25">
      <c r="C3451" s="9">
        <f>Дельта!$B$487</f>
        <v>120223</v>
      </c>
    </row>
    <row r="3452" spans="3:3" hidden="1" outlineLevel="1" collapsed="1" x14ac:dyDescent="0.25">
      <c r="C3452" s="9">
        <f>Дельта!$B$513</f>
        <v>111888</v>
      </c>
    </row>
    <row r="3453" spans="3:3" hidden="1" outlineLevel="1" collapsed="1" x14ac:dyDescent="0.25">
      <c r="C3453" s="9">
        <f>Дельта!$B$539</f>
        <v>78557</v>
      </c>
    </row>
    <row r="3454" spans="3:3" hidden="1" outlineLevel="1" collapsed="1" x14ac:dyDescent="0.25">
      <c r="C3454" s="9">
        <f>Дельта!$B$565</f>
        <v>78559</v>
      </c>
    </row>
    <row r="3455" spans="3:3" hidden="1" outlineLevel="1" collapsed="1" x14ac:dyDescent="0.25">
      <c r="C3455" s="9">
        <f>Дельта!$B$591</f>
        <v>38318</v>
      </c>
    </row>
    <row r="3456" spans="3:3" hidden="1" outlineLevel="1" collapsed="1" x14ac:dyDescent="0.25">
      <c r="C3456" s="9">
        <f>Дельта!$B$617</f>
        <v>45231</v>
      </c>
    </row>
    <row r="3457" spans="3:3" hidden="1" outlineLevel="1" collapsed="1" x14ac:dyDescent="0.25">
      <c r="C3457" s="9">
        <f>Дельта!$B$642</f>
        <v>37820</v>
      </c>
    </row>
    <row r="3458" spans="3:3" hidden="1" outlineLevel="1" collapsed="1" x14ac:dyDescent="0.25">
      <c r="C3458" s="9">
        <f>Дельта!$B$668</f>
        <v>40671</v>
      </c>
    </row>
    <row r="3459" spans="3:3" hidden="1" outlineLevel="1" collapsed="1" x14ac:dyDescent="0.25">
      <c r="C3459" s="9">
        <f>Дельта!$B$695</f>
        <v>47270</v>
      </c>
    </row>
    <row r="3460" spans="3:3" hidden="1" outlineLevel="1" collapsed="1" x14ac:dyDescent="0.25">
      <c r="C3460" s="9">
        <f>Дельта!$B$721</f>
        <v>66822</v>
      </c>
    </row>
    <row r="3461" spans="3:3" hidden="1" outlineLevel="1" collapsed="1" x14ac:dyDescent="0.25">
      <c r="C3461" s="9">
        <f>Дельта!$B$746</f>
        <v>45158</v>
      </c>
    </row>
    <row r="3462" spans="3:3" hidden="1" outlineLevel="1" collapsed="1" x14ac:dyDescent="0.25">
      <c r="C3462" s="9">
        <f>Дельта!$B$772</f>
        <v>28974.59</v>
      </c>
    </row>
    <row r="3463" spans="3:3" hidden="1" outlineLevel="1" collapsed="1" x14ac:dyDescent="0.25">
      <c r="C3463" s="9">
        <f>Дельта!$B$797</f>
        <v>24339</v>
      </c>
    </row>
    <row r="3464" spans="3:3" hidden="1" outlineLevel="1" collapsed="1" x14ac:dyDescent="0.25">
      <c r="C3464" s="9">
        <f>Дельта!$B$823</f>
        <v>31265</v>
      </c>
    </row>
    <row r="3465" spans="3:3" hidden="1" outlineLevel="1" collapsed="1" x14ac:dyDescent="0.25">
      <c r="C3465" s="9">
        <f>Дельта!$B$849</f>
        <v>47146</v>
      </c>
    </row>
    <row r="3466" spans="3:3" hidden="1" outlineLevel="1" collapsed="1" x14ac:dyDescent="0.25">
      <c r="C3466" s="9">
        <f>Дельта!$B$875</f>
        <v>71634</v>
      </c>
    </row>
    <row r="3467" spans="3:3" hidden="1" outlineLevel="1" collapsed="1" x14ac:dyDescent="0.25">
      <c r="C3467" s="9">
        <f>Дельта!$B$901</f>
        <v>80441</v>
      </c>
    </row>
    <row r="3468" spans="3:3" hidden="1" outlineLevel="1" collapsed="1" x14ac:dyDescent="0.25">
      <c r="C3468" s="9">
        <f>Дельта!$B$927</f>
        <v>76676</v>
      </c>
    </row>
    <row r="3469" spans="3:3" hidden="1" outlineLevel="1" collapsed="1" x14ac:dyDescent="0.25">
      <c r="C3469" s="9">
        <f>Дельта!$B$952</f>
        <v>35341.72</v>
      </c>
    </row>
    <row r="3470" spans="3:3" hidden="1" outlineLevel="1" collapsed="1" x14ac:dyDescent="0.25">
      <c r="C3470" s="9">
        <f>Дельта!$B$978</f>
        <v>25911.26</v>
      </c>
    </row>
    <row r="3471" spans="3:3" hidden="1" outlineLevel="1" collapsed="1" x14ac:dyDescent="0.25">
      <c r="C3471" s="9">
        <f>Дельта!$B$1003</f>
        <v>29811</v>
      </c>
    </row>
    <row r="3472" spans="3:3" hidden="1" outlineLevel="1" collapsed="1" x14ac:dyDescent="0.25">
      <c r="C3472" s="9">
        <f>Дельта!$B$1028</f>
        <v>36447</v>
      </c>
    </row>
    <row r="3473" spans="1:3" hidden="1" outlineLevel="1" collapsed="1" x14ac:dyDescent="0.25">
      <c r="C3473" s="9">
        <f>Дельта!$B$1054</f>
        <v>39748.5</v>
      </c>
    </row>
    <row r="3474" spans="1:3" hidden="1" outlineLevel="1" collapsed="1" x14ac:dyDescent="0.25">
      <c r="C3474" s="9">
        <f>Дельта!$B$1080</f>
        <v>47290.66</v>
      </c>
    </row>
    <row r="3475" spans="1:3" hidden="1" outlineLevel="1" collapsed="1" x14ac:dyDescent="0.25">
      <c r="C3475" s="9">
        <f>Дельта!$B$1104</f>
        <v>40919</v>
      </c>
    </row>
    <row r="3476" spans="1:3" hidden="1" outlineLevel="1" collapsed="1" x14ac:dyDescent="0.25">
      <c r="C3476" s="9">
        <f>Дельта!$B$1129</f>
        <v>30529</v>
      </c>
    </row>
    <row r="3477" spans="1:3" hidden="1" outlineLevel="1" collapsed="1" x14ac:dyDescent="0.25">
      <c r="C3477" s="9">
        <f>Дельта!$B$1154</f>
        <v>35399</v>
      </c>
    </row>
    <row r="3478" spans="1:3" hidden="1" outlineLevel="1" collapsed="1" x14ac:dyDescent="0.25">
      <c r="C3478" s="9">
        <f>Дельта!$B$1177</f>
        <v>35953.040000000001</v>
      </c>
    </row>
    <row r="3479" spans="1:3" hidden="1" outlineLevel="1" collapsed="1" x14ac:dyDescent="0.25">
      <c r="C3479" s="9">
        <f>Дельта!$B$1201</f>
        <v>53145.08</v>
      </c>
    </row>
    <row r="3480" spans="1:3" hidden="1" outlineLevel="1" collapsed="1" x14ac:dyDescent="0.25">
      <c r="C3480" s="9">
        <f>Дельта!$B$1226</f>
        <v>59895</v>
      </c>
    </row>
    <row r="3481" spans="1:3" hidden="1" outlineLevel="1" collapsed="1" x14ac:dyDescent="0.25">
      <c r="C3481" s="9">
        <f>Дельта!$B$1250</f>
        <v>38154</v>
      </c>
    </row>
    <row r="3482" spans="1:3" collapsed="1" x14ac:dyDescent="0.25">
      <c r="A3482" t="s">
        <v>20</v>
      </c>
      <c r="C3482" s="9">
        <f>SUM(C3335:C3481)</f>
        <v>5079678.5499999989</v>
      </c>
    </row>
    <row r="3483" spans="1:3" hidden="1" outlineLevel="1" x14ac:dyDescent="0.25">
      <c r="B3483" t="s">
        <v>72</v>
      </c>
      <c r="C3483" s="9">
        <f>Альфа!$B$21</f>
        <v>11370.08</v>
      </c>
    </row>
    <row r="3484" spans="1:3" hidden="1" outlineLevel="1" collapsed="1" x14ac:dyDescent="0.25">
      <c r="C3484" s="9">
        <f>Альфа!$B$47</f>
        <v>8142.45</v>
      </c>
    </row>
    <row r="3485" spans="1:3" hidden="1" outlineLevel="1" collapsed="1" x14ac:dyDescent="0.25">
      <c r="C3485" s="9">
        <f>Альфа!$B$73</f>
        <v>11761.46</v>
      </c>
    </row>
    <row r="3486" spans="1:3" hidden="1" outlineLevel="1" collapsed="1" x14ac:dyDescent="0.25">
      <c r="C3486" s="9">
        <f>Альфа!$B$99</f>
        <v>17365.95</v>
      </c>
    </row>
    <row r="3487" spans="1:3" hidden="1" outlineLevel="1" collapsed="1" x14ac:dyDescent="0.25">
      <c r="C3487" s="9">
        <f>Альфа!$B$126</f>
        <v>8478.31</v>
      </c>
    </row>
    <row r="3488" spans="1:3" hidden="1" outlineLevel="1" collapsed="1" x14ac:dyDescent="0.25">
      <c r="C3488" s="9">
        <f>Альфа!$B$153</f>
        <v>21411.75</v>
      </c>
    </row>
    <row r="3489" spans="3:3" hidden="1" outlineLevel="1" collapsed="1" x14ac:dyDescent="0.25">
      <c r="C3489" s="9">
        <f>Альфа!$B$179</f>
        <v>16997.080000000002</v>
      </c>
    </row>
    <row r="3490" spans="3:3" hidden="1" outlineLevel="1" collapsed="1" x14ac:dyDescent="0.25">
      <c r="C3490" s="9">
        <f>Альфа!$B$205</f>
        <v>24471.8</v>
      </c>
    </row>
    <row r="3491" spans="3:3" hidden="1" outlineLevel="1" collapsed="1" x14ac:dyDescent="0.25">
      <c r="C3491" s="9">
        <f>Альфа!$B$231</f>
        <v>9428.77</v>
      </c>
    </row>
    <row r="3492" spans="3:3" hidden="1" outlineLevel="1" collapsed="1" x14ac:dyDescent="0.25">
      <c r="C3492" s="9">
        <f>Альфа!$B$258</f>
        <v>8652</v>
      </c>
    </row>
    <row r="3493" spans="3:3" hidden="1" outlineLevel="1" collapsed="1" x14ac:dyDescent="0.25">
      <c r="C3493" s="9">
        <f>Альфа!$B$284</f>
        <v>5578.3</v>
      </c>
    </row>
    <row r="3494" spans="3:3" hidden="1" outlineLevel="1" collapsed="1" x14ac:dyDescent="0.25">
      <c r="C3494" s="9">
        <f>Альфа!$B$310</f>
        <v>9678.9</v>
      </c>
    </row>
    <row r="3495" spans="3:3" hidden="1" outlineLevel="1" collapsed="1" x14ac:dyDescent="0.25">
      <c r="C3495" s="9">
        <f>Альфа!$B$336</f>
        <v>7866.6</v>
      </c>
    </row>
    <row r="3496" spans="3:3" hidden="1" outlineLevel="1" collapsed="1" x14ac:dyDescent="0.25">
      <c r="C3496" s="9">
        <f>Альфа!$B$362</f>
        <v>5517.4</v>
      </c>
    </row>
    <row r="3497" spans="3:3" hidden="1" outlineLevel="1" collapsed="1" x14ac:dyDescent="0.25">
      <c r="C3497" s="9">
        <f>Альфа!$B$389</f>
        <v>1881.6</v>
      </c>
    </row>
    <row r="3498" spans="3:3" hidden="1" outlineLevel="1" collapsed="1" x14ac:dyDescent="0.25">
      <c r="C3498" s="9">
        <f>Альфа!$B$415</f>
        <v>4442.8999999999996</v>
      </c>
    </row>
    <row r="3499" spans="3:3" hidden="1" outlineLevel="1" collapsed="1" x14ac:dyDescent="0.25">
      <c r="C3499" s="9">
        <f>Альфа!$B$716</f>
        <v>235.23</v>
      </c>
    </row>
    <row r="3500" spans="3:3" hidden="1" outlineLevel="1" collapsed="1" x14ac:dyDescent="0.25">
      <c r="C3500" s="9">
        <f>Альфа!$B$987</f>
        <v>7486.95</v>
      </c>
    </row>
    <row r="3501" spans="3:3" hidden="1" outlineLevel="1" collapsed="1" x14ac:dyDescent="0.25">
      <c r="C3501" s="9">
        <f>Альфа!$B$1013</f>
        <v>14755.59</v>
      </c>
    </row>
    <row r="3502" spans="3:3" hidden="1" outlineLevel="1" collapsed="1" x14ac:dyDescent="0.25">
      <c r="C3502" s="9">
        <f>Альфа!$B$1038</f>
        <v>8586.48</v>
      </c>
    </row>
    <row r="3503" spans="3:3" hidden="1" outlineLevel="1" collapsed="1" x14ac:dyDescent="0.25">
      <c r="C3503" s="9">
        <f>Альфа!$B$1064</f>
        <v>7714.95</v>
      </c>
    </row>
    <row r="3504" spans="3:3" hidden="1" outlineLevel="1" collapsed="1" x14ac:dyDescent="0.25">
      <c r="C3504" s="9">
        <f>Альфа!$B$1088</f>
        <v>200.14</v>
      </c>
    </row>
    <row r="3505" spans="2:3" hidden="1" outlineLevel="1" collapsed="1" x14ac:dyDescent="0.25">
      <c r="C3505" s="9">
        <f>Альфа!$B$1113</f>
        <v>2835</v>
      </c>
    </row>
    <row r="3506" spans="2:3" hidden="1" outlineLevel="1" collapsed="1" x14ac:dyDescent="0.25">
      <c r="C3506" s="9">
        <f>Альфа!$B$1138</f>
        <v>8995.1299999999992</v>
      </c>
    </row>
    <row r="3507" spans="2:3" hidden="1" outlineLevel="1" collapsed="1" x14ac:dyDescent="0.25">
      <c r="C3507" s="9">
        <f>Альфа!$B$1163</f>
        <v>7633.5</v>
      </c>
    </row>
    <row r="3508" spans="2:3" hidden="1" outlineLevel="1" collapsed="1" x14ac:dyDescent="0.25">
      <c r="C3508" s="9">
        <f>Альфа!$B$1189</f>
        <v>5010.4399999999996</v>
      </c>
    </row>
    <row r="3509" spans="2:3" hidden="1" outlineLevel="1" collapsed="1" x14ac:dyDescent="0.25">
      <c r="C3509" s="9">
        <f>Альфа!$B$1215</f>
        <v>2023.7</v>
      </c>
    </row>
    <row r="3510" spans="2:3" hidden="1" outlineLevel="1" collapsed="1" x14ac:dyDescent="0.25">
      <c r="B3510" t="s">
        <v>72</v>
      </c>
      <c r="C3510" s="9">
        <f>Гамма!$B$21</f>
        <v>27065.040000000001</v>
      </c>
    </row>
    <row r="3511" spans="2:3" hidden="1" outlineLevel="1" collapsed="1" x14ac:dyDescent="0.25">
      <c r="C3511" s="9">
        <f>Гамма!$B$48</f>
        <v>31279.51</v>
      </c>
    </row>
    <row r="3512" spans="2:3" hidden="1" outlineLevel="1" collapsed="1" x14ac:dyDescent="0.25">
      <c r="C3512" s="9">
        <f>Гамма!$B$75</f>
        <v>17740.79</v>
      </c>
    </row>
    <row r="3513" spans="2:3" hidden="1" outlineLevel="1" collapsed="1" x14ac:dyDescent="0.25">
      <c r="C3513" s="9">
        <f>Гамма!$B$102</f>
        <v>17101.02</v>
      </c>
    </row>
    <row r="3514" spans="2:3" hidden="1" outlineLevel="1" collapsed="1" x14ac:dyDescent="0.25">
      <c r="C3514" s="9">
        <f>Гамма!$B$128</f>
        <v>20564.189999999999</v>
      </c>
    </row>
    <row r="3515" spans="2:3" hidden="1" outlineLevel="1" collapsed="1" x14ac:dyDescent="0.25">
      <c r="C3515" s="9">
        <f>Гамма!$B$154</f>
        <v>56700.55</v>
      </c>
    </row>
    <row r="3516" spans="2:3" hidden="1" outlineLevel="1" collapsed="1" x14ac:dyDescent="0.25">
      <c r="C3516" s="9">
        <f>Гамма!$B$180</f>
        <v>42066.79</v>
      </c>
    </row>
    <row r="3517" spans="2:3" hidden="1" outlineLevel="1" collapsed="1" x14ac:dyDescent="0.25">
      <c r="C3517" s="9">
        <f>Гамма!$B$207</f>
        <v>18720.939999999999</v>
      </c>
    </row>
    <row r="3518" spans="2:3" hidden="1" outlineLevel="1" collapsed="1" x14ac:dyDescent="0.25">
      <c r="C3518" s="9">
        <f>Гамма!$B$234</f>
        <v>24909.41</v>
      </c>
    </row>
    <row r="3519" spans="2:3" hidden="1" outlineLevel="1" collapsed="1" x14ac:dyDescent="0.25">
      <c r="C3519" s="9">
        <f>Гамма!$B$259</f>
        <v>15421.47</v>
      </c>
    </row>
    <row r="3520" spans="2:3" hidden="1" outlineLevel="1" collapsed="1" x14ac:dyDescent="0.25">
      <c r="C3520" s="9">
        <f>Гамма!$B$285</f>
        <v>25499.63</v>
      </c>
    </row>
    <row r="3521" spans="3:3" hidden="1" outlineLevel="1" collapsed="1" x14ac:dyDescent="0.25">
      <c r="C3521" s="9">
        <f>Гамма!$B$311</f>
        <v>30923.360000000001</v>
      </c>
    </row>
    <row r="3522" spans="3:3" hidden="1" outlineLevel="1" collapsed="1" x14ac:dyDescent="0.25">
      <c r="C3522" s="9">
        <f>Гамма!$B$337</f>
        <v>53030.97</v>
      </c>
    </row>
    <row r="3523" spans="3:3" hidden="1" outlineLevel="1" collapsed="1" x14ac:dyDescent="0.25">
      <c r="C3523" s="9">
        <f>Гамма!$B$363</f>
        <v>21923.78</v>
      </c>
    </row>
    <row r="3524" spans="3:3" hidden="1" outlineLevel="1" collapsed="1" x14ac:dyDescent="0.25">
      <c r="C3524" s="9">
        <f>Гамма!$B$388</f>
        <v>33653.269999999997</v>
      </c>
    </row>
    <row r="3525" spans="3:3" hidden="1" outlineLevel="1" collapsed="1" x14ac:dyDescent="0.25">
      <c r="C3525" s="9">
        <f>Гамма!$B$415</f>
        <v>29720.04</v>
      </c>
    </row>
    <row r="3526" spans="3:3" hidden="1" outlineLevel="1" collapsed="1" x14ac:dyDescent="0.25">
      <c r="C3526" s="9">
        <f>Гамма!$B$442</f>
        <v>29243.88</v>
      </c>
    </row>
    <row r="3527" spans="3:3" hidden="1" outlineLevel="1" collapsed="1" x14ac:dyDescent="0.25">
      <c r="C3527" s="9">
        <f>Гамма!$B$468</f>
        <v>21425.5</v>
      </c>
    </row>
    <row r="3528" spans="3:3" hidden="1" outlineLevel="1" collapsed="1" x14ac:dyDescent="0.25">
      <c r="C3528" s="9">
        <f>Гамма!$B$494</f>
        <v>29626.93</v>
      </c>
    </row>
    <row r="3529" spans="3:3" hidden="1" outlineLevel="1" collapsed="1" x14ac:dyDescent="0.25">
      <c r="C3529" s="9">
        <f>Гамма!$B$520</f>
        <v>53911.81</v>
      </c>
    </row>
    <row r="3530" spans="3:3" hidden="1" outlineLevel="1" collapsed="1" x14ac:dyDescent="0.25">
      <c r="C3530" s="9">
        <f>Гамма!$B$546</f>
        <v>67646.16</v>
      </c>
    </row>
    <row r="3531" spans="3:3" hidden="1" outlineLevel="1" collapsed="1" x14ac:dyDescent="0.25">
      <c r="C3531" s="9">
        <f>Гамма!$B$572</f>
        <v>35554.269999999997</v>
      </c>
    </row>
    <row r="3532" spans="3:3" hidden="1" outlineLevel="1" collapsed="1" x14ac:dyDescent="0.25">
      <c r="C3532" s="9">
        <f>Гамма!$B$597</f>
        <v>12474.29</v>
      </c>
    </row>
    <row r="3533" spans="3:3" hidden="1" outlineLevel="1" collapsed="1" x14ac:dyDescent="0.25">
      <c r="C3533" s="9">
        <f>Гамма!$B$623</f>
        <v>13808.82</v>
      </c>
    </row>
    <row r="3534" spans="3:3" hidden="1" outlineLevel="1" collapsed="1" x14ac:dyDescent="0.25">
      <c r="C3534" s="9">
        <f>Гамма!$B$649</f>
        <v>7723.45</v>
      </c>
    </row>
    <row r="3535" spans="3:3" hidden="1" outlineLevel="1" collapsed="1" x14ac:dyDescent="0.25">
      <c r="C3535" s="9">
        <f>Гамма!$B$675</f>
        <v>20215.86</v>
      </c>
    </row>
    <row r="3536" spans="3:3" hidden="1" outlineLevel="1" collapsed="1" x14ac:dyDescent="0.25">
      <c r="C3536" s="9">
        <f>Гамма!$B$701</f>
        <v>28468.25</v>
      </c>
    </row>
    <row r="3537" spans="3:3" hidden="1" outlineLevel="1" collapsed="1" x14ac:dyDescent="0.25">
      <c r="C3537" s="9">
        <f>Гамма!$B$727</f>
        <v>47618.400000000001</v>
      </c>
    </row>
    <row r="3538" spans="3:3" hidden="1" outlineLevel="1" collapsed="1" x14ac:dyDescent="0.25">
      <c r="C3538" s="9">
        <f>Гамма!$B$751</f>
        <v>13231.59</v>
      </c>
    </row>
    <row r="3539" spans="3:3" hidden="1" outlineLevel="1" collapsed="1" x14ac:dyDescent="0.25">
      <c r="C3539" s="9">
        <f>Гамма!$B$777</f>
        <v>19596.55</v>
      </c>
    </row>
    <row r="3540" spans="3:3" hidden="1" outlineLevel="1" collapsed="1" x14ac:dyDescent="0.25">
      <c r="C3540" s="9">
        <f>Гамма!$B$801</f>
        <v>19902.349999999999</v>
      </c>
    </row>
    <row r="3541" spans="3:3" hidden="1" outlineLevel="1" collapsed="1" x14ac:dyDescent="0.25">
      <c r="C3541" s="9">
        <f>Гамма!$B$827</f>
        <v>19492.12</v>
      </c>
    </row>
    <row r="3542" spans="3:3" hidden="1" outlineLevel="1" collapsed="1" x14ac:dyDescent="0.25">
      <c r="C3542" s="9">
        <f>Гамма!$B$853</f>
        <v>16729.3</v>
      </c>
    </row>
    <row r="3543" spans="3:3" hidden="1" outlineLevel="1" collapsed="1" x14ac:dyDescent="0.25">
      <c r="C3543" s="9">
        <f>Гамма!$B$879</f>
        <v>48809.21</v>
      </c>
    </row>
    <row r="3544" spans="3:3" hidden="1" outlineLevel="1" collapsed="1" x14ac:dyDescent="0.25">
      <c r="C3544" s="9">
        <f>Гамма!$B$905</f>
        <v>34254.839999999997</v>
      </c>
    </row>
    <row r="3545" spans="3:3" hidden="1" outlineLevel="1" collapsed="1" x14ac:dyDescent="0.25">
      <c r="C3545" s="9">
        <f>Гамма!$B$931</f>
        <v>38681.1</v>
      </c>
    </row>
    <row r="3546" spans="3:3" hidden="1" outlineLevel="1" collapsed="1" x14ac:dyDescent="0.25">
      <c r="C3546" s="9">
        <f>Гамма!$B$956</f>
        <v>23950.21</v>
      </c>
    </row>
    <row r="3547" spans="3:3" hidden="1" outlineLevel="1" collapsed="1" x14ac:dyDescent="0.25">
      <c r="C3547" s="9">
        <f>Гамма!$B$982</f>
        <v>11922.72</v>
      </c>
    </row>
    <row r="3548" spans="3:3" hidden="1" outlineLevel="1" collapsed="1" x14ac:dyDescent="0.25">
      <c r="C3548" s="9">
        <f>Гамма!$B$1008</f>
        <v>11408.78</v>
      </c>
    </row>
    <row r="3549" spans="3:3" hidden="1" outlineLevel="1" collapsed="1" x14ac:dyDescent="0.25">
      <c r="C3549" s="9">
        <f>Гамма!$B$1033</f>
        <v>17158.63</v>
      </c>
    </row>
    <row r="3550" spans="3:3" hidden="1" outlineLevel="1" collapsed="1" x14ac:dyDescent="0.25">
      <c r="C3550" s="9">
        <f>Гамма!$B$1057</f>
        <v>27532.82</v>
      </c>
    </row>
    <row r="3551" spans="3:3" hidden="1" outlineLevel="1" collapsed="1" x14ac:dyDescent="0.25">
      <c r="C3551" s="9">
        <f>Гамма!$B$1082</f>
        <v>17352.62</v>
      </c>
    </row>
    <row r="3552" spans="3:3" hidden="1" outlineLevel="1" collapsed="1" x14ac:dyDescent="0.25">
      <c r="C3552" s="9">
        <f>Гамма!$B$1108</f>
        <v>13742.93</v>
      </c>
    </row>
    <row r="3553" spans="1:3" hidden="1" outlineLevel="1" collapsed="1" x14ac:dyDescent="0.25">
      <c r="C3553" s="9">
        <f>Гамма!$B$1132</f>
        <v>12114.34</v>
      </c>
    </row>
    <row r="3554" spans="1:3" hidden="1" outlineLevel="1" collapsed="1" x14ac:dyDescent="0.25">
      <c r="C3554" s="9">
        <f>Гамма!$B$1156</f>
        <v>13856.71</v>
      </c>
    </row>
    <row r="3555" spans="1:3" hidden="1" outlineLevel="1" collapsed="1" x14ac:dyDescent="0.25">
      <c r="C3555" s="9">
        <f>Гамма!$B$1182</f>
        <v>18298.8</v>
      </c>
    </row>
    <row r="3556" spans="1:3" hidden="1" outlineLevel="1" collapsed="1" x14ac:dyDescent="0.25">
      <c r="C3556" s="9">
        <f>Гамма!$B$1206</f>
        <v>20164.900000000001</v>
      </c>
    </row>
    <row r="3557" spans="1:3" hidden="1" outlineLevel="1" collapsed="1" x14ac:dyDescent="0.25">
      <c r="C3557" s="9">
        <f>Гамма!$B$1231</f>
        <v>44481.03</v>
      </c>
    </row>
    <row r="3558" spans="1:3" hidden="1" outlineLevel="1" collapsed="1" x14ac:dyDescent="0.25">
      <c r="C3558" s="9">
        <f>Гамма!$B$1256</f>
        <v>22129.07</v>
      </c>
    </row>
    <row r="3559" spans="1:3" hidden="1" outlineLevel="1" collapsed="1" x14ac:dyDescent="0.25">
      <c r="B3559" t="s">
        <v>72</v>
      </c>
      <c r="C3559" s="9">
        <f>Дельта!$B$669</f>
        <v>574</v>
      </c>
    </row>
    <row r="3560" spans="1:3" collapsed="1" x14ac:dyDescent="0.25">
      <c r="A3560" t="s">
        <v>21</v>
      </c>
      <c r="C3560" s="9">
        <f>SUM(C3483:C3559)</f>
        <v>1537945.4600000007</v>
      </c>
    </row>
    <row r="3561" spans="1:3" hidden="1" outlineLevel="1" x14ac:dyDescent="0.25">
      <c r="B3561" t="s">
        <v>72</v>
      </c>
      <c r="C3561" s="9">
        <f>Альфа!$B$22</f>
        <v>228397.52</v>
      </c>
    </row>
    <row r="3562" spans="1:3" hidden="1" outlineLevel="1" collapsed="1" x14ac:dyDescent="0.25">
      <c r="C3562" s="9">
        <f>Альфа!$B$48</f>
        <v>232865.32</v>
      </c>
    </row>
    <row r="3563" spans="1:3" hidden="1" outlineLevel="1" collapsed="1" x14ac:dyDescent="0.25">
      <c r="C3563" s="9">
        <f>Альфа!$B$74</f>
        <v>215740.93</v>
      </c>
    </row>
    <row r="3564" spans="1:3" hidden="1" outlineLevel="1" collapsed="1" x14ac:dyDescent="0.25">
      <c r="C3564" s="9">
        <f>Альфа!$B$100</f>
        <v>200239.28</v>
      </c>
    </row>
    <row r="3565" spans="1:3" hidden="1" outlineLevel="1" collapsed="1" x14ac:dyDescent="0.25">
      <c r="C3565" s="9">
        <f>Альфа!$B$127</f>
        <v>239982.77</v>
      </c>
    </row>
    <row r="3566" spans="1:3" hidden="1" outlineLevel="1" collapsed="1" x14ac:dyDescent="0.25">
      <c r="C3566" s="9">
        <f>Альфа!$B$154</f>
        <v>274278.21999999997</v>
      </c>
    </row>
    <row r="3567" spans="1:3" hidden="1" outlineLevel="1" collapsed="1" x14ac:dyDescent="0.25">
      <c r="C3567" s="9">
        <f>Альфа!$B$180</f>
        <v>225704.91</v>
      </c>
    </row>
    <row r="3568" spans="1:3" hidden="1" outlineLevel="1" collapsed="1" x14ac:dyDescent="0.25">
      <c r="C3568" s="9">
        <f>Альфа!$B$206</f>
        <v>218939.83</v>
      </c>
    </row>
    <row r="3569" spans="3:3" hidden="1" outlineLevel="1" collapsed="1" x14ac:dyDescent="0.25">
      <c r="C3569" s="9">
        <f>Альфа!$B$232</f>
        <v>232231.89</v>
      </c>
    </row>
    <row r="3570" spans="3:3" hidden="1" outlineLevel="1" collapsed="1" x14ac:dyDescent="0.25">
      <c r="C3570" s="9">
        <f>Альфа!$B$259</f>
        <v>188259.46</v>
      </c>
    </row>
    <row r="3571" spans="3:3" hidden="1" outlineLevel="1" collapsed="1" x14ac:dyDescent="0.25">
      <c r="C3571" s="9">
        <f>Альфа!$B$285</f>
        <v>192006.52</v>
      </c>
    </row>
    <row r="3572" spans="3:3" hidden="1" outlineLevel="1" collapsed="1" x14ac:dyDescent="0.25">
      <c r="C3572" s="9">
        <f>Альфа!$B$311</f>
        <v>202521.66</v>
      </c>
    </row>
    <row r="3573" spans="3:3" hidden="1" outlineLevel="1" collapsed="1" x14ac:dyDescent="0.25">
      <c r="C3573" s="9">
        <f>Альфа!$B$337</f>
        <v>261118.86</v>
      </c>
    </row>
    <row r="3574" spans="3:3" hidden="1" outlineLevel="1" collapsed="1" x14ac:dyDescent="0.25">
      <c r="C3574" s="9">
        <f>Альфа!$B$363</f>
        <v>230156.25</v>
      </c>
    </row>
    <row r="3575" spans="3:3" hidden="1" outlineLevel="1" collapsed="1" x14ac:dyDescent="0.25">
      <c r="C3575" s="9">
        <f>Альфа!$B$390</f>
        <v>193535.6</v>
      </c>
    </row>
    <row r="3576" spans="3:3" hidden="1" outlineLevel="1" collapsed="1" x14ac:dyDescent="0.25">
      <c r="C3576" s="9">
        <f>Альфа!$B$416</f>
        <v>192673.31</v>
      </c>
    </row>
    <row r="3577" spans="3:3" hidden="1" outlineLevel="1" collapsed="1" x14ac:dyDescent="0.25">
      <c r="C3577" s="9">
        <f>Альфа!$B$441</f>
        <v>205397.37</v>
      </c>
    </row>
    <row r="3578" spans="3:3" hidden="1" outlineLevel="1" collapsed="1" x14ac:dyDescent="0.25">
      <c r="C3578" s="9">
        <f>Альфа!$B$466</f>
        <v>230239.51</v>
      </c>
    </row>
    <row r="3579" spans="3:3" hidden="1" outlineLevel="1" collapsed="1" x14ac:dyDescent="0.25">
      <c r="C3579" s="9">
        <f>Альфа!$B$492</f>
        <v>263232.17</v>
      </c>
    </row>
    <row r="3580" spans="3:3" hidden="1" outlineLevel="1" collapsed="1" x14ac:dyDescent="0.25">
      <c r="C3580" s="9">
        <f>Альфа!$B$517</f>
        <v>292852.88</v>
      </c>
    </row>
    <row r="3581" spans="3:3" hidden="1" outlineLevel="1" collapsed="1" x14ac:dyDescent="0.25">
      <c r="C3581" s="9">
        <f>Альфа!$B$542</f>
        <v>283782.40999999997</v>
      </c>
    </row>
    <row r="3582" spans="3:3" hidden="1" outlineLevel="1" collapsed="1" x14ac:dyDescent="0.25">
      <c r="C3582" s="9">
        <f>Альфа!$B$567</f>
        <v>235649.36</v>
      </c>
    </row>
    <row r="3583" spans="3:3" hidden="1" outlineLevel="1" collapsed="1" x14ac:dyDescent="0.25">
      <c r="C3583" s="9">
        <f>Альфа!$B$592</f>
        <v>161290.73000000001</v>
      </c>
    </row>
    <row r="3584" spans="3:3" hidden="1" outlineLevel="1" collapsed="1" x14ac:dyDescent="0.25">
      <c r="C3584" s="9">
        <f>Альфа!$B$616</f>
        <v>181572.47</v>
      </c>
    </row>
    <row r="3585" spans="3:3" hidden="1" outlineLevel="1" collapsed="1" x14ac:dyDescent="0.25">
      <c r="C3585" s="9">
        <f>Альфа!$B$641</f>
        <v>189071.05</v>
      </c>
    </row>
    <row r="3586" spans="3:3" hidden="1" outlineLevel="1" collapsed="1" x14ac:dyDescent="0.25">
      <c r="C3586" s="9">
        <f>Альфа!$B$666</f>
        <v>219967.24</v>
      </c>
    </row>
    <row r="3587" spans="3:3" hidden="1" outlineLevel="1" collapsed="1" x14ac:dyDescent="0.25">
      <c r="C3587" s="9">
        <f>Альфа!$B$691</f>
        <v>242866.09</v>
      </c>
    </row>
    <row r="3588" spans="3:3" hidden="1" outlineLevel="1" collapsed="1" x14ac:dyDescent="0.25">
      <c r="C3588" s="9">
        <f>Альфа!$B$717</f>
        <v>198200.06</v>
      </c>
    </row>
    <row r="3589" spans="3:3" hidden="1" outlineLevel="1" collapsed="1" x14ac:dyDescent="0.25">
      <c r="C3589" s="9">
        <f>Альфа!$B$741</f>
        <v>186802.1</v>
      </c>
    </row>
    <row r="3590" spans="3:3" hidden="1" outlineLevel="1" collapsed="1" x14ac:dyDescent="0.25">
      <c r="C3590" s="9">
        <f>Альфа!$B$766</f>
        <v>179221.25</v>
      </c>
    </row>
    <row r="3591" spans="3:3" hidden="1" outlineLevel="1" collapsed="1" x14ac:dyDescent="0.25">
      <c r="C3591" s="9">
        <f>Альфа!$B$791</f>
        <v>174536.27</v>
      </c>
    </row>
    <row r="3592" spans="3:3" hidden="1" outlineLevel="1" collapsed="1" x14ac:dyDescent="0.25">
      <c r="C3592" s="9">
        <f>Альфа!$B$814</f>
        <v>209839.09</v>
      </c>
    </row>
    <row r="3593" spans="3:3" hidden="1" outlineLevel="1" collapsed="1" x14ac:dyDescent="0.25">
      <c r="C3593" s="9">
        <f>Альфа!$B$838</f>
        <v>222802.88</v>
      </c>
    </row>
    <row r="3594" spans="3:3" hidden="1" outlineLevel="1" collapsed="1" x14ac:dyDescent="0.25">
      <c r="C3594" s="9">
        <f>Альфа!$B$863</f>
        <v>306580.92</v>
      </c>
    </row>
    <row r="3595" spans="3:3" hidden="1" outlineLevel="1" collapsed="1" x14ac:dyDescent="0.25">
      <c r="C3595" s="9">
        <f>Альфа!$B$888</f>
        <v>283347.27</v>
      </c>
    </row>
    <row r="3596" spans="3:3" hidden="1" outlineLevel="1" collapsed="1" x14ac:dyDescent="0.25">
      <c r="C3596" s="9">
        <f>Альфа!$B$913</f>
        <v>219602.46</v>
      </c>
    </row>
    <row r="3597" spans="3:3" hidden="1" outlineLevel="1" collapsed="1" x14ac:dyDescent="0.25">
      <c r="C3597" s="9">
        <f>Альфа!$B$938</f>
        <v>171432.05</v>
      </c>
    </row>
    <row r="3598" spans="3:3" hidden="1" outlineLevel="1" collapsed="1" x14ac:dyDescent="0.25">
      <c r="C3598" s="9">
        <f>Альфа!$B$963</f>
        <v>141904.54999999999</v>
      </c>
    </row>
    <row r="3599" spans="3:3" hidden="1" outlineLevel="1" collapsed="1" x14ac:dyDescent="0.25">
      <c r="C3599" s="9">
        <f>Альфа!$B$988</f>
        <v>159627.73000000001</v>
      </c>
    </row>
    <row r="3600" spans="3:3" hidden="1" outlineLevel="1" collapsed="1" x14ac:dyDescent="0.25">
      <c r="C3600" s="9">
        <f>Альфа!$B$1014</f>
        <v>158235.26</v>
      </c>
    </row>
    <row r="3601" spans="2:3" hidden="1" outlineLevel="1" collapsed="1" x14ac:dyDescent="0.25">
      <c r="C3601" s="9">
        <f>Альфа!$B$1039</f>
        <v>200437.68</v>
      </c>
    </row>
    <row r="3602" spans="2:3" hidden="1" outlineLevel="1" collapsed="1" x14ac:dyDescent="0.25">
      <c r="C3602" s="9">
        <f>Альфа!$B$1065</f>
        <v>168456.4</v>
      </c>
    </row>
    <row r="3603" spans="2:3" hidden="1" outlineLevel="1" collapsed="1" x14ac:dyDescent="0.25">
      <c r="C3603" s="9">
        <f>Альфа!$B$1089</f>
        <v>146625.42000000001</v>
      </c>
    </row>
    <row r="3604" spans="2:3" hidden="1" outlineLevel="1" collapsed="1" x14ac:dyDescent="0.25">
      <c r="C3604" s="9">
        <f>Альфа!$B$1114</f>
        <v>166987.84</v>
      </c>
    </row>
    <row r="3605" spans="2:3" hidden="1" outlineLevel="1" collapsed="1" x14ac:dyDescent="0.25">
      <c r="C3605" s="9">
        <f>Альфа!$B$1139</f>
        <v>165050.79</v>
      </c>
    </row>
    <row r="3606" spans="2:3" hidden="1" outlineLevel="1" collapsed="1" x14ac:dyDescent="0.25">
      <c r="C3606" s="9">
        <f>Альфа!$B$1164</f>
        <v>169018.41</v>
      </c>
    </row>
    <row r="3607" spans="2:3" hidden="1" outlineLevel="1" collapsed="1" x14ac:dyDescent="0.25">
      <c r="C3607" s="9">
        <f>Альфа!$B$1190</f>
        <v>279304.67</v>
      </c>
    </row>
    <row r="3608" spans="2:3" hidden="1" outlineLevel="1" collapsed="1" x14ac:dyDescent="0.25">
      <c r="C3608" s="9">
        <f>Альфа!$B$1216</f>
        <v>420200.34</v>
      </c>
    </row>
    <row r="3609" spans="2:3" hidden="1" outlineLevel="1" collapsed="1" x14ac:dyDescent="0.25">
      <c r="C3609" s="9">
        <f>Альфа!$B$1240</f>
        <v>190811.46</v>
      </c>
    </row>
    <row r="3610" spans="2:3" hidden="1" outlineLevel="1" collapsed="1" x14ac:dyDescent="0.25">
      <c r="B3610" t="s">
        <v>72</v>
      </c>
      <c r="C3610" s="9">
        <f>Бета!$B$19</f>
        <v>5867</v>
      </c>
    </row>
    <row r="3611" spans="2:3" hidden="1" outlineLevel="1" collapsed="1" x14ac:dyDescent="0.25">
      <c r="C3611" s="9">
        <f>Бета!$B$41</f>
        <v>4358</v>
      </c>
    </row>
    <row r="3612" spans="2:3" hidden="1" outlineLevel="1" collapsed="1" x14ac:dyDescent="0.25">
      <c r="C3612" s="9">
        <f>Бета!$B$63</f>
        <v>5957</v>
      </c>
    </row>
    <row r="3613" spans="2:3" hidden="1" outlineLevel="1" collapsed="1" x14ac:dyDescent="0.25">
      <c r="C3613" s="9">
        <f>Бета!$B$85</f>
        <v>4729</v>
      </c>
    </row>
    <row r="3614" spans="2:3" hidden="1" outlineLevel="1" collapsed="1" x14ac:dyDescent="0.25">
      <c r="C3614" s="9">
        <f>Бета!$B$107</f>
        <v>3261</v>
      </c>
    </row>
    <row r="3615" spans="2:3" hidden="1" outlineLevel="1" collapsed="1" x14ac:dyDescent="0.25">
      <c r="C3615" s="9">
        <f>Бета!$B$129</f>
        <v>7232</v>
      </c>
    </row>
    <row r="3616" spans="2:3" hidden="1" outlineLevel="1" collapsed="1" x14ac:dyDescent="0.25">
      <c r="C3616" s="9">
        <f>Бета!$B$151</f>
        <v>5236</v>
      </c>
    </row>
    <row r="3617" spans="3:3" hidden="1" outlineLevel="1" collapsed="1" x14ac:dyDescent="0.25">
      <c r="C3617" s="9">
        <f>Бета!$B$173</f>
        <v>2533</v>
      </c>
    </row>
    <row r="3618" spans="3:3" hidden="1" outlineLevel="1" collapsed="1" x14ac:dyDescent="0.25">
      <c r="C3618" s="9">
        <f>Бета!$B$195</f>
        <v>4873</v>
      </c>
    </row>
    <row r="3619" spans="3:3" hidden="1" outlineLevel="1" collapsed="1" x14ac:dyDescent="0.25">
      <c r="C3619" s="9">
        <f>Бета!$B$217</f>
        <v>4998</v>
      </c>
    </row>
    <row r="3620" spans="3:3" hidden="1" outlineLevel="1" collapsed="1" x14ac:dyDescent="0.25">
      <c r="C3620" s="9">
        <f>Бета!$B$239</f>
        <v>3921</v>
      </c>
    </row>
    <row r="3621" spans="3:3" hidden="1" outlineLevel="1" collapsed="1" x14ac:dyDescent="0.25">
      <c r="C3621" s="9">
        <f>Бета!$B$261</f>
        <v>3510</v>
      </c>
    </row>
    <row r="3622" spans="3:3" hidden="1" outlineLevel="1" collapsed="1" x14ac:dyDescent="0.25">
      <c r="C3622" s="9">
        <f>Бета!$B$282</f>
        <v>1682</v>
      </c>
    </row>
    <row r="3623" spans="3:3" hidden="1" outlineLevel="1" collapsed="1" x14ac:dyDescent="0.25">
      <c r="C3623" s="9">
        <f>Бета!$B$304</f>
        <v>4583</v>
      </c>
    </row>
    <row r="3624" spans="3:3" hidden="1" outlineLevel="1" collapsed="1" x14ac:dyDescent="0.25">
      <c r="C3624" s="9">
        <f>Бета!$B$326</f>
        <v>3026</v>
      </c>
    </row>
    <row r="3625" spans="3:3" hidden="1" outlineLevel="1" collapsed="1" x14ac:dyDescent="0.25">
      <c r="C3625" s="9">
        <f>Бета!$B$347</f>
        <v>3813.82</v>
      </c>
    </row>
    <row r="3626" spans="3:3" hidden="1" outlineLevel="1" collapsed="1" x14ac:dyDescent="0.25">
      <c r="C3626" s="9">
        <f>Бета!$B$368</f>
        <v>1963</v>
      </c>
    </row>
    <row r="3627" spans="3:3" hidden="1" outlineLevel="1" collapsed="1" x14ac:dyDescent="0.25">
      <c r="C3627" s="9">
        <f>Бета!$B$389</f>
        <v>5834.82</v>
      </c>
    </row>
    <row r="3628" spans="3:3" hidden="1" outlineLevel="1" collapsed="1" x14ac:dyDescent="0.25">
      <c r="C3628" s="9">
        <f>Бета!$B$410</f>
        <v>1481</v>
      </c>
    </row>
    <row r="3629" spans="3:3" hidden="1" outlineLevel="1" collapsed="1" x14ac:dyDescent="0.25">
      <c r="C3629" s="9">
        <f>Бета!$B$431</f>
        <v>6016.82</v>
      </c>
    </row>
    <row r="3630" spans="3:3" hidden="1" outlineLevel="1" collapsed="1" x14ac:dyDescent="0.25">
      <c r="C3630" s="9">
        <f>Бета!$B$452</f>
        <v>3808</v>
      </c>
    </row>
    <row r="3631" spans="3:3" hidden="1" outlineLevel="1" collapsed="1" x14ac:dyDescent="0.25">
      <c r="C3631" s="9">
        <f>Бета!$B$473</f>
        <v>3384</v>
      </c>
    </row>
    <row r="3632" spans="3:3" hidden="1" outlineLevel="1" collapsed="1" x14ac:dyDescent="0.25">
      <c r="C3632" s="9">
        <f>Бета!$B$494</f>
        <v>5687.64</v>
      </c>
    </row>
    <row r="3633" spans="3:3" hidden="1" outlineLevel="1" collapsed="1" x14ac:dyDescent="0.25">
      <c r="C3633" s="9">
        <f>Бета!$B$515</f>
        <v>2777</v>
      </c>
    </row>
    <row r="3634" spans="3:3" hidden="1" outlineLevel="1" collapsed="1" x14ac:dyDescent="0.25">
      <c r="C3634" s="9">
        <f>Бета!$B$536</f>
        <v>4833.6400000000003</v>
      </c>
    </row>
    <row r="3635" spans="3:3" hidden="1" outlineLevel="1" collapsed="1" x14ac:dyDescent="0.25">
      <c r="C3635" s="9">
        <f>Бета!$B$556</f>
        <v>2567</v>
      </c>
    </row>
    <row r="3636" spans="3:3" hidden="1" outlineLevel="1" collapsed="1" x14ac:dyDescent="0.25">
      <c r="C3636" s="9">
        <f>Бета!$B$575</f>
        <v>3559</v>
      </c>
    </row>
    <row r="3637" spans="3:3" hidden="1" outlineLevel="1" collapsed="1" x14ac:dyDescent="0.25">
      <c r="C3637" s="9">
        <f>Бета!$B$595</f>
        <v>6797.64</v>
      </c>
    </row>
    <row r="3638" spans="3:3" hidden="1" outlineLevel="1" collapsed="1" x14ac:dyDescent="0.25">
      <c r="C3638" s="9">
        <f>Бета!$B$614</f>
        <v>2678</v>
      </c>
    </row>
    <row r="3639" spans="3:3" hidden="1" outlineLevel="1" collapsed="1" x14ac:dyDescent="0.25">
      <c r="C3639" s="9">
        <f>Бета!$B$634</f>
        <v>3231</v>
      </c>
    </row>
    <row r="3640" spans="3:3" hidden="1" outlineLevel="1" collapsed="1" x14ac:dyDescent="0.25">
      <c r="C3640" s="9">
        <f>Бета!$B$654</f>
        <v>2038</v>
      </c>
    </row>
    <row r="3641" spans="3:3" hidden="1" outlineLevel="1" collapsed="1" x14ac:dyDescent="0.25">
      <c r="C3641" s="9">
        <f>Бета!$B$674</f>
        <v>5332.82</v>
      </c>
    </row>
    <row r="3642" spans="3:3" hidden="1" outlineLevel="1" collapsed="1" x14ac:dyDescent="0.25">
      <c r="C3642" s="9">
        <f>Бета!$B$695</f>
        <v>2377</v>
      </c>
    </row>
    <row r="3643" spans="3:3" hidden="1" outlineLevel="1" collapsed="1" x14ac:dyDescent="0.25">
      <c r="C3643" s="9">
        <f>Бета!$B$715</f>
        <v>10130.459999999999</v>
      </c>
    </row>
    <row r="3644" spans="3:3" hidden="1" outlineLevel="1" collapsed="1" x14ac:dyDescent="0.25">
      <c r="C3644" s="9">
        <f>Бета!$B$736</f>
        <v>5749.82</v>
      </c>
    </row>
    <row r="3645" spans="3:3" hidden="1" outlineLevel="1" collapsed="1" x14ac:dyDescent="0.25">
      <c r="C3645" s="9">
        <f>Бета!$B$756</f>
        <v>4413.82</v>
      </c>
    </row>
    <row r="3646" spans="3:3" hidden="1" outlineLevel="1" collapsed="1" x14ac:dyDescent="0.25">
      <c r="C3646" s="9">
        <f>Бета!$B$776</f>
        <v>2207</v>
      </c>
    </row>
    <row r="3647" spans="3:3" hidden="1" outlineLevel="1" collapsed="1" x14ac:dyDescent="0.25">
      <c r="C3647" s="9">
        <f>Бета!$B$796</f>
        <v>1998</v>
      </c>
    </row>
    <row r="3648" spans="3:3" hidden="1" outlineLevel="1" collapsed="1" x14ac:dyDescent="0.25">
      <c r="C3648" s="9">
        <f>Бета!$B$816</f>
        <v>2332</v>
      </c>
    </row>
    <row r="3649" spans="2:3" hidden="1" outlineLevel="1" collapsed="1" x14ac:dyDescent="0.25">
      <c r="C3649" s="9">
        <f>Бета!$B$836</f>
        <v>2736.5</v>
      </c>
    </row>
    <row r="3650" spans="2:3" hidden="1" outlineLevel="1" collapsed="1" x14ac:dyDescent="0.25">
      <c r="C3650" s="9">
        <f>Бета!$B$856</f>
        <v>1979.5</v>
      </c>
    </row>
    <row r="3651" spans="2:3" hidden="1" outlineLevel="1" collapsed="1" x14ac:dyDescent="0.25">
      <c r="C3651" s="9">
        <f>Бета!$B$876</f>
        <v>8166.32</v>
      </c>
    </row>
    <row r="3652" spans="2:3" hidden="1" outlineLevel="1" collapsed="1" x14ac:dyDescent="0.25">
      <c r="C3652" s="9">
        <f>Бета!$B$896</f>
        <v>3769.57</v>
      </c>
    </row>
    <row r="3653" spans="2:3" hidden="1" outlineLevel="1" collapsed="1" x14ac:dyDescent="0.25">
      <c r="C3653" s="9">
        <f>Бета!$B$916</f>
        <v>4628.57</v>
      </c>
    </row>
    <row r="3654" spans="2:3" hidden="1" outlineLevel="1" collapsed="1" x14ac:dyDescent="0.25">
      <c r="C3654" s="9">
        <f>Бета!$B$935</f>
        <v>2078.5</v>
      </c>
    </row>
    <row r="3655" spans="2:3" hidden="1" outlineLevel="1" collapsed="1" x14ac:dyDescent="0.25">
      <c r="C3655" s="9">
        <f>Бета!$B$955</f>
        <v>679.5</v>
      </c>
    </row>
    <row r="3656" spans="2:3" hidden="1" outlineLevel="1" collapsed="1" x14ac:dyDescent="0.25">
      <c r="C3656" s="9">
        <f>Бета!$B$975</f>
        <v>5869.62</v>
      </c>
    </row>
    <row r="3657" spans="2:3" hidden="1" outlineLevel="1" collapsed="1" x14ac:dyDescent="0.25">
      <c r="C3657" s="9">
        <f>Бета!$B$995</f>
        <v>6266.64</v>
      </c>
    </row>
    <row r="3658" spans="2:3" hidden="1" outlineLevel="1" collapsed="1" x14ac:dyDescent="0.25">
      <c r="C3658" s="9">
        <f>Бета!$B$1015</f>
        <v>1679.5</v>
      </c>
    </row>
    <row r="3659" spans="2:3" hidden="1" outlineLevel="1" collapsed="1" x14ac:dyDescent="0.25">
      <c r="B3659" t="s">
        <v>72</v>
      </c>
      <c r="C3659" s="9">
        <f>Гамма!$B$22</f>
        <v>250788.01</v>
      </c>
    </row>
    <row r="3660" spans="2:3" hidden="1" outlineLevel="1" collapsed="1" x14ac:dyDescent="0.25">
      <c r="C3660" s="9">
        <f>Гамма!$B$49</f>
        <v>243890.44</v>
      </c>
    </row>
    <row r="3661" spans="2:3" hidden="1" outlineLevel="1" collapsed="1" x14ac:dyDescent="0.25">
      <c r="C3661" s="9">
        <f>Гамма!$B$76</f>
        <v>234256.57</v>
      </c>
    </row>
    <row r="3662" spans="2:3" hidden="1" outlineLevel="1" collapsed="1" x14ac:dyDescent="0.25">
      <c r="C3662" s="9">
        <f>Гамма!$B$103</f>
        <v>233709.02</v>
      </c>
    </row>
    <row r="3663" spans="2:3" hidden="1" outlineLevel="1" collapsed="1" x14ac:dyDescent="0.25">
      <c r="C3663" s="9">
        <f>Гамма!$B$129</f>
        <v>290604.61</v>
      </c>
    </row>
    <row r="3664" spans="2:3" hidden="1" outlineLevel="1" collapsed="1" x14ac:dyDescent="0.25">
      <c r="C3664" s="9">
        <f>Гамма!$B$155</f>
        <v>379295.85</v>
      </c>
    </row>
    <row r="3665" spans="3:3" hidden="1" outlineLevel="1" collapsed="1" x14ac:dyDescent="0.25">
      <c r="C3665" s="9">
        <f>Гамма!$B$181</f>
        <v>264362.77</v>
      </c>
    </row>
    <row r="3666" spans="3:3" hidden="1" outlineLevel="1" collapsed="1" x14ac:dyDescent="0.25">
      <c r="C3666" s="9">
        <f>Гамма!$B$208</f>
        <v>236108.95</v>
      </c>
    </row>
    <row r="3667" spans="3:3" hidden="1" outlineLevel="1" collapsed="1" x14ac:dyDescent="0.25">
      <c r="C3667" s="9">
        <f>Гамма!$B$235</f>
        <v>354011.21</v>
      </c>
    </row>
    <row r="3668" spans="3:3" hidden="1" outlineLevel="1" collapsed="1" x14ac:dyDescent="0.25">
      <c r="C3668" s="9">
        <f>Гамма!$B$260</f>
        <v>199615.13</v>
      </c>
    </row>
    <row r="3669" spans="3:3" hidden="1" outlineLevel="1" collapsed="1" x14ac:dyDescent="0.25">
      <c r="C3669" s="9">
        <f>Гамма!$B$286</f>
        <v>206847.61</v>
      </c>
    </row>
    <row r="3670" spans="3:3" hidden="1" outlineLevel="1" collapsed="1" x14ac:dyDescent="0.25">
      <c r="C3670" s="9">
        <f>Гамма!$B$312</f>
        <v>264900</v>
      </c>
    </row>
    <row r="3671" spans="3:3" hidden="1" outlineLevel="1" collapsed="1" x14ac:dyDescent="0.25">
      <c r="C3671" s="9">
        <f>Гамма!$B$338</f>
        <v>311334.46999999997</v>
      </c>
    </row>
    <row r="3672" spans="3:3" hidden="1" outlineLevel="1" collapsed="1" x14ac:dyDescent="0.25">
      <c r="C3672" s="9">
        <f>Гамма!$B$364</f>
        <v>251584.18</v>
      </c>
    </row>
    <row r="3673" spans="3:3" hidden="1" outlineLevel="1" collapsed="1" x14ac:dyDescent="0.25">
      <c r="C3673" s="9">
        <f>Гамма!$B$389</f>
        <v>214026.59</v>
      </c>
    </row>
    <row r="3674" spans="3:3" hidden="1" outlineLevel="1" collapsed="1" x14ac:dyDescent="0.25">
      <c r="C3674" s="9">
        <f>Гамма!$B$416</f>
        <v>228530.9</v>
      </c>
    </row>
    <row r="3675" spans="3:3" hidden="1" outlineLevel="1" collapsed="1" x14ac:dyDescent="0.25">
      <c r="C3675" s="9">
        <f>Гамма!$B$443</f>
        <v>244533.34</v>
      </c>
    </row>
    <row r="3676" spans="3:3" hidden="1" outlineLevel="1" collapsed="1" x14ac:dyDescent="0.25">
      <c r="C3676" s="9">
        <f>Гамма!$B$469</f>
        <v>262600.40000000002</v>
      </c>
    </row>
    <row r="3677" spans="3:3" hidden="1" outlineLevel="1" collapsed="1" x14ac:dyDescent="0.25">
      <c r="C3677" s="9">
        <f>Гамма!$B$495</f>
        <v>414614.97</v>
      </c>
    </row>
    <row r="3678" spans="3:3" hidden="1" outlineLevel="1" collapsed="1" x14ac:dyDescent="0.25">
      <c r="C3678" s="9">
        <f>Гамма!$B$521</f>
        <v>442993.41</v>
      </c>
    </row>
    <row r="3679" spans="3:3" hidden="1" outlineLevel="1" collapsed="1" x14ac:dyDescent="0.25">
      <c r="C3679" s="9">
        <f>Гамма!$B$547</f>
        <v>374286.02</v>
      </c>
    </row>
    <row r="3680" spans="3:3" hidden="1" outlineLevel="1" collapsed="1" x14ac:dyDescent="0.25">
      <c r="C3680" s="9">
        <f>Гамма!$B$573</f>
        <v>308807.2</v>
      </c>
    </row>
    <row r="3681" spans="3:3" hidden="1" outlineLevel="1" collapsed="1" x14ac:dyDescent="0.25">
      <c r="C3681" s="9">
        <f>Гамма!$B$598</f>
        <v>192874.03</v>
      </c>
    </row>
    <row r="3682" spans="3:3" hidden="1" outlineLevel="1" collapsed="1" x14ac:dyDescent="0.25">
      <c r="C3682" s="9">
        <f>Гамма!$B$624</f>
        <v>184506.76</v>
      </c>
    </row>
    <row r="3683" spans="3:3" hidden="1" outlineLevel="1" collapsed="1" x14ac:dyDescent="0.25">
      <c r="C3683" s="9">
        <f>Гамма!$B$650</f>
        <v>165017.94</v>
      </c>
    </row>
    <row r="3684" spans="3:3" hidden="1" outlineLevel="1" collapsed="1" x14ac:dyDescent="0.25">
      <c r="C3684" s="9">
        <f>Гамма!$B$676</f>
        <v>201719.34</v>
      </c>
    </row>
    <row r="3685" spans="3:3" hidden="1" outlineLevel="1" collapsed="1" x14ac:dyDescent="0.25">
      <c r="C3685" s="9">
        <f>Гамма!$B$702</f>
        <v>285047.96999999997</v>
      </c>
    </row>
    <row r="3686" spans="3:3" hidden="1" outlineLevel="1" collapsed="1" x14ac:dyDescent="0.25">
      <c r="C3686" s="9">
        <f>Гамма!$B$728</f>
        <v>229190.31</v>
      </c>
    </row>
    <row r="3687" spans="3:3" hidden="1" outlineLevel="1" collapsed="1" x14ac:dyDescent="0.25">
      <c r="C3687" s="9">
        <f>Гамма!$B$752</f>
        <v>165344.51</v>
      </c>
    </row>
    <row r="3688" spans="3:3" hidden="1" outlineLevel="1" collapsed="1" x14ac:dyDescent="0.25">
      <c r="C3688" s="9">
        <f>Гамма!$B$778</f>
        <v>188473.51</v>
      </c>
    </row>
    <row r="3689" spans="3:3" hidden="1" outlineLevel="1" collapsed="1" x14ac:dyDescent="0.25">
      <c r="C3689" s="9">
        <f>Гамма!$B$802</f>
        <v>160798.01999999999</v>
      </c>
    </row>
    <row r="3690" spans="3:3" hidden="1" outlineLevel="1" collapsed="1" x14ac:dyDescent="0.25">
      <c r="C3690" s="9">
        <f>Гамма!$B$828</f>
        <v>196754.29</v>
      </c>
    </row>
    <row r="3691" spans="3:3" hidden="1" outlineLevel="1" collapsed="1" x14ac:dyDescent="0.25">
      <c r="C3691" s="9">
        <f>Гамма!$B$854</f>
        <v>244027.67</v>
      </c>
    </row>
    <row r="3692" spans="3:3" hidden="1" outlineLevel="1" collapsed="1" x14ac:dyDescent="0.25">
      <c r="C3692" s="9">
        <f>Гамма!$B$880</f>
        <v>316717.17</v>
      </c>
    </row>
    <row r="3693" spans="3:3" hidden="1" outlineLevel="1" collapsed="1" x14ac:dyDescent="0.25">
      <c r="C3693" s="9">
        <f>Гамма!$B$906</f>
        <v>246525.62</v>
      </c>
    </row>
    <row r="3694" spans="3:3" hidden="1" outlineLevel="1" collapsed="1" x14ac:dyDescent="0.25">
      <c r="C3694" s="9">
        <f>Гамма!$B$932</f>
        <v>265252.11</v>
      </c>
    </row>
    <row r="3695" spans="3:3" hidden="1" outlineLevel="1" collapsed="1" x14ac:dyDescent="0.25">
      <c r="C3695" s="9">
        <f>Гамма!$B$957</f>
        <v>160582.76</v>
      </c>
    </row>
    <row r="3696" spans="3:3" hidden="1" outlineLevel="1" collapsed="1" x14ac:dyDescent="0.25">
      <c r="C3696" s="9">
        <f>Гамма!$B$983</f>
        <v>114107.81</v>
      </c>
    </row>
    <row r="3697" spans="2:3" hidden="1" outlineLevel="1" collapsed="1" x14ac:dyDescent="0.25">
      <c r="C3697" s="9">
        <f>Гамма!$B$1009</f>
        <v>138794.01999999999</v>
      </c>
    </row>
    <row r="3698" spans="2:3" hidden="1" outlineLevel="1" collapsed="1" x14ac:dyDescent="0.25">
      <c r="C3698" s="9">
        <f>Гамма!$B$1034</f>
        <v>170795.49</v>
      </c>
    </row>
    <row r="3699" spans="2:3" hidden="1" outlineLevel="1" collapsed="1" x14ac:dyDescent="0.25">
      <c r="C3699" s="9">
        <f>Гамма!$B$1058</f>
        <v>218498.71</v>
      </c>
    </row>
    <row r="3700" spans="2:3" hidden="1" outlineLevel="1" collapsed="1" x14ac:dyDescent="0.25">
      <c r="C3700" s="9">
        <f>Гамма!$B$1083</f>
        <v>190074.26</v>
      </c>
    </row>
    <row r="3701" spans="2:3" hidden="1" outlineLevel="1" collapsed="1" x14ac:dyDescent="0.25">
      <c r="C3701" s="9">
        <f>Гамма!$B$1109</f>
        <v>149589.88</v>
      </c>
    </row>
    <row r="3702" spans="2:3" hidden="1" outlineLevel="1" collapsed="1" x14ac:dyDescent="0.25">
      <c r="C3702" s="9">
        <f>Гамма!$B$1133</f>
        <v>168549.7</v>
      </c>
    </row>
    <row r="3703" spans="2:3" hidden="1" outlineLevel="1" collapsed="1" x14ac:dyDescent="0.25">
      <c r="C3703" s="9">
        <f>Гамма!$B$1157</f>
        <v>175636.83</v>
      </c>
    </row>
    <row r="3704" spans="2:3" hidden="1" outlineLevel="1" collapsed="1" x14ac:dyDescent="0.25">
      <c r="C3704" s="9">
        <f>Гамма!$B$1183</f>
        <v>166103.32999999999</v>
      </c>
    </row>
    <row r="3705" spans="2:3" hidden="1" outlineLevel="1" collapsed="1" x14ac:dyDescent="0.25">
      <c r="C3705" s="9">
        <f>Гамма!$B$1207</f>
        <v>295484.68</v>
      </c>
    </row>
    <row r="3706" spans="2:3" hidden="1" outlineLevel="1" collapsed="1" x14ac:dyDescent="0.25">
      <c r="C3706" s="9">
        <f>Гамма!$B$1232</f>
        <v>361931.59</v>
      </c>
    </row>
    <row r="3707" spans="2:3" hidden="1" outlineLevel="1" collapsed="1" x14ac:dyDescent="0.25">
      <c r="C3707" s="9">
        <f>Гамма!$B$1257</f>
        <v>181892.75</v>
      </c>
    </row>
    <row r="3708" spans="2:3" hidden="1" outlineLevel="1" collapsed="1" x14ac:dyDescent="0.25">
      <c r="B3708" t="s">
        <v>72</v>
      </c>
      <c r="C3708" s="9">
        <f>Дельта!$B$22</f>
        <v>63831.63</v>
      </c>
    </row>
    <row r="3709" spans="2:3" hidden="1" outlineLevel="1" collapsed="1" x14ac:dyDescent="0.25">
      <c r="C3709" s="9">
        <f>Дельта!$B$48</f>
        <v>62891.26</v>
      </c>
    </row>
    <row r="3710" spans="2:3" hidden="1" outlineLevel="1" collapsed="1" x14ac:dyDescent="0.25">
      <c r="C3710" s="9">
        <f>Дельта!$B$74</f>
        <v>63554.7</v>
      </c>
    </row>
    <row r="3711" spans="2:3" hidden="1" outlineLevel="1" collapsed="1" x14ac:dyDescent="0.25">
      <c r="C3711" s="9">
        <f>Дельта!$B$100</f>
        <v>51769</v>
      </c>
    </row>
    <row r="3712" spans="2:3" hidden="1" outlineLevel="1" collapsed="1" x14ac:dyDescent="0.25">
      <c r="C3712" s="9">
        <f>Дельта!$B$126</f>
        <v>73529</v>
      </c>
    </row>
    <row r="3713" spans="3:3" hidden="1" outlineLevel="1" collapsed="1" x14ac:dyDescent="0.25">
      <c r="C3713" s="9">
        <f>Дельта!$B$152</f>
        <v>67181</v>
      </c>
    </row>
    <row r="3714" spans="3:3" hidden="1" outlineLevel="1" collapsed="1" x14ac:dyDescent="0.25">
      <c r="C3714" s="9">
        <f>Дельта!$B$177</f>
        <v>64024.88</v>
      </c>
    </row>
    <row r="3715" spans="3:3" hidden="1" outlineLevel="1" collapsed="1" x14ac:dyDescent="0.25">
      <c r="C3715" s="9">
        <f>Дельта!$B$203</f>
        <v>61519</v>
      </c>
    </row>
    <row r="3716" spans="3:3" hidden="1" outlineLevel="1" collapsed="1" x14ac:dyDescent="0.25">
      <c r="C3716" s="9">
        <f>Дельта!$B$229</f>
        <v>54846.46</v>
      </c>
    </row>
    <row r="3717" spans="3:3" hidden="1" outlineLevel="1" collapsed="1" x14ac:dyDescent="0.25">
      <c r="C3717" s="9">
        <f>Дельта!$B$254</f>
        <v>45125</v>
      </c>
    </row>
    <row r="3718" spans="3:3" hidden="1" outlineLevel="1" collapsed="1" x14ac:dyDescent="0.25">
      <c r="C3718" s="9">
        <f>Дельта!$B$280</f>
        <v>51914</v>
      </c>
    </row>
    <row r="3719" spans="3:3" hidden="1" outlineLevel="1" collapsed="1" x14ac:dyDescent="0.25">
      <c r="C3719" s="9">
        <f>Дельта!$B$306</f>
        <v>63125</v>
      </c>
    </row>
    <row r="3720" spans="3:3" hidden="1" outlineLevel="1" collapsed="1" x14ac:dyDescent="0.25">
      <c r="C3720" s="9">
        <f>Дельта!$B$332</f>
        <v>74042</v>
      </c>
    </row>
    <row r="3721" spans="3:3" hidden="1" outlineLevel="1" collapsed="1" x14ac:dyDescent="0.25">
      <c r="C3721" s="9">
        <f>Дельта!$B$358</f>
        <v>67767</v>
      </c>
    </row>
    <row r="3722" spans="3:3" hidden="1" outlineLevel="1" collapsed="1" x14ac:dyDescent="0.25">
      <c r="C3722" s="9">
        <f>Дельта!$B$384</f>
        <v>54624</v>
      </c>
    </row>
    <row r="3723" spans="3:3" hidden="1" outlineLevel="1" collapsed="1" x14ac:dyDescent="0.25">
      <c r="C3723" s="9">
        <f>Дельта!$B$410</f>
        <v>51691</v>
      </c>
    </row>
    <row r="3724" spans="3:3" hidden="1" outlineLevel="1" collapsed="1" x14ac:dyDescent="0.25">
      <c r="C3724" s="9">
        <f>Дельта!$B$436</f>
        <v>59673</v>
      </c>
    </row>
    <row r="3725" spans="3:3" hidden="1" outlineLevel="1" collapsed="1" x14ac:dyDescent="0.25">
      <c r="C3725" s="9">
        <f>Дельта!$B$462</f>
        <v>74559</v>
      </c>
    </row>
    <row r="3726" spans="3:3" hidden="1" outlineLevel="1" collapsed="1" x14ac:dyDescent="0.25">
      <c r="C3726" s="9">
        <f>Дельта!$B$488</f>
        <v>64869</v>
      </c>
    </row>
    <row r="3727" spans="3:3" hidden="1" outlineLevel="1" collapsed="1" x14ac:dyDescent="0.25">
      <c r="C3727" s="9">
        <f>Дельта!$B$514</f>
        <v>79570</v>
      </c>
    </row>
    <row r="3728" spans="3:3" hidden="1" outlineLevel="1" collapsed="1" x14ac:dyDescent="0.25">
      <c r="C3728" s="9">
        <f>Дельта!$B$540</f>
        <v>76426</v>
      </c>
    </row>
    <row r="3729" spans="3:3" hidden="1" outlineLevel="1" collapsed="1" x14ac:dyDescent="0.25">
      <c r="C3729" s="9">
        <f>Дельта!$B$566</f>
        <v>49883</v>
      </c>
    </row>
    <row r="3730" spans="3:3" hidden="1" outlineLevel="1" collapsed="1" x14ac:dyDescent="0.25">
      <c r="C3730" s="9">
        <f>Дельта!$B$592</f>
        <v>36868</v>
      </c>
    </row>
    <row r="3731" spans="3:3" hidden="1" outlineLevel="1" collapsed="1" x14ac:dyDescent="0.25">
      <c r="C3731" s="9">
        <f>Дельта!$B$618</f>
        <v>46342</v>
      </c>
    </row>
    <row r="3732" spans="3:3" hidden="1" outlineLevel="1" collapsed="1" x14ac:dyDescent="0.25">
      <c r="C3732" s="9">
        <f>Дельта!$B$643</f>
        <v>48838</v>
      </c>
    </row>
    <row r="3733" spans="3:3" hidden="1" outlineLevel="1" collapsed="1" x14ac:dyDescent="0.25">
      <c r="C3733" s="9">
        <f>Дельта!$B$670</f>
        <v>47149</v>
      </c>
    </row>
    <row r="3734" spans="3:3" hidden="1" outlineLevel="1" collapsed="1" x14ac:dyDescent="0.25">
      <c r="C3734" s="9">
        <f>Дельта!$B$696</f>
        <v>57165</v>
      </c>
    </row>
    <row r="3735" spans="3:3" hidden="1" outlineLevel="1" collapsed="1" x14ac:dyDescent="0.25">
      <c r="C3735" s="9">
        <f>Дельта!$B$722</f>
        <v>42533</v>
      </c>
    </row>
    <row r="3736" spans="3:3" hidden="1" outlineLevel="1" collapsed="1" x14ac:dyDescent="0.25">
      <c r="C3736" s="9">
        <f>Дельта!$B$747</f>
        <v>48609</v>
      </c>
    </row>
    <row r="3737" spans="3:3" hidden="1" outlineLevel="1" collapsed="1" x14ac:dyDescent="0.25">
      <c r="C3737" s="9">
        <f>Дельта!$B$773</f>
        <v>31823.63</v>
      </c>
    </row>
    <row r="3738" spans="3:3" hidden="1" outlineLevel="1" collapsed="1" x14ac:dyDescent="0.25">
      <c r="C3738" s="9">
        <f>Дельта!$B$798</f>
        <v>39882</v>
      </c>
    </row>
    <row r="3739" spans="3:3" hidden="1" outlineLevel="1" collapsed="1" x14ac:dyDescent="0.25">
      <c r="C3739" s="9">
        <f>Дельта!$B$824</f>
        <v>44703</v>
      </c>
    </row>
    <row r="3740" spans="3:3" hidden="1" outlineLevel="1" collapsed="1" x14ac:dyDescent="0.25">
      <c r="C3740" s="9">
        <f>Дельта!$B$850</f>
        <v>51528</v>
      </c>
    </row>
    <row r="3741" spans="3:3" hidden="1" outlineLevel="1" collapsed="1" x14ac:dyDescent="0.25">
      <c r="C3741" s="9">
        <f>Дельта!$B$876</f>
        <v>62850</v>
      </c>
    </row>
    <row r="3742" spans="3:3" hidden="1" outlineLevel="1" collapsed="1" x14ac:dyDescent="0.25">
      <c r="C3742" s="9">
        <f>Дельта!$B$902</f>
        <v>62570</v>
      </c>
    </row>
    <row r="3743" spans="3:3" hidden="1" outlineLevel="1" collapsed="1" x14ac:dyDescent="0.25">
      <c r="C3743" s="9">
        <f>Дельта!$B$928</f>
        <v>51317</v>
      </c>
    </row>
    <row r="3744" spans="3:3" hidden="1" outlineLevel="1" collapsed="1" x14ac:dyDescent="0.25">
      <c r="C3744" s="9">
        <f>Дельта!$B$953</f>
        <v>32043.09</v>
      </c>
    </row>
    <row r="3745" spans="1:3" hidden="1" outlineLevel="1" collapsed="1" x14ac:dyDescent="0.25">
      <c r="C3745" s="9">
        <f>Дельта!$B$979</f>
        <v>25988.25</v>
      </c>
    </row>
    <row r="3746" spans="1:3" hidden="1" outlineLevel="1" collapsed="1" x14ac:dyDescent="0.25">
      <c r="C3746" s="9">
        <f>Дельта!$B$1004</f>
        <v>42231</v>
      </c>
    </row>
    <row r="3747" spans="1:3" hidden="1" outlineLevel="1" collapsed="1" x14ac:dyDescent="0.25">
      <c r="C3747" s="9">
        <f>Дельта!$B$1029</f>
        <v>33467</v>
      </c>
    </row>
    <row r="3748" spans="1:3" hidden="1" outlineLevel="1" collapsed="1" x14ac:dyDescent="0.25">
      <c r="C3748" s="9">
        <f>Дельта!$B$1055</f>
        <v>41911.4</v>
      </c>
    </row>
    <row r="3749" spans="1:3" hidden="1" outlineLevel="1" collapsed="1" x14ac:dyDescent="0.25">
      <c r="C3749" s="9">
        <f>Дельта!$B$1081</f>
        <v>42276.07</v>
      </c>
    </row>
    <row r="3750" spans="1:3" hidden="1" outlineLevel="1" collapsed="1" x14ac:dyDescent="0.25">
      <c r="C3750" s="9">
        <f>Дельта!$B$1105</f>
        <v>38930</v>
      </c>
    </row>
    <row r="3751" spans="1:3" hidden="1" outlineLevel="1" collapsed="1" x14ac:dyDescent="0.25">
      <c r="C3751" s="9">
        <f>Дельта!$B$1130</f>
        <v>29367</v>
      </c>
    </row>
    <row r="3752" spans="1:3" hidden="1" outlineLevel="1" collapsed="1" x14ac:dyDescent="0.25">
      <c r="C3752" s="9">
        <f>Дельта!$B$1155</f>
        <v>31203</v>
      </c>
    </row>
    <row r="3753" spans="1:3" hidden="1" outlineLevel="1" collapsed="1" x14ac:dyDescent="0.25">
      <c r="C3753" s="9">
        <f>Дельта!$B$1178</f>
        <v>28491.53</v>
      </c>
    </row>
    <row r="3754" spans="1:3" hidden="1" outlineLevel="1" collapsed="1" x14ac:dyDescent="0.25">
      <c r="C3754" s="9">
        <f>Дельта!$B$1202</f>
        <v>53581.79</v>
      </c>
    </row>
    <row r="3755" spans="1:3" hidden="1" outlineLevel="1" collapsed="1" x14ac:dyDescent="0.25">
      <c r="C3755" s="9">
        <f>Дельта!$B$1227</f>
        <v>54782</v>
      </c>
    </row>
    <row r="3756" spans="1:3" hidden="1" outlineLevel="1" collapsed="1" x14ac:dyDescent="0.25">
      <c r="C3756" s="9">
        <f>Дельта!$B$1251</f>
        <v>30205</v>
      </c>
    </row>
    <row r="3757" spans="1:3" collapsed="1" x14ac:dyDescent="0.25">
      <c r="A3757" t="s">
        <v>22</v>
      </c>
      <c r="C3757" s="9">
        <f>SUM(C3561:C3756)</f>
        <v>25031292.430000003</v>
      </c>
    </row>
    <row r="3758" spans="1:3" hidden="1" outlineLevel="1" x14ac:dyDescent="0.25">
      <c r="B3758" t="s">
        <v>72</v>
      </c>
      <c r="C3758" s="9">
        <f>Альфа!$B$23</f>
        <v>266</v>
      </c>
    </row>
    <row r="3759" spans="1:3" hidden="1" outlineLevel="1" collapsed="1" x14ac:dyDescent="0.25">
      <c r="C3759" s="9">
        <f>Альфа!$B$49</f>
        <v>76</v>
      </c>
    </row>
    <row r="3760" spans="1:3" hidden="1" outlineLevel="1" collapsed="1" x14ac:dyDescent="0.25">
      <c r="C3760" s="9">
        <f>Альфа!$B$75</f>
        <v>361</v>
      </c>
    </row>
    <row r="3761" spans="3:3" hidden="1" outlineLevel="1" collapsed="1" x14ac:dyDescent="0.25">
      <c r="C3761" s="9">
        <f>Альфа!$B$101</f>
        <v>133</v>
      </c>
    </row>
    <row r="3762" spans="3:3" hidden="1" outlineLevel="1" collapsed="1" x14ac:dyDescent="0.25">
      <c r="C3762" s="9">
        <f>Альфа!$B$128</f>
        <v>247</v>
      </c>
    </row>
    <row r="3763" spans="3:3" hidden="1" outlineLevel="1" collapsed="1" x14ac:dyDescent="0.25">
      <c r="C3763" s="9">
        <f>Альфа!$B$155</f>
        <v>76</v>
      </c>
    </row>
    <row r="3764" spans="3:3" hidden="1" outlineLevel="1" collapsed="1" x14ac:dyDescent="0.25">
      <c r="C3764" s="9">
        <f>Альфа!$B$181</f>
        <v>247</v>
      </c>
    </row>
    <row r="3765" spans="3:3" hidden="1" outlineLevel="1" collapsed="1" x14ac:dyDescent="0.25">
      <c r="C3765" s="9">
        <f>Альфа!$B$207</f>
        <v>114</v>
      </c>
    </row>
    <row r="3766" spans="3:3" hidden="1" outlineLevel="1" collapsed="1" x14ac:dyDescent="0.25">
      <c r="C3766" s="9">
        <f>Альфа!$B$233</f>
        <v>133</v>
      </c>
    </row>
    <row r="3767" spans="3:3" hidden="1" outlineLevel="1" collapsed="1" x14ac:dyDescent="0.25">
      <c r="C3767" s="9">
        <f>Альфа!$B$260</f>
        <v>76</v>
      </c>
    </row>
    <row r="3768" spans="3:3" hidden="1" outlineLevel="1" collapsed="1" x14ac:dyDescent="0.25">
      <c r="C3768" s="9">
        <f>Альфа!$B$286</f>
        <v>152</v>
      </c>
    </row>
    <row r="3769" spans="3:3" hidden="1" outlineLevel="1" collapsed="1" x14ac:dyDescent="0.25">
      <c r="C3769" s="9">
        <f>Альфа!$B$312</f>
        <v>209</v>
      </c>
    </row>
    <row r="3770" spans="3:3" hidden="1" outlineLevel="1" collapsed="1" x14ac:dyDescent="0.25">
      <c r="C3770" s="9">
        <f>Альфа!$B$338</f>
        <v>152</v>
      </c>
    </row>
    <row r="3771" spans="3:3" hidden="1" outlineLevel="1" collapsed="1" x14ac:dyDescent="0.25">
      <c r="C3771" s="9">
        <f>Альфа!$B$364</f>
        <v>38</v>
      </c>
    </row>
    <row r="3772" spans="3:3" hidden="1" outlineLevel="1" collapsed="1" x14ac:dyDescent="0.25">
      <c r="C3772" s="9">
        <f>Альфа!$B$391</f>
        <v>114</v>
      </c>
    </row>
    <row r="3773" spans="3:3" hidden="1" outlineLevel="1" collapsed="1" x14ac:dyDescent="0.25">
      <c r="C3773" s="9">
        <f>Альфа!$B$417</f>
        <v>171</v>
      </c>
    </row>
    <row r="3774" spans="3:3" hidden="1" outlineLevel="1" collapsed="1" x14ac:dyDescent="0.25">
      <c r="C3774" s="9">
        <f>Альфа!$B$442</f>
        <v>76</v>
      </c>
    </row>
    <row r="3775" spans="3:3" hidden="1" outlineLevel="1" collapsed="1" x14ac:dyDescent="0.25">
      <c r="C3775" s="9">
        <f>Альфа!$B$467</f>
        <v>57</v>
      </c>
    </row>
    <row r="3776" spans="3:3" hidden="1" outlineLevel="1" collapsed="1" x14ac:dyDescent="0.25">
      <c r="C3776" s="9">
        <f>Альфа!$B$493</f>
        <v>76</v>
      </c>
    </row>
    <row r="3777" spans="3:3" hidden="1" outlineLevel="1" collapsed="1" x14ac:dyDescent="0.25">
      <c r="C3777" s="9">
        <f>Альфа!$B$518</f>
        <v>247</v>
      </c>
    </row>
    <row r="3778" spans="3:3" hidden="1" outlineLevel="1" collapsed="1" x14ac:dyDescent="0.25">
      <c r="C3778" s="9">
        <f>Альфа!$B$543</f>
        <v>418</v>
      </c>
    </row>
    <row r="3779" spans="3:3" hidden="1" outlineLevel="1" collapsed="1" x14ac:dyDescent="0.25">
      <c r="C3779" s="9">
        <f>Альфа!$B$593</f>
        <v>76</v>
      </c>
    </row>
    <row r="3780" spans="3:3" hidden="1" outlineLevel="1" collapsed="1" x14ac:dyDescent="0.25">
      <c r="C3780" s="9">
        <f>Альфа!$B$617</f>
        <v>38</v>
      </c>
    </row>
    <row r="3781" spans="3:3" hidden="1" outlineLevel="1" collapsed="1" x14ac:dyDescent="0.25">
      <c r="C3781" s="9">
        <f>Альфа!$B$642</f>
        <v>57</v>
      </c>
    </row>
    <row r="3782" spans="3:3" hidden="1" outlineLevel="1" collapsed="1" x14ac:dyDescent="0.25">
      <c r="C3782" s="9">
        <f>Альфа!$B$667</f>
        <v>190</v>
      </c>
    </row>
    <row r="3783" spans="3:3" hidden="1" outlineLevel="1" collapsed="1" x14ac:dyDescent="0.25">
      <c r="C3783" s="9">
        <f>Альфа!$B$692</f>
        <v>95</v>
      </c>
    </row>
    <row r="3784" spans="3:3" hidden="1" outlineLevel="1" collapsed="1" x14ac:dyDescent="0.25">
      <c r="C3784" s="9">
        <f>Альфа!$B$718</f>
        <v>76</v>
      </c>
    </row>
    <row r="3785" spans="3:3" hidden="1" outlineLevel="1" collapsed="1" x14ac:dyDescent="0.25">
      <c r="C3785" s="9">
        <f>Альфа!$B$767</f>
        <v>76</v>
      </c>
    </row>
    <row r="3786" spans="3:3" hidden="1" outlineLevel="1" collapsed="1" x14ac:dyDescent="0.25">
      <c r="C3786" s="9">
        <f>Альфа!$B$815</f>
        <v>38</v>
      </c>
    </row>
    <row r="3787" spans="3:3" hidden="1" outlineLevel="1" collapsed="1" x14ac:dyDescent="0.25">
      <c r="C3787" s="9">
        <f>Альфа!$B$839</f>
        <v>57</v>
      </c>
    </row>
    <row r="3788" spans="3:3" hidden="1" outlineLevel="1" collapsed="1" x14ac:dyDescent="0.25">
      <c r="C3788" s="9">
        <f>Альфа!$B$864</f>
        <v>19</v>
      </c>
    </row>
    <row r="3789" spans="3:3" hidden="1" outlineLevel="1" collapsed="1" x14ac:dyDescent="0.25">
      <c r="C3789" s="9">
        <f>Альфа!$B$889</f>
        <v>152</v>
      </c>
    </row>
    <row r="3790" spans="3:3" hidden="1" outlineLevel="1" collapsed="1" x14ac:dyDescent="0.25">
      <c r="C3790" s="9">
        <f>Альфа!$B$914</f>
        <v>57</v>
      </c>
    </row>
    <row r="3791" spans="3:3" hidden="1" outlineLevel="1" collapsed="1" x14ac:dyDescent="0.25">
      <c r="C3791" s="9">
        <f>Альфа!$B$939</f>
        <v>19</v>
      </c>
    </row>
    <row r="3792" spans="3:3" hidden="1" outlineLevel="1" collapsed="1" x14ac:dyDescent="0.25">
      <c r="C3792" s="9">
        <f>Альфа!$B$964</f>
        <v>133</v>
      </c>
    </row>
    <row r="3793" spans="2:3" hidden="1" outlineLevel="1" collapsed="1" x14ac:dyDescent="0.25">
      <c r="C3793" s="9">
        <f>Альфа!$B$989</f>
        <v>38</v>
      </c>
    </row>
    <row r="3794" spans="2:3" hidden="1" outlineLevel="1" collapsed="1" x14ac:dyDescent="0.25">
      <c r="C3794" s="9">
        <f>Альфа!$B$1090</f>
        <v>76</v>
      </c>
    </row>
    <row r="3795" spans="2:3" hidden="1" outlineLevel="1" collapsed="1" x14ac:dyDescent="0.25">
      <c r="C3795" s="9">
        <f>Альфа!$B$1140</f>
        <v>19</v>
      </c>
    </row>
    <row r="3796" spans="2:3" hidden="1" outlineLevel="1" collapsed="1" x14ac:dyDescent="0.25">
      <c r="C3796" s="9">
        <f>Альфа!$B$1165</f>
        <v>209.75</v>
      </c>
    </row>
    <row r="3797" spans="2:3" hidden="1" outlineLevel="1" collapsed="1" x14ac:dyDescent="0.25">
      <c r="C3797" s="9">
        <f>Альфа!$B$1191</f>
        <v>266</v>
      </c>
    </row>
    <row r="3798" spans="2:3" hidden="1" outlineLevel="1" collapsed="1" x14ac:dyDescent="0.25">
      <c r="C3798" s="9">
        <f>Альфа!$B$1217</f>
        <v>57</v>
      </c>
    </row>
    <row r="3799" spans="2:3" hidden="1" outlineLevel="1" collapsed="1" x14ac:dyDescent="0.25">
      <c r="B3799" t="s">
        <v>72</v>
      </c>
      <c r="C3799" s="9">
        <f>Гамма!$B$23</f>
        <v>892</v>
      </c>
    </row>
    <row r="3800" spans="2:3" hidden="1" outlineLevel="1" collapsed="1" x14ac:dyDescent="0.25">
      <c r="C3800" s="9">
        <f>Гамма!$B$50</f>
        <v>152</v>
      </c>
    </row>
    <row r="3801" spans="2:3" hidden="1" outlineLevel="1" collapsed="1" x14ac:dyDescent="0.25">
      <c r="C3801" s="9">
        <f>Гамма!$B$77</f>
        <v>456</v>
      </c>
    </row>
    <row r="3802" spans="2:3" hidden="1" outlineLevel="1" collapsed="1" x14ac:dyDescent="0.25">
      <c r="C3802" s="9">
        <f>Гамма!$B$182</f>
        <v>380</v>
      </c>
    </row>
    <row r="3803" spans="2:3" hidden="1" outlineLevel="1" collapsed="1" x14ac:dyDescent="0.25">
      <c r="C3803" s="9">
        <f>Гамма!$B$209</f>
        <v>532</v>
      </c>
    </row>
    <row r="3804" spans="2:3" hidden="1" outlineLevel="1" collapsed="1" x14ac:dyDescent="0.25">
      <c r="C3804" s="9">
        <f>Гамма!$B$261</f>
        <v>760</v>
      </c>
    </row>
    <row r="3805" spans="2:3" hidden="1" outlineLevel="1" collapsed="1" x14ac:dyDescent="0.25">
      <c r="C3805" s="9">
        <f>Гамма!$B$287</f>
        <v>152</v>
      </c>
    </row>
    <row r="3806" spans="2:3" hidden="1" outlineLevel="1" collapsed="1" x14ac:dyDescent="0.25">
      <c r="C3806" s="9">
        <f>Гамма!$B$313</f>
        <v>304</v>
      </c>
    </row>
    <row r="3807" spans="2:3" hidden="1" outlineLevel="1" collapsed="1" x14ac:dyDescent="0.25">
      <c r="C3807" s="9">
        <f>Гамма!$B$339</f>
        <v>684</v>
      </c>
    </row>
    <row r="3808" spans="2:3" hidden="1" outlineLevel="1" collapsed="1" x14ac:dyDescent="0.25">
      <c r="C3808" s="9">
        <f>Гамма!$B$390</f>
        <v>1064</v>
      </c>
    </row>
    <row r="3809" spans="3:3" hidden="1" outlineLevel="1" collapsed="1" x14ac:dyDescent="0.25">
      <c r="C3809" s="9">
        <f>Гамма!$B$417</f>
        <v>760</v>
      </c>
    </row>
    <row r="3810" spans="3:3" hidden="1" outlineLevel="1" collapsed="1" x14ac:dyDescent="0.25">
      <c r="C3810" s="9">
        <f>Гамма!$B$444</f>
        <v>304</v>
      </c>
    </row>
    <row r="3811" spans="3:3" hidden="1" outlineLevel="1" collapsed="1" x14ac:dyDescent="0.25">
      <c r="C3811" s="9">
        <f>Гамма!$B$470</f>
        <v>1788.31</v>
      </c>
    </row>
    <row r="3812" spans="3:3" hidden="1" outlineLevel="1" collapsed="1" x14ac:dyDescent="0.25">
      <c r="C3812" s="9">
        <f>Гамма!$B$496</f>
        <v>2463.58</v>
      </c>
    </row>
    <row r="3813" spans="3:3" hidden="1" outlineLevel="1" collapsed="1" x14ac:dyDescent="0.25">
      <c r="C3813" s="9">
        <f>Гамма!$B$522</f>
        <v>2635.67</v>
      </c>
    </row>
    <row r="3814" spans="3:3" hidden="1" outlineLevel="1" collapsed="1" x14ac:dyDescent="0.25">
      <c r="C3814" s="9">
        <f>Гамма!$B$548</f>
        <v>2164.81</v>
      </c>
    </row>
    <row r="3815" spans="3:3" hidden="1" outlineLevel="1" collapsed="1" x14ac:dyDescent="0.25">
      <c r="C3815" s="9">
        <f>Гамма!$B$599</f>
        <v>608</v>
      </c>
    </row>
    <row r="3816" spans="3:3" hidden="1" outlineLevel="1" collapsed="1" x14ac:dyDescent="0.25">
      <c r="C3816" s="9">
        <f>Гамма!$B$625</f>
        <v>76</v>
      </c>
    </row>
    <row r="3817" spans="3:3" hidden="1" outlineLevel="1" collapsed="1" x14ac:dyDescent="0.25">
      <c r="C3817" s="9">
        <f>Гамма!$B$651</f>
        <v>1140</v>
      </c>
    </row>
    <row r="3818" spans="3:3" hidden="1" outlineLevel="1" collapsed="1" x14ac:dyDescent="0.25">
      <c r="C3818" s="9">
        <f>Гамма!$B$677</f>
        <v>76</v>
      </c>
    </row>
    <row r="3819" spans="3:3" hidden="1" outlineLevel="1" collapsed="1" x14ac:dyDescent="0.25">
      <c r="C3819" s="9">
        <f>Гамма!$B$703</f>
        <v>1140</v>
      </c>
    </row>
    <row r="3820" spans="3:3" hidden="1" outlineLevel="1" collapsed="1" x14ac:dyDescent="0.25">
      <c r="C3820" s="9">
        <f>Гамма!$B$729</f>
        <v>684</v>
      </c>
    </row>
    <row r="3821" spans="3:3" hidden="1" outlineLevel="1" collapsed="1" x14ac:dyDescent="0.25">
      <c r="C3821" s="9">
        <f>Гамма!$B$753</f>
        <v>608</v>
      </c>
    </row>
    <row r="3822" spans="3:3" hidden="1" outlineLevel="1" collapsed="1" x14ac:dyDescent="0.25">
      <c r="C3822" s="9">
        <f>Гамма!$B$803</f>
        <v>760</v>
      </c>
    </row>
    <row r="3823" spans="3:3" hidden="1" outlineLevel="1" collapsed="1" x14ac:dyDescent="0.25">
      <c r="C3823" s="9">
        <f>Гамма!$B$829</f>
        <v>684</v>
      </c>
    </row>
    <row r="3824" spans="3:3" hidden="1" outlineLevel="1" collapsed="1" x14ac:dyDescent="0.25">
      <c r="C3824" s="9">
        <f>Гамма!$B$855</f>
        <v>608</v>
      </c>
    </row>
    <row r="3825" spans="2:3" hidden="1" outlineLevel="1" collapsed="1" x14ac:dyDescent="0.25">
      <c r="C3825" s="9">
        <f>Гамма!$B$881</f>
        <v>684</v>
      </c>
    </row>
    <row r="3826" spans="2:3" hidden="1" outlineLevel="1" collapsed="1" x14ac:dyDescent="0.25">
      <c r="C3826" s="9">
        <f>Гамма!$B$907</f>
        <v>456</v>
      </c>
    </row>
    <row r="3827" spans="2:3" hidden="1" outlineLevel="1" collapsed="1" x14ac:dyDescent="0.25">
      <c r="C3827" s="9">
        <f>Гамма!$B$933</f>
        <v>304</v>
      </c>
    </row>
    <row r="3828" spans="2:3" hidden="1" outlineLevel="1" collapsed="1" x14ac:dyDescent="0.25">
      <c r="C3828" s="9">
        <f>Гамма!$B$958</f>
        <v>152</v>
      </c>
    </row>
    <row r="3829" spans="2:3" hidden="1" outlineLevel="1" collapsed="1" x14ac:dyDescent="0.25">
      <c r="C3829" s="9">
        <f>Гамма!$B$984</f>
        <v>684</v>
      </c>
    </row>
    <row r="3830" spans="2:3" hidden="1" outlineLevel="1" collapsed="1" x14ac:dyDescent="0.25">
      <c r="C3830" s="9">
        <f>Гамма!$B$1010</f>
        <v>228</v>
      </c>
    </row>
    <row r="3831" spans="2:3" hidden="1" outlineLevel="1" collapsed="1" x14ac:dyDescent="0.25">
      <c r="C3831" s="9">
        <f>Гамма!$B$1035</f>
        <v>912</v>
      </c>
    </row>
    <row r="3832" spans="2:3" hidden="1" outlineLevel="1" collapsed="1" x14ac:dyDescent="0.25">
      <c r="C3832" s="9">
        <f>Гамма!$B$1059</f>
        <v>1140</v>
      </c>
    </row>
    <row r="3833" spans="2:3" hidden="1" outlineLevel="1" collapsed="1" x14ac:dyDescent="0.25">
      <c r="C3833" s="9">
        <f>Гамма!$B$1084</f>
        <v>532</v>
      </c>
    </row>
    <row r="3834" spans="2:3" hidden="1" outlineLevel="1" collapsed="1" x14ac:dyDescent="0.25">
      <c r="C3834" s="9">
        <f>Гамма!$B$1110</f>
        <v>228</v>
      </c>
    </row>
    <row r="3835" spans="2:3" hidden="1" outlineLevel="1" collapsed="1" x14ac:dyDescent="0.25">
      <c r="C3835" s="9">
        <f>Гамма!$B$1158</f>
        <v>1596</v>
      </c>
    </row>
    <row r="3836" spans="2:3" hidden="1" outlineLevel="1" collapsed="1" x14ac:dyDescent="0.25">
      <c r="C3836" s="9">
        <f>Гамма!$B$1208</f>
        <v>76</v>
      </c>
    </row>
    <row r="3837" spans="2:3" hidden="1" outlineLevel="1" collapsed="1" x14ac:dyDescent="0.25">
      <c r="C3837" s="9">
        <f>Гамма!$B$1233</f>
        <v>152</v>
      </c>
    </row>
    <row r="3838" spans="2:3" hidden="1" outlineLevel="1" collapsed="1" x14ac:dyDescent="0.25">
      <c r="C3838" s="9">
        <f>Гамма!$B$1258</f>
        <v>380</v>
      </c>
    </row>
    <row r="3839" spans="2:3" hidden="1" outlineLevel="1" collapsed="1" x14ac:dyDescent="0.25">
      <c r="B3839" t="s">
        <v>72</v>
      </c>
      <c r="C3839" s="9">
        <f>Дельта!$B$23</f>
        <v>5290.82</v>
      </c>
    </row>
    <row r="3840" spans="2:3" hidden="1" outlineLevel="1" collapsed="1" x14ac:dyDescent="0.25">
      <c r="C3840" s="9">
        <f>Дельта!$B$49</f>
        <v>3417.96</v>
      </c>
    </row>
    <row r="3841" spans="3:3" hidden="1" outlineLevel="1" collapsed="1" x14ac:dyDescent="0.25">
      <c r="C3841" s="9">
        <f>Дельта!$B$75</f>
        <v>5160.21</v>
      </c>
    </row>
    <row r="3842" spans="3:3" hidden="1" outlineLevel="1" collapsed="1" x14ac:dyDescent="0.25">
      <c r="C3842" s="9">
        <f>Дельта!$B$101</f>
        <v>5821</v>
      </c>
    </row>
    <row r="3843" spans="3:3" hidden="1" outlineLevel="1" collapsed="1" x14ac:dyDescent="0.25">
      <c r="C3843" s="9">
        <f>Дельта!$B$127</f>
        <v>4909</v>
      </c>
    </row>
    <row r="3844" spans="3:3" hidden="1" outlineLevel="1" collapsed="1" x14ac:dyDescent="0.25">
      <c r="C3844" s="9">
        <f>Дельта!$B$178</f>
        <v>3585.54</v>
      </c>
    </row>
    <row r="3845" spans="3:3" hidden="1" outlineLevel="1" collapsed="1" x14ac:dyDescent="0.25">
      <c r="C3845" s="9">
        <f>Дельта!$B$204</f>
        <v>5675</v>
      </c>
    </row>
    <row r="3846" spans="3:3" hidden="1" outlineLevel="1" collapsed="1" x14ac:dyDescent="0.25">
      <c r="C3846" s="9">
        <f>Дельта!$B$255</f>
        <v>2132</v>
      </c>
    </row>
    <row r="3847" spans="3:3" hidden="1" outlineLevel="1" collapsed="1" x14ac:dyDescent="0.25">
      <c r="C3847" s="9">
        <f>Дельта!$B$281</f>
        <v>3376</v>
      </c>
    </row>
    <row r="3848" spans="3:3" hidden="1" outlineLevel="1" collapsed="1" x14ac:dyDescent="0.25">
      <c r="C3848" s="9">
        <f>Дельта!$B$307</f>
        <v>3701</v>
      </c>
    </row>
    <row r="3849" spans="3:3" hidden="1" outlineLevel="1" collapsed="1" x14ac:dyDescent="0.25">
      <c r="C3849" s="9">
        <f>Дельта!$B$333</f>
        <v>7484</v>
      </c>
    </row>
    <row r="3850" spans="3:3" hidden="1" outlineLevel="1" collapsed="1" x14ac:dyDescent="0.25">
      <c r="C3850" s="9">
        <f>Дельта!$B$359</f>
        <v>924</v>
      </c>
    </row>
    <row r="3851" spans="3:3" hidden="1" outlineLevel="1" collapsed="1" x14ac:dyDescent="0.25">
      <c r="C3851" s="9">
        <f>Дельта!$B$385</f>
        <v>5173</v>
      </c>
    </row>
    <row r="3852" spans="3:3" hidden="1" outlineLevel="1" collapsed="1" x14ac:dyDescent="0.25">
      <c r="C3852" s="9">
        <f>Дельта!$B$411</f>
        <v>1067</v>
      </c>
    </row>
    <row r="3853" spans="3:3" hidden="1" outlineLevel="1" collapsed="1" x14ac:dyDescent="0.25">
      <c r="C3853" s="9">
        <f>Дельта!$B$437</f>
        <v>7763</v>
      </c>
    </row>
    <row r="3854" spans="3:3" hidden="1" outlineLevel="1" collapsed="1" x14ac:dyDescent="0.25">
      <c r="C3854" s="9">
        <f>Дельта!$B$463</f>
        <v>6666</v>
      </c>
    </row>
    <row r="3855" spans="3:3" hidden="1" outlineLevel="1" collapsed="1" x14ac:dyDescent="0.25">
      <c r="C3855" s="9">
        <f>Дельта!$B$489</f>
        <v>5192</v>
      </c>
    </row>
    <row r="3856" spans="3:3" hidden="1" outlineLevel="1" collapsed="1" x14ac:dyDescent="0.25">
      <c r="C3856" s="9">
        <f>Дельта!$B$515</f>
        <v>5988</v>
      </c>
    </row>
    <row r="3857" spans="3:3" hidden="1" outlineLevel="1" collapsed="1" x14ac:dyDescent="0.25">
      <c r="C3857" s="9">
        <f>Дельта!$B$541</f>
        <v>3576</v>
      </c>
    </row>
    <row r="3858" spans="3:3" hidden="1" outlineLevel="1" collapsed="1" x14ac:dyDescent="0.25">
      <c r="C3858" s="9">
        <f>Дельта!$B$567</f>
        <v>3820</v>
      </c>
    </row>
    <row r="3859" spans="3:3" hidden="1" outlineLevel="1" collapsed="1" x14ac:dyDescent="0.25">
      <c r="C3859" s="9">
        <f>Дельта!$B$593</f>
        <v>2111</v>
      </c>
    </row>
    <row r="3860" spans="3:3" hidden="1" outlineLevel="1" collapsed="1" x14ac:dyDescent="0.25">
      <c r="C3860" s="9">
        <f>Дельта!$B$619</f>
        <v>3878</v>
      </c>
    </row>
    <row r="3861" spans="3:3" hidden="1" outlineLevel="1" collapsed="1" x14ac:dyDescent="0.25">
      <c r="C3861" s="9">
        <f>Дельта!$B$644</f>
        <v>2469</v>
      </c>
    </row>
    <row r="3862" spans="3:3" hidden="1" outlineLevel="1" collapsed="1" x14ac:dyDescent="0.25">
      <c r="C3862" s="9">
        <f>Дельта!$B$671</f>
        <v>3234</v>
      </c>
    </row>
    <row r="3863" spans="3:3" hidden="1" outlineLevel="1" collapsed="1" x14ac:dyDescent="0.25">
      <c r="C3863" s="9">
        <f>Дельта!$B$697</f>
        <v>4412</v>
      </c>
    </row>
    <row r="3864" spans="3:3" hidden="1" outlineLevel="1" collapsed="1" x14ac:dyDescent="0.25">
      <c r="C3864" s="9">
        <f>Дельта!$B$748</f>
        <v>10954</v>
      </c>
    </row>
    <row r="3865" spans="3:3" hidden="1" outlineLevel="1" collapsed="1" x14ac:dyDescent="0.25">
      <c r="C3865" s="9">
        <f>Дельта!$B$774</f>
        <v>3522.31</v>
      </c>
    </row>
    <row r="3866" spans="3:3" hidden="1" outlineLevel="1" collapsed="1" x14ac:dyDescent="0.25">
      <c r="C3866" s="9">
        <f>Дельта!$B$799</f>
        <v>1175</v>
      </c>
    </row>
    <row r="3867" spans="3:3" hidden="1" outlineLevel="1" collapsed="1" x14ac:dyDescent="0.25">
      <c r="C3867" s="9">
        <f>Дельта!$B$825</f>
        <v>4255</v>
      </c>
    </row>
    <row r="3868" spans="3:3" hidden="1" outlineLevel="1" collapsed="1" x14ac:dyDescent="0.25">
      <c r="C3868" s="9">
        <f>Дельта!$B$851</f>
        <v>3994</v>
      </c>
    </row>
    <row r="3869" spans="3:3" hidden="1" outlineLevel="1" collapsed="1" x14ac:dyDescent="0.25">
      <c r="C3869" s="9">
        <f>Дельта!$B$877</f>
        <v>5110</v>
      </c>
    </row>
    <row r="3870" spans="3:3" hidden="1" outlineLevel="1" collapsed="1" x14ac:dyDescent="0.25">
      <c r="C3870" s="9">
        <f>Дельта!$B$903</f>
        <v>5609</v>
      </c>
    </row>
    <row r="3871" spans="3:3" hidden="1" outlineLevel="1" collapsed="1" x14ac:dyDescent="0.25">
      <c r="C3871" s="9">
        <f>Дельта!$B$929</f>
        <v>5542</v>
      </c>
    </row>
    <row r="3872" spans="3:3" hidden="1" outlineLevel="1" collapsed="1" x14ac:dyDescent="0.25">
      <c r="C3872" s="9">
        <f>Дельта!$B$954</f>
        <v>1080.54</v>
      </c>
    </row>
    <row r="3873" spans="1:3" hidden="1" outlineLevel="1" collapsed="1" x14ac:dyDescent="0.25">
      <c r="C3873" s="9">
        <f>Дельта!$B$980</f>
        <v>1256.9000000000001</v>
      </c>
    </row>
    <row r="3874" spans="1:3" hidden="1" outlineLevel="1" collapsed="1" x14ac:dyDescent="0.25">
      <c r="C3874" s="9">
        <f>Дельта!$B$1005</f>
        <v>3309</v>
      </c>
    </row>
    <row r="3875" spans="1:3" hidden="1" outlineLevel="1" collapsed="1" x14ac:dyDescent="0.25">
      <c r="C3875" s="9">
        <f>Дельта!$B$1030</f>
        <v>1947</v>
      </c>
    </row>
    <row r="3876" spans="1:3" hidden="1" outlineLevel="1" collapsed="1" x14ac:dyDescent="0.25">
      <c r="C3876" s="9">
        <f>Дельта!$B$1056</f>
        <v>1336.4</v>
      </c>
    </row>
    <row r="3877" spans="1:3" hidden="1" outlineLevel="1" collapsed="1" x14ac:dyDescent="0.25">
      <c r="C3877" s="9">
        <f>Дельта!$B$1106</f>
        <v>1155</v>
      </c>
    </row>
    <row r="3878" spans="1:3" hidden="1" outlineLevel="1" collapsed="1" x14ac:dyDescent="0.25">
      <c r="C3878" s="9">
        <f>Дельта!$B$1131</f>
        <v>4953</v>
      </c>
    </row>
    <row r="3879" spans="1:3" hidden="1" outlineLevel="1" collapsed="1" x14ac:dyDescent="0.25">
      <c r="C3879" s="9">
        <f>Дельта!$B$1203</f>
        <v>5387.8</v>
      </c>
    </row>
    <row r="3880" spans="1:3" hidden="1" outlineLevel="1" collapsed="1" x14ac:dyDescent="0.25">
      <c r="C3880" s="9">
        <f>Дельта!$B$1228</f>
        <v>3743</v>
      </c>
    </row>
    <row r="3881" spans="1:3" hidden="1" outlineLevel="1" collapsed="1" x14ac:dyDescent="0.25">
      <c r="C3881" s="9">
        <f>Дельта!$B$1252</f>
        <v>2151</v>
      </c>
    </row>
    <row r="3882" spans="1:3" collapsed="1" x14ac:dyDescent="0.25">
      <c r="A3882" t="s">
        <v>23</v>
      </c>
      <c r="C3882" s="9">
        <f>SUM(C3758:C3881)</f>
        <v>207894.59999999998</v>
      </c>
    </row>
    <row r="3883" spans="1:3" hidden="1" outlineLevel="1" x14ac:dyDescent="0.25">
      <c r="B3883" t="s">
        <v>72</v>
      </c>
      <c r="C3883" s="9">
        <f>Альфа!$B$24</f>
        <v>1315.48</v>
      </c>
    </row>
    <row r="3884" spans="1:3" hidden="1" outlineLevel="1" collapsed="1" x14ac:dyDescent="0.25">
      <c r="C3884" s="9">
        <f>Альфа!$B$50</f>
        <v>1705.72</v>
      </c>
    </row>
    <row r="3885" spans="1:3" hidden="1" outlineLevel="1" collapsed="1" x14ac:dyDescent="0.25">
      <c r="C3885" s="9">
        <f>Альфа!$B$76</f>
        <v>2133.96</v>
      </c>
    </row>
    <row r="3886" spans="1:3" hidden="1" outlineLevel="1" collapsed="1" x14ac:dyDescent="0.25">
      <c r="C3886" s="9">
        <f>Альфа!$B$102</f>
        <v>711.6</v>
      </c>
    </row>
    <row r="3887" spans="1:3" hidden="1" outlineLevel="1" collapsed="1" x14ac:dyDescent="0.25">
      <c r="C3887" s="9">
        <f>Альфа!$B$129</f>
        <v>1437.44</v>
      </c>
    </row>
    <row r="3888" spans="1:3" hidden="1" outlineLevel="1" collapsed="1" x14ac:dyDescent="0.25">
      <c r="C3888" s="9">
        <f>Альфа!$B$156</f>
        <v>3181.12</v>
      </c>
    </row>
    <row r="3889" spans="3:3" hidden="1" outlineLevel="1" collapsed="1" x14ac:dyDescent="0.25">
      <c r="C3889" s="9">
        <f>Альфа!$B$182</f>
        <v>4100.92</v>
      </c>
    </row>
    <row r="3890" spans="3:3" hidden="1" outlineLevel="1" collapsed="1" x14ac:dyDescent="0.25">
      <c r="C3890" s="9">
        <f>Альфа!$B$208</f>
        <v>3247.72</v>
      </c>
    </row>
    <row r="3891" spans="3:3" hidden="1" outlineLevel="1" collapsed="1" x14ac:dyDescent="0.25">
      <c r="C3891" s="9">
        <f>Альфа!$B$234</f>
        <v>2740.72</v>
      </c>
    </row>
    <row r="3892" spans="3:3" hidden="1" outlineLevel="1" collapsed="1" x14ac:dyDescent="0.25">
      <c r="C3892" s="9">
        <f>Альфа!$B$261</f>
        <v>2148.64</v>
      </c>
    </row>
    <row r="3893" spans="3:3" hidden="1" outlineLevel="1" collapsed="1" x14ac:dyDescent="0.25">
      <c r="C3893" s="9">
        <f>Альфа!$B$287</f>
        <v>4563.92</v>
      </c>
    </row>
    <row r="3894" spans="3:3" hidden="1" outlineLevel="1" collapsed="1" x14ac:dyDescent="0.25">
      <c r="C3894" s="9">
        <f>Альфа!$B$313</f>
        <v>4828.32</v>
      </c>
    </row>
    <row r="3895" spans="3:3" hidden="1" outlineLevel="1" collapsed="1" x14ac:dyDescent="0.25">
      <c r="C3895" s="9">
        <f>Альфа!$B$339</f>
        <v>5754.16</v>
      </c>
    </row>
    <row r="3896" spans="3:3" hidden="1" outlineLevel="1" collapsed="1" x14ac:dyDescent="0.25">
      <c r="C3896" s="9">
        <f>Альфа!$B$365</f>
        <v>5485.6</v>
      </c>
    </row>
    <row r="3897" spans="3:3" hidden="1" outlineLevel="1" collapsed="1" x14ac:dyDescent="0.25">
      <c r="C3897" s="9">
        <f>Альфа!$B$392</f>
        <v>4468.2</v>
      </c>
    </row>
    <row r="3898" spans="3:3" hidden="1" outlineLevel="1" collapsed="1" x14ac:dyDescent="0.25">
      <c r="C3898" s="9">
        <f>Альфа!$B$418</f>
        <v>4003.72</v>
      </c>
    </row>
    <row r="3899" spans="3:3" hidden="1" outlineLevel="1" collapsed="1" x14ac:dyDescent="0.25">
      <c r="C3899" s="9">
        <f>Альфа!$B$443</f>
        <v>1855.52</v>
      </c>
    </row>
    <row r="3900" spans="3:3" hidden="1" outlineLevel="1" collapsed="1" x14ac:dyDescent="0.25">
      <c r="C3900" s="9">
        <f>Альфа!$B$468</f>
        <v>4426.96</v>
      </c>
    </row>
    <row r="3901" spans="3:3" hidden="1" outlineLevel="1" collapsed="1" x14ac:dyDescent="0.25">
      <c r="C3901" s="9">
        <f>Альфа!$B$494</f>
        <v>5509.84</v>
      </c>
    </row>
    <row r="3902" spans="3:3" hidden="1" outlineLevel="1" collapsed="1" x14ac:dyDescent="0.25">
      <c r="C3902" s="9">
        <f>Альфа!$B$519</f>
        <v>4738.2</v>
      </c>
    </row>
    <row r="3903" spans="3:3" hidden="1" outlineLevel="1" collapsed="1" x14ac:dyDescent="0.25">
      <c r="C3903" s="9">
        <f>Альфа!$B$544</f>
        <v>10092.6</v>
      </c>
    </row>
    <row r="3904" spans="3:3" hidden="1" outlineLevel="1" collapsed="1" x14ac:dyDescent="0.25">
      <c r="C3904" s="9">
        <f>Альфа!$B$568</f>
        <v>2140</v>
      </c>
    </row>
    <row r="3905" spans="3:3" hidden="1" outlineLevel="1" collapsed="1" x14ac:dyDescent="0.25">
      <c r="C3905" s="9">
        <f>Альфа!$B$594</f>
        <v>3222.76</v>
      </c>
    </row>
    <row r="3906" spans="3:3" hidden="1" outlineLevel="1" collapsed="1" x14ac:dyDescent="0.25">
      <c r="C3906" s="9">
        <f>Альфа!$B$618</f>
        <v>3551.72</v>
      </c>
    </row>
    <row r="3907" spans="3:3" hidden="1" outlineLevel="1" collapsed="1" x14ac:dyDescent="0.25">
      <c r="C3907" s="9">
        <f>Альфа!$B$643</f>
        <v>1330.64</v>
      </c>
    </row>
    <row r="3908" spans="3:3" hidden="1" outlineLevel="1" collapsed="1" x14ac:dyDescent="0.25">
      <c r="C3908" s="9">
        <f>Альфа!$B$668</f>
        <v>3470.88</v>
      </c>
    </row>
    <row r="3909" spans="3:3" hidden="1" outlineLevel="1" collapsed="1" x14ac:dyDescent="0.25">
      <c r="C3909" s="9">
        <f>Альфа!$B$693</f>
        <v>1538.48</v>
      </c>
    </row>
    <row r="3910" spans="3:3" hidden="1" outlineLevel="1" collapsed="1" x14ac:dyDescent="0.25">
      <c r="C3910" s="9">
        <f>Альфа!$B$719</f>
        <v>2743.84</v>
      </c>
    </row>
    <row r="3911" spans="3:3" hidden="1" outlineLevel="1" collapsed="1" x14ac:dyDescent="0.25">
      <c r="C3911" s="9">
        <f>Альфа!$B$742</f>
        <v>1683.32</v>
      </c>
    </row>
    <row r="3912" spans="3:3" hidden="1" outlineLevel="1" collapsed="1" x14ac:dyDescent="0.25">
      <c r="C3912" s="9">
        <f>Альфа!$B$768</f>
        <v>2981.44</v>
      </c>
    </row>
    <row r="3913" spans="3:3" hidden="1" outlineLevel="1" collapsed="1" x14ac:dyDescent="0.25">
      <c r="C3913" s="9">
        <f>Альфа!$B$816</f>
        <v>3136.68</v>
      </c>
    </row>
    <row r="3914" spans="3:3" hidden="1" outlineLevel="1" collapsed="1" x14ac:dyDescent="0.25">
      <c r="C3914" s="9">
        <f>Альфа!$B$840</f>
        <v>4268.32</v>
      </c>
    </row>
    <row r="3915" spans="3:3" hidden="1" outlineLevel="1" collapsed="1" x14ac:dyDescent="0.25">
      <c r="C3915" s="9">
        <f>Альфа!$B$865</f>
        <v>2096.44</v>
      </c>
    </row>
    <row r="3916" spans="3:3" hidden="1" outlineLevel="1" collapsed="1" x14ac:dyDescent="0.25">
      <c r="C3916" s="9">
        <f>Альфа!$B$890</f>
        <v>2160.7600000000002</v>
      </c>
    </row>
    <row r="3917" spans="3:3" hidden="1" outlineLevel="1" collapsed="1" x14ac:dyDescent="0.25">
      <c r="C3917" s="9">
        <f>Альфа!$B$915</f>
        <v>4333.08</v>
      </c>
    </row>
    <row r="3918" spans="3:3" hidden="1" outlineLevel="1" collapsed="1" x14ac:dyDescent="0.25">
      <c r="C3918" s="9">
        <f>Альфа!$B$940</f>
        <v>855.96</v>
      </c>
    </row>
    <row r="3919" spans="3:3" hidden="1" outlineLevel="1" collapsed="1" x14ac:dyDescent="0.25">
      <c r="C3919" s="9">
        <f>Альфа!$B$965</f>
        <v>2482.12</v>
      </c>
    </row>
    <row r="3920" spans="3:3" hidden="1" outlineLevel="1" collapsed="1" x14ac:dyDescent="0.25">
      <c r="C3920" s="9">
        <f>Альфа!$B$990</f>
        <v>1056.5999999999999</v>
      </c>
    </row>
    <row r="3921" spans="2:3" hidden="1" outlineLevel="1" collapsed="1" x14ac:dyDescent="0.25">
      <c r="C3921" s="9">
        <f>Альфа!$B$1015</f>
        <v>2588.44</v>
      </c>
    </row>
    <row r="3922" spans="2:3" hidden="1" outlineLevel="1" collapsed="1" x14ac:dyDescent="0.25">
      <c r="C3922" s="9">
        <f>Альфа!$B$1040</f>
        <v>1902.72</v>
      </c>
    </row>
    <row r="3923" spans="2:3" hidden="1" outlineLevel="1" collapsed="1" x14ac:dyDescent="0.25">
      <c r="C3923" s="9">
        <f>Альфа!$B$1066</f>
        <v>3167.12</v>
      </c>
    </row>
    <row r="3924" spans="2:3" hidden="1" outlineLevel="1" collapsed="1" x14ac:dyDescent="0.25">
      <c r="C3924" s="9">
        <f>Альфа!$B$1091</f>
        <v>2199.3200000000002</v>
      </c>
    </row>
    <row r="3925" spans="2:3" hidden="1" outlineLevel="1" collapsed="1" x14ac:dyDescent="0.25">
      <c r="C3925" s="9">
        <f>Альфа!$B$1115</f>
        <v>665.88</v>
      </c>
    </row>
    <row r="3926" spans="2:3" hidden="1" outlineLevel="1" collapsed="1" x14ac:dyDescent="0.25">
      <c r="C3926" s="9">
        <f>Альфа!$B$1141</f>
        <v>3203.28</v>
      </c>
    </row>
    <row r="3927" spans="2:3" hidden="1" outlineLevel="1" collapsed="1" x14ac:dyDescent="0.25">
      <c r="C3927" s="9">
        <f>Альфа!$B$1166</f>
        <v>374.2</v>
      </c>
    </row>
    <row r="3928" spans="2:3" hidden="1" outlineLevel="1" collapsed="1" x14ac:dyDescent="0.25">
      <c r="C3928" s="9">
        <f>Альфа!$B$1192</f>
        <v>974.92</v>
      </c>
    </row>
    <row r="3929" spans="2:3" hidden="1" outlineLevel="1" collapsed="1" x14ac:dyDescent="0.25">
      <c r="C3929" s="9">
        <f>Альфа!$B$1218</f>
        <v>865.92</v>
      </c>
    </row>
    <row r="3930" spans="2:3" hidden="1" outlineLevel="1" collapsed="1" x14ac:dyDescent="0.25">
      <c r="C3930" s="9">
        <f>Альфа!$B$1241</f>
        <v>324.72000000000003</v>
      </c>
    </row>
    <row r="3931" spans="2:3" hidden="1" outlineLevel="1" collapsed="1" x14ac:dyDescent="0.25">
      <c r="B3931" t="s">
        <v>72</v>
      </c>
      <c r="C3931" s="9">
        <f>Бета!$B$20</f>
        <v>3897</v>
      </c>
    </row>
    <row r="3932" spans="2:3" hidden="1" outlineLevel="1" collapsed="1" x14ac:dyDescent="0.25">
      <c r="C3932" s="9">
        <f>Бета!$B$42</f>
        <v>5451</v>
      </c>
    </row>
    <row r="3933" spans="2:3" hidden="1" outlineLevel="1" collapsed="1" x14ac:dyDescent="0.25">
      <c r="C3933" s="9">
        <f>Бета!$B$64</f>
        <v>7944</v>
      </c>
    </row>
    <row r="3934" spans="2:3" hidden="1" outlineLevel="1" collapsed="1" x14ac:dyDescent="0.25">
      <c r="C3934" s="9">
        <f>Бета!$B$86</f>
        <v>1874</v>
      </c>
    </row>
    <row r="3935" spans="2:3" hidden="1" outlineLevel="1" collapsed="1" x14ac:dyDescent="0.25">
      <c r="C3935" s="9">
        <f>Бета!$B$108</f>
        <v>2587</v>
      </c>
    </row>
    <row r="3936" spans="2:3" hidden="1" outlineLevel="1" collapsed="1" x14ac:dyDescent="0.25">
      <c r="C3936" s="9">
        <f>Бета!$B$130</f>
        <v>6347</v>
      </c>
    </row>
    <row r="3937" spans="3:3" hidden="1" outlineLevel="1" collapsed="1" x14ac:dyDescent="0.25">
      <c r="C3937" s="9">
        <f>Бета!$B$152</f>
        <v>5334</v>
      </c>
    </row>
    <row r="3938" spans="3:3" hidden="1" outlineLevel="1" collapsed="1" x14ac:dyDescent="0.25">
      <c r="C3938" s="9">
        <f>Бета!$B$174</f>
        <v>2541</v>
      </c>
    </row>
    <row r="3939" spans="3:3" hidden="1" outlineLevel="1" collapsed="1" x14ac:dyDescent="0.25">
      <c r="C3939" s="9">
        <f>Бета!$B$196</f>
        <v>698</v>
      </c>
    </row>
    <row r="3940" spans="3:3" hidden="1" outlineLevel="1" collapsed="1" x14ac:dyDescent="0.25">
      <c r="C3940" s="9">
        <f>Бета!$B$218</f>
        <v>1903</v>
      </c>
    </row>
    <row r="3941" spans="3:3" hidden="1" outlineLevel="1" collapsed="1" x14ac:dyDescent="0.25">
      <c r="C3941" s="9">
        <f>Бета!$B$240</f>
        <v>1549</v>
      </c>
    </row>
    <row r="3942" spans="3:3" hidden="1" outlineLevel="1" collapsed="1" x14ac:dyDescent="0.25">
      <c r="C3942" s="9">
        <f>Бета!$B$262</f>
        <v>923</v>
      </c>
    </row>
    <row r="3943" spans="3:3" hidden="1" outlineLevel="1" collapsed="1" x14ac:dyDescent="0.25">
      <c r="C3943" s="9">
        <f>Бета!$B$283</f>
        <v>6491</v>
      </c>
    </row>
    <row r="3944" spans="3:3" hidden="1" outlineLevel="1" collapsed="1" x14ac:dyDescent="0.25">
      <c r="C3944" s="9">
        <f>Бета!$B$305</f>
        <v>6220</v>
      </c>
    </row>
    <row r="3945" spans="3:3" hidden="1" outlineLevel="1" collapsed="1" x14ac:dyDescent="0.25">
      <c r="C3945" s="9">
        <f>Бета!$B$327</f>
        <v>2940</v>
      </c>
    </row>
    <row r="3946" spans="3:3" hidden="1" outlineLevel="1" collapsed="1" x14ac:dyDescent="0.25">
      <c r="C3946" s="9">
        <f>Бета!$B$348</f>
        <v>1357</v>
      </c>
    </row>
    <row r="3947" spans="3:3" hidden="1" outlineLevel="1" collapsed="1" x14ac:dyDescent="0.25">
      <c r="C3947" s="9">
        <f>Бета!$B$369</f>
        <v>2335</v>
      </c>
    </row>
    <row r="3948" spans="3:3" hidden="1" outlineLevel="1" collapsed="1" x14ac:dyDescent="0.25">
      <c r="C3948" s="9">
        <f>Бета!$B$390</f>
        <v>12634</v>
      </c>
    </row>
    <row r="3949" spans="3:3" hidden="1" outlineLevel="1" collapsed="1" x14ac:dyDescent="0.25">
      <c r="C3949" s="9">
        <f>Бета!$B$411</f>
        <v>3198</v>
      </c>
    </row>
    <row r="3950" spans="3:3" hidden="1" outlineLevel="1" collapsed="1" x14ac:dyDescent="0.25">
      <c r="C3950" s="9">
        <f>Бета!$B$432</f>
        <v>1608</v>
      </c>
    </row>
    <row r="3951" spans="3:3" hidden="1" outlineLevel="1" collapsed="1" x14ac:dyDescent="0.25">
      <c r="C3951" s="9">
        <f>Бета!$B$453</f>
        <v>3023</v>
      </c>
    </row>
    <row r="3952" spans="3:3" hidden="1" outlineLevel="1" collapsed="1" x14ac:dyDescent="0.25">
      <c r="C3952" s="9">
        <f>Бета!$B$474</f>
        <v>482</v>
      </c>
    </row>
    <row r="3953" spans="3:3" hidden="1" outlineLevel="1" collapsed="1" x14ac:dyDescent="0.25">
      <c r="C3953" s="9">
        <f>Бета!$B$495</f>
        <v>2598</v>
      </c>
    </row>
    <row r="3954" spans="3:3" hidden="1" outlineLevel="1" collapsed="1" x14ac:dyDescent="0.25">
      <c r="C3954" s="9">
        <f>Бета!$B$516</f>
        <v>1616</v>
      </c>
    </row>
    <row r="3955" spans="3:3" hidden="1" outlineLevel="1" collapsed="1" x14ac:dyDescent="0.25">
      <c r="C3955" s="9">
        <f>Бета!$B$537</f>
        <v>2007</v>
      </c>
    </row>
    <row r="3956" spans="3:3" hidden="1" outlineLevel="1" collapsed="1" x14ac:dyDescent="0.25">
      <c r="C3956" s="9">
        <f>Бета!$B$576</f>
        <v>4162</v>
      </c>
    </row>
    <row r="3957" spans="3:3" hidden="1" outlineLevel="1" collapsed="1" x14ac:dyDescent="0.25">
      <c r="C3957" s="9">
        <f>Бета!$B$596</f>
        <v>1914</v>
      </c>
    </row>
    <row r="3958" spans="3:3" hidden="1" outlineLevel="1" collapsed="1" x14ac:dyDescent="0.25">
      <c r="C3958" s="9">
        <f>Бета!$B$615</f>
        <v>866</v>
      </c>
    </row>
    <row r="3959" spans="3:3" hidden="1" outlineLevel="1" collapsed="1" x14ac:dyDescent="0.25">
      <c r="C3959" s="9">
        <f>Бета!$B$635</f>
        <v>2381</v>
      </c>
    </row>
    <row r="3960" spans="3:3" hidden="1" outlineLevel="1" collapsed="1" x14ac:dyDescent="0.25">
      <c r="C3960" s="9">
        <f>Бета!$B$655</f>
        <v>1082</v>
      </c>
    </row>
    <row r="3961" spans="3:3" hidden="1" outlineLevel="1" collapsed="1" x14ac:dyDescent="0.25">
      <c r="C3961" s="9">
        <f>Бета!$B$675</f>
        <v>1815</v>
      </c>
    </row>
    <row r="3962" spans="3:3" hidden="1" outlineLevel="1" collapsed="1" x14ac:dyDescent="0.25">
      <c r="C3962" s="9">
        <f>Бета!$B$696</f>
        <v>1333</v>
      </c>
    </row>
    <row r="3963" spans="3:3" hidden="1" outlineLevel="1" collapsed="1" x14ac:dyDescent="0.25">
      <c r="C3963" s="9">
        <f>Бета!$B$716</f>
        <v>4319</v>
      </c>
    </row>
    <row r="3964" spans="3:3" hidden="1" outlineLevel="1" collapsed="1" x14ac:dyDescent="0.25">
      <c r="C3964" s="9">
        <f>Бета!$B$737</f>
        <v>3090</v>
      </c>
    </row>
    <row r="3965" spans="3:3" hidden="1" outlineLevel="1" collapsed="1" x14ac:dyDescent="0.25">
      <c r="C3965" s="9">
        <f>Бета!$B$757</f>
        <v>4673</v>
      </c>
    </row>
    <row r="3966" spans="3:3" hidden="1" outlineLevel="1" collapsed="1" x14ac:dyDescent="0.25">
      <c r="C3966" s="9">
        <f>Бета!$B$777</f>
        <v>1899</v>
      </c>
    </row>
    <row r="3967" spans="3:3" hidden="1" outlineLevel="1" collapsed="1" x14ac:dyDescent="0.25">
      <c r="C3967" s="9">
        <f>Бета!$B$797</f>
        <v>4766</v>
      </c>
    </row>
    <row r="3968" spans="3:3" hidden="1" outlineLevel="1" collapsed="1" x14ac:dyDescent="0.25">
      <c r="C3968" s="9">
        <f>Бета!$B$817</f>
        <v>266</v>
      </c>
    </row>
    <row r="3969" spans="2:3" hidden="1" outlineLevel="1" collapsed="1" x14ac:dyDescent="0.25">
      <c r="C3969" s="9">
        <f>Бета!$B$837</f>
        <v>2115</v>
      </c>
    </row>
    <row r="3970" spans="2:3" hidden="1" outlineLevel="1" collapsed="1" x14ac:dyDescent="0.25">
      <c r="C3970" s="9">
        <f>Бета!$B$857</f>
        <v>1599</v>
      </c>
    </row>
    <row r="3971" spans="2:3" hidden="1" outlineLevel="1" collapsed="1" x14ac:dyDescent="0.25">
      <c r="C3971" s="9">
        <f>Бета!$B$877</f>
        <v>5309</v>
      </c>
    </row>
    <row r="3972" spans="2:3" hidden="1" outlineLevel="1" collapsed="1" x14ac:dyDescent="0.25">
      <c r="C3972" s="9">
        <f>Бета!$B$897</f>
        <v>432</v>
      </c>
    </row>
    <row r="3973" spans="2:3" hidden="1" outlineLevel="1" collapsed="1" x14ac:dyDescent="0.25">
      <c r="C3973" s="9">
        <f>Бета!$B$936</f>
        <v>2048</v>
      </c>
    </row>
    <row r="3974" spans="2:3" hidden="1" outlineLevel="1" collapsed="1" x14ac:dyDescent="0.25">
      <c r="C3974" s="9">
        <f>Бета!$B$956</f>
        <v>2666</v>
      </c>
    </row>
    <row r="3975" spans="2:3" hidden="1" outlineLevel="1" collapsed="1" x14ac:dyDescent="0.25">
      <c r="C3975" s="9">
        <f>Бета!$B$976</f>
        <v>2215</v>
      </c>
    </row>
    <row r="3976" spans="2:3" hidden="1" outlineLevel="1" collapsed="1" x14ac:dyDescent="0.25">
      <c r="C3976" s="9">
        <f>Бета!$B$996</f>
        <v>566</v>
      </c>
    </row>
    <row r="3977" spans="2:3" hidden="1" outlineLevel="1" collapsed="1" x14ac:dyDescent="0.25">
      <c r="B3977" t="s">
        <v>72</v>
      </c>
      <c r="C3977" s="9">
        <f>Гамма!$B$24</f>
        <v>2942.28</v>
      </c>
    </row>
    <row r="3978" spans="2:3" hidden="1" outlineLevel="1" collapsed="1" x14ac:dyDescent="0.25">
      <c r="C3978" s="9">
        <f>Гамма!$B$51</f>
        <v>2935.56</v>
      </c>
    </row>
    <row r="3979" spans="2:3" hidden="1" outlineLevel="1" collapsed="1" x14ac:dyDescent="0.25">
      <c r="C3979" s="9">
        <f>Гамма!$B$78</f>
        <v>3661.84</v>
      </c>
    </row>
    <row r="3980" spans="2:3" hidden="1" outlineLevel="1" collapsed="1" x14ac:dyDescent="0.25">
      <c r="C3980" s="9">
        <f>Гамма!$B$104</f>
        <v>2994.72</v>
      </c>
    </row>
    <row r="3981" spans="2:3" hidden="1" outlineLevel="1" collapsed="1" x14ac:dyDescent="0.25">
      <c r="C3981" s="9">
        <f>Гамма!$B$130</f>
        <v>2158.8000000000002</v>
      </c>
    </row>
    <row r="3982" spans="2:3" hidden="1" outlineLevel="1" collapsed="1" x14ac:dyDescent="0.25">
      <c r="C3982" s="9">
        <f>Гамма!$B$156</f>
        <v>3444.2</v>
      </c>
    </row>
    <row r="3983" spans="2:3" hidden="1" outlineLevel="1" collapsed="1" x14ac:dyDescent="0.25">
      <c r="C3983" s="9">
        <f>Гамма!$B$183</f>
        <v>1573.88</v>
      </c>
    </row>
    <row r="3984" spans="2:3" hidden="1" outlineLevel="1" collapsed="1" x14ac:dyDescent="0.25">
      <c r="C3984" s="9">
        <f>Гамма!$B$210</f>
        <v>1009.36</v>
      </c>
    </row>
    <row r="3985" spans="3:3" hidden="1" outlineLevel="1" collapsed="1" x14ac:dyDescent="0.25">
      <c r="C3985" s="9">
        <f>Гамма!$B$236</f>
        <v>2286.48</v>
      </c>
    </row>
    <row r="3986" spans="3:3" hidden="1" outlineLevel="1" collapsed="1" x14ac:dyDescent="0.25">
      <c r="C3986" s="9">
        <f>Гамма!$B$262</f>
        <v>2013.44</v>
      </c>
    </row>
    <row r="3987" spans="3:3" hidden="1" outlineLevel="1" collapsed="1" x14ac:dyDescent="0.25">
      <c r="C3987" s="9">
        <f>Гамма!$B$288</f>
        <v>3625.88</v>
      </c>
    </row>
    <row r="3988" spans="3:3" hidden="1" outlineLevel="1" collapsed="1" x14ac:dyDescent="0.25">
      <c r="C3988" s="9">
        <f>Гамма!$B$314</f>
        <v>2417.36</v>
      </c>
    </row>
    <row r="3989" spans="3:3" hidden="1" outlineLevel="1" collapsed="1" x14ac:dyDescent="0.25">
      <c r="C3989" s="9">
        <f>Гамма!$B$340</f>
        <v>8859.33</v>
      </c>
    </row>
    <row r="3990" spans="3:3" hidden="1" outlineLevel="1" collapsed="1" x14ac:dyDescent="0.25">
      <c r="C3990" s="9">
        <f>Гамма!$B$365</f>
        <v>2546.84</v>
      </c>
    </row>
    <row r="3991" spans="3:3" hidden="1" outlineLevel="1" collapsed="1" x14ac:dyDescent="0.25">
      <c r="C3991" s="9">
        <f>Гамма!$B$391</f>
        <v>2985.76</v>
      </c>
    </row>
    <row r="3992" spans="3:3" hidden="1" outlineLevel="1" collapsed="1" x14ac:dyDescent="0.25">
      <c r="C3992" s="9">
        <f>Гамма!$B$418</f>
        <v>2235.6</v>
      </c>
    </row>
    <row r="3993" spans="3:3" hidden="1" outlineLevel="1" collapsed="1" x14ac:dyDescent="0.25">
      <c r="C3993" s="9">
        <f>Гамма!$B$445</f>
        <v>1170.32</v>
      </c>
    </row>
    <row r="3994" spans="3:3" hidden="1" outlineLevel="1" collapsed="1" x14ac:dyDescent="0.25">
      <c r="C3994" s="9">
        <f>Гамма!$B$471</f>
        <v>3600.96</v>
      </c>
    </row>
    <row r="3995" spans="3:3" hidden="1" outlineLevel="1" collapsed="1" x14ac:dyDescent="0.25">
      <c r="C3995" s="9">
        <f>Гамма!$B$497</f>
        <v>3148.84</v>
      </c>
    </row>
    <row r="3996" spans="3:3" hidden="1" outlineLevel="1" collapsed="1" x14ac:dyDescent="0.25">
      <c r="C3996" s="9">
        <f>Гамма!$B$523</f>
        <v>4054.28</v>
      </c>
    </row>
    <row r="3997" spans="3:3" hidden="1" outlineLevel="1" collapsed="1" x14ac:dyDescent="0.25">
      <c r="C3997" s="9">
        <f>Гамма!$B$549</f>
        <v>4183.8</v>
      </c>
    </row>
    <row r="3998" spans="3:3" hidden="1" outlineLevel="1" collapsed="1" x14ac:dyDescent="0.25">
      <c r="C3998" s="9">
        <f>Гамма!$B$574</f>
        <v>1541</v>
      </c>
    </row>
    <row r="3999" spans="3:3" hidden="1" outlineLevel="1" collapsed="1" x14ac:dyDescent="0.25">
      <c r="C3999" s="9">
        <f>Гамма!$B$600</f>
        <v>1382.52</v>
      </c>
    </row>
    <row r="4000" spans="3:3" hidden="1" outlineLevel="1" collapsed="1" x14ac:dyDescent="0.25">
      <c r="C4000" s="9">
        <f>Гамма!$B$626</f>
        <v>2212.36</v>
      </c>
    </row>
    <row r="4001" spans="3:3" hidden="1" outlineLevel="1" collapsed="1" x14ac:dyDescent="0.25">
      <c r="C4001" s="9">
        <f>Гамма!$B$652</f>
        <v>3006.16</v>
      </c>
    </row>
    <row r="4002" spans="3:3" hidden="1" outlineLevel="1" collapsed="1" x14ac:dyDescent="0.25">
      <c r="C4002" s="9">
        <f>Гамма!$B$678</f>
        <v>4659.84</v>
      </c>
    </row>
    <row r="4003" spans="3:3" hidden="1" outlineLevel="1" collapsed="1" x14ac:dyDescent="0.25">
      <c r="C4003" s="9">
        <f>Гамма!$B$704</f>
        <v>4929.92</v>
      </c>
    </row>
    <row r="4004" spans="3:3" hidden="1" outlineLevel="1" collapsed="1" x14ac:dyDescent="0.25">
      <c r="C4004" s="9">
        <f>Гамма!$B$730</f>
        <v>3200.88</v>
      </c>
    </row>
    <row r="4005" spans="3:3" hidden="1" outlineLevel="1" collapsed="1" x14ac:dyDescent="0.25">
      <c r="C4005" s="9">
        <f>Гамма!$B$754</f>
        <v>2030.28</v>
      </c>
    </row>
    <row r="4006" spans="3:3" hidden="1" outlineLevel="1" collapsed="1" x14ac:dyDescent="0.25">
      <c r="C4006" s="9">
        <f>Гамма!$B$779</f>
        <v>2155.92</v>
      </c>
    </row>
    <row r="4007" spans="3:3" hidden="1" outlineLevel="1" collapsed="1" x14ac:dyDescent="0.25">
      <c r="C4007" s="9">
        <f>Гамма!$B$804</f>
        <v>371.6</v>
      </c>
    </row>
    <row r="4008" spans="3:3" hidden="1" outlineLevel="1" collapsed="1" x14ac:dyDescent="0.25">
      <c r="C4008" s="9">
        <f>Гамма!$B$830</f>
        <v>2135.3200000000002</v>
      </c>
    </row>
    <row r="4009" spans="3:3" hidden="1" outlineLevel="1" collapsed="1" x14ac:dyDescent="0.25">
      <c r="C4009" s="9">
        <f>Гамма!$B$856</f>
        <v>2251.7600000000002</v>
      </c>
    </row>
    <row r="4010" spans="3:3" hidden="1" outlineLevel="1" collapsed="1" x14ac:dyDescent="0.25">
      <c r="C4010" s="9">
        <f>Гамма!$B$882</f>
        <v>2317.88</v>
      </c>
    </row>
    <row r="4011" spans="3:3" hidden="1" outlineLevel="1" collapsed="1" x14ac:dyDescent="0.25">
      <c r="C4011" s="9">
        <f>Гамма!$B$908</f>
        <v>2130.44</v>
      </c>
    </row>
    <row r="4012" spans="3:3" hidden="1" outlineLevel="1" collapsed="1" x14ac:dyDescent="0.25">
      <c r="C4012" s="9">
        <f>Гамма!$B$934</f>
        <v>1869.96</v>
      </c>
    </row>
    <row r="4013" spans="3:3" hidden="1" outlineLevel="1" collapsed="1" x14ac:dyDescent="0.25">
      <c r="C4013" s="9">
        <f>Гамма!$B$959</f>
        <v>2746.36</v>
      </c>
    </row>
    <row r="4014" spans="3:3" hidden="1" outlineLevel="1" collapsed="1" x14ac:dyDescent="0.25">
      <c r="C4014" s="9">
        <f>Гамма!$B$985</f>
        <v>592.44000000000005</v>
      </c>
    </row>
    <row r="4015" spans="3:3" hidden="1" outlineLevel="1" collapsed="1" x14ac:dyDescent="0.25">
      <c r="C4015" s="9">
        <f>Гамма!$B$1011</f>
        <v>911.52</v>
      </c>
    </row>
    <row r="4016" spans="3:3" hidden="1" outlineLevel="1" collapsed="1" x14ac:dyDescent="0.25">
      <c r="C4016" s="9">
        <f>Гамма!$B$1036</f>
        <v>3738.6</v>
      </c>
    </row>
    <row r="4017" spans="2:3" hidden="1" outlineLevel="1" collapsed="1" x14ac:dyDescent="0.25">
      <c r="C4017" s="9">
        <f>Гамма!$B$1060</f>
        <v>3389.64</v>
      </c>
    </row>
    <row r="4018" spans="2:3" hidden="1" outlineLevel="1" collapsed="1" x14ac:dyDescent="0.25">
      <c r="C4018" s="9">
        <f>Гамма!$B$1085</f>
        <v>3703.8</v>
      </c>
    </row>
    <row r="4019" spans="2:3" hidden="1" outlineLevel="1" collapsed="1" x14ac:dyDescent="0.25">
      <c r="C4019" s="9">
        <f>Гамма!$B$1111</f>
        <v>972.24</v>
      </c>
    </row>
    <row r="4020" spans="2:3" hidden="1" outlineLevel="1" collapsed="1" x14ac:dyDescent="0.25">
      <c r="C4020" s="9">
        <f>Гамма!$B$1134</f>
        <v>3277.64</v>
      </c>
    </row>
    <row r="4021" spans="2:3" hidden="1" outlineLevel="1" collapsed="1" x14ac:dyDescent="0.25">
      <c r="C4021" s="9">
        <f>Гамма!$B$1159</f>
        <v>1508</v>
      </c>
    </row>
    <row r="4022" spans="2:3" hidden="1" outlineLevel="1" collapsed="1" x14ac:dyDescent="0.25">
      <c r="C4022" s="9">
        <f>Гамма!$B$1184</f>
        <v>3861</v>
      </c>
    </row>
    <row r="4023" spans="2:3" hidden="1" outlineLevel="1" collapsed="1" x14ac:dyDescent="0.25">
      <c r="C4023" s="9">
        <f>Гамма!$B$1209</f>
        <v>2369.4</v>
      </c>
    </row>
    <row r="4024" spans="2:3" hidden="1" outlineLevel="1" collapsed="1" x14ac:dyDescent="0.25">
      <c r="C4024" s="9">
        <f>Гамма!$B$1234</f>
        <v>3912.88</v>
      </c>
    </row>
    <row r="4025" spans="2:3" hidden="1" outlineLevel="1" collapsed="1" x14ac:dyDescent="0.25">
      <c r="C4025" s="9">
        <f>Гамма!$B$1259</f>
        <v>2296.08</v>
      </c>
    </row>
    <row r="4026" spans="2:3" hidden="1" outlineLevel="1" collapsed="1" x14ac:dyDescent="0.25">
      <c r="B4026" t="s">
        <v>72</v>
      </c>
      <c r="C4026" s="9">
        <f>Дельта!$B$24</f>
        <v>16239.2</v>
      </c>
    </row>
    <row r="4027" spans="2:3" hidden="1" outlineLevel="1" collapsed="1" x14ac:dyDescent="0.25">
      <c r="C4027" s="9">
        <f>Дельта!$B$50</f>
        <v>6702.72</v>
      </c>
    </row>
    <row r="4028" spans="2:3" hidden="1" outlineLevel="1" collapsed="1" x14ac:dyDescent="0.25">
      <c r="C4028" s="9">
        <f>Дельта!$B$76</f>
        <v>10769.6</v>
      </c>
    </row>
    <row r="4029" spans="2:3" hidden="1" outlineLevel="1" collapsed="1" x14ac:dyDescent="0.25">
      <c r="C4029" s="9">
        <f>Дельта!$B$102</f>
        <v>8724</v>
      </c>
    </row>
    <row r="4030" spans="2:3" hidden="1" outlineLevel="1" collapsed="1" x14ac:dyDescent="0.25">
      <c r="C4030" s="9">
        <f>Дельта!$B$128</f>
        <v>5514</v>
      </c>
    </row>
    <row r="4031" spans="2:3" hidden="1" outlineLevel="1" collapsed="1" x14ac:dyDescent="0.25">
      <c r="C4031" s="9">
        <f>Дельта!$B$153</f>
        <v>10914</v>
      </c>
    </row>
    <row r="4032" spans="2:3" hidden="1" outlineLevel="1" collapsed="1" x14ac:dyDescent="0.25">
      <c r="C4032" s="9">
        <f>Дельта!$B$179</f>
        <v>5030.72</v>
      </c>
    </row>
    <row r="4033" spans="3:3" hidden="1" outlineLevel="1" collapsed="1" x14ac:dyDescent="0.25">
      <c r="C4033" s="9">
        <f>Дельта!$B$205</f>
        <v>6573</v>
      </c>
    </row>
    <row r="4034" spans="3:3" hidden="1" outlineLevel="1" collapsed="1" x14ac:dyDescent="0.25">
      <c r="C4034" s="9">
        <f>Дельта!$B$230</f>
        <v>6238</v>
      </c>
    </row>
    <row r="4035" spans="3:3" hidden="1" outlineLevel="1" collapsed="1" x14ac:dyDescent="0.25">
      <c r="C4035" s="9">
        <f>Дельта!$B$256</f>
        <v>4005</v>
      </c>
    </row>
    <row r="4036" spans="3:3" hidden="1" outlineLevel="1" collapsed="1" x14ac:dyDescent="0.25">
      <c r="C4036" s="9">
        <f>Дельта!$B$282</f>
        <v>4485</v>
      </c>
    </row>
    <row r="4037" spans="3:3" hidden="1" outlineLevel="1" collapsed="1" x14ac:dyDescent="0.25">
      <c r="C4037" s="9">
        <f>Дельта!$B$308</f>
        <v>11037</v>
      </c>
    </row>
    <row r="4038" spans="3:3" hidden="1" outlineLevel="1" collapsed="1" x14ac:dyDescent="0.25">
      <c r="C4038" s="9">
        <f>Дельта!$B$334</f>
        <v>10368</v>
      </c>
    </row>
    <row r="4039" spans="3:3" hidden="1" outlineLevel="1" collapsed="1" x14ac:dyDescent="0.25">
      <c r="C4039" s="9">
        <f>Дельта!$B$360</f>
        <v>11647</v>
      </c>
    </row>
    <row r="4040" spans="3:3" hidden="1" outlineLevel="1" collapsed="1" x14ac:dyDescent="0.25">
      <c r="C4040" s="9">
        <f>Дельта!$B$386</f>
        <v>5784</v>
      </c>
    </row>
    <row r="4041" spans="3:3" hidden="1" outlineLevel="1" collapsed="1" x14ac:dyDescent="0.25">
      <c r="C4041" s="9">
        <f>Дельта!$B$412</f>
        <v>7729</v>
      </c>
    </row>
    <row r="4042" spans="3:3" hidden="1" outlineLevel="1" collapsed="1" x14ac:dyDescent="0.25">
      <c r="C4042" s="9">
        <f>Дельта!$B$438</f>
        <v>5586</v>
      </c>
    </row>
    <row r="4043" spans="3:3" hidden="1" outlineLevel="1" collapsed="1" x14ac:dyDescent="0.25">
      <c r="C4043" s="9">
        <f>Дельта!$B$464</f>
        <v>7218</v>
      </c>
    </row>
    <row r="4044" spans="3:3" hidden="1" outlineLevel="1" collapsed="1" x14ac:dyDescent="0.25">
      <c r="C4044" s="9">
        <f>Дельта!$B$490</f>
        <v>10416</v>
      </c>
    </row>
    <row r="4045" spans="3:3" hidden="1" outlineLevel="1" collapsed="1" x14ac:dyDescent="0.25">
      <c r="C4045" s="9">
        <f>Дельта!$B$516</f>
        <v>8706</v>
      </c>
    </row>
    <row r="4046" spans="3:3" hidden="1" outlineLevel="1" collapsed="1" x14ac:dyDescent="0.25">
      <c r="C4046" s="9">
        <f>Дельта!$B$542</f>
        <v>6039</v>
      </c>
    </row>
    <row r="4047" spans="3:3" hidden="1" outlineLevel="1" collapsed="1" x14ac:dyDescent="0.25">
      <c r="C4047" s="9">
        <f>Дельта!$B$568</f>
        <v>3165</v>
      </c>
    </row>
    <row r="4048" spans="3:3" hidden="1" outlineLevel="1" collapsed="1" x14ac:dyDescent="0.25">
      <c r="C4048" s="9">
        <f>Дельта!$B$594</f>
        <v>1274</v>
      </c>
    </row>
    <row r="4049" spans="3:3" hidden="1" outlineLevel="1" collapsed="1" x14ac:dyDescent="0.25">
      <c r="C4049" s="9">
        <f>Дельта!$B$620</f>
        <v>1033</v>
      </c>
    </row>
    <row r="4050" spans="3:3" hidden="1" outlineLevel="1" collapsed="1" x14ac:dyDescent="0.25">
      <c r="C4050" s="9">
        <f>Дельта!$B$645</f>
        <v>3625</v>
      </c>
    </row>
    <row r="4051" spans="3:3" hidden="1" outlineLevel="1" collapsed="1" x14ac:dyDescent="0.25">
      <c r="C4051" s="9">
        <f>Дельта!$B$672</f>
        <v>1020</v>
      </c>
    </row>
    <row r="4052" spans="3:3" hidden="1" outlineLevel="1" collapsed="1" x14ac:dyDescent="0.25">
      <c r="C4052" s="9">
        <f>Дельта!$B$698</f>
        <v>4639</v>
      </c>
    </row>
    <row r="4053" spans="3:3" hidden="1" outlineLevel="1" collapsed="1" x14ac:dyDescent="0.25">
      <c r="C4053" s="9">
        <f>Дельта!$B$723</f>
        <v>2997</v>
      </c>
    </row>
    <row r="4054" spans="3:3" hidden="1" outlineLevel="1" collapsed="1" x14ac:dyDescent="0.25">
      <c r="C4054" s="9">
        <f>Дельта!$B$749</f>
        <v>1783</v>
      </c>
    </row>
    <row r="4055" spans="3:3" hidden="1" outlineLevel="1" collapsed="1" x14ac:dyDescent="0.25">
      <c r="C4055" s="9">
        <f>Дельта!$B$775</f>
        <v>1110</v>
      </c>
    </row>
    <row r="4056" spans="3:3" hidden="1" outlineLevel="1" collapsed="1" x14ac:dyDescent="0.25">
      <c r="C4056" s="9">
        <f>Дельта!$B$800</f>
        <v>2991</v>
      </c>
    </row>
    <row r="4057" spans="3:3" hidden="1" outlineLevel="1" collapsed="1" x14ac:dyDescent="0.25">
      <c r="C4057" s="9">
        <f>Дельта!$B$826</f>
        <v>1553</v>
      </c>
    </row>
    <row r="4058" spans="3:3" hidden="1" outlineLevel="1" collapsed="1" x14ac:dyDescent="0.25">
      <c r="C4058" s="9">
        <f>Дельта!$B$852</f>
        <v>823</v>
      </c>
    </row>
    <row r="4059" spans="3:3" hidden="1" outlineLevel="1" collapsed="1" x14ac:dyDescent="0.25">
      <c r="C4059" s="9">
        <f>Дельта!$B$878</f>
        <v>3922</v>
      </c>
    </row>
    <row r="4060" spans="3:3" hidden="1" outlineLevel="1" collapsed="1" x14ac:dyDescent="0.25">
      <c r="C4060" s="9">
        <f>Дельта!$B$904</f>
        <v>1620</v>
      </c>
    </row>
    <row r="4061" spans="3:3" hidden="1" outlineLevel="1" collapsed="1" x14ac:dyDescent="0.25">
      <c r="C4061" s="9">
        <f>Дельта!$B$930</f>
        <v>709</v>
      </c>
    </row>
    <row r="4062" spans="3:3" hidden="1" outlineLevel="1" collapsed="1" x14ac:dyDescent="0.25">
      <c r="C4062" s="9">
        <f>Дельта!$B$955</f>
        <v>861.52</v>
      </c>
    </row>
    <row r="4063" spans="3:3" hidden="1" outlineLevel="1" collapsed="1" x14ac:dyDescent="0.25">
      <c r="C4063" s="9">
        <f>Дельта!$B$981</f>
        <v>642</v>
      </c>
    </row>
    <row r="4064" spans="3:3" hidden="1" outlineLevel="1" collapsed="1" x14ac:dyDescent="0.25">
      <c r="C4064" s="9">
        <f>Дельта!$B$1006</f>
        <v>4356</v>
      </c>
    </row>
    <row r="4065" spans="1:3" hidden="1" outlineLevel="1" collapsed="1" x14ac:dyDescent="0.25">
      <c r="C4065" s="9">
        <f>Дельта!$B$1031</f>
        <v>2895</v>
      </c>
    </row>
    <row r="4066" spans="1:3" hidden="1" outlineLevel="1" collapsed="1" x14ac:dyDescent="0.25">
      <c r="C4066" s="9">
        <f>Дельта!$B$1057</f>
        <v>3702.2</v>
      </c>
    </row>
    <row r="4067" spans="1:3" hidden="1" outlineLevel="1" collapsed="1" x14ac:dyDescent="0.25">
      <c r="C4067" s="9">
        <f>Дельта!$B$1082</f>
        <v>2075.08</v>
      </c>
    </row>
    <row r="4068" spans="1:3" hidden="1" outlineLevel="1" collapsed="1" x14ac:dyDescent="0.25">
      <c r="C4068" s="9">
        <f>Дельта!$B$1107</f>
        <v>1611</v>
      </c>
    </row>
    <row r="4069" spans="1:3" hidden="1" outlineLevel="1" collapsed="1" x14ac:dyDescent="0.25">
      <c r="C4069" s="9">
        <f>Дельта!$B$1132</f>
        <v>1897</v>
      </c>
    </row>
    <row r="4070" spans="1:3" hidden="1" outlineLevel="1" collapsed="1" x14ac:dyDescent="0.25">
      <c r="C4070" s="9">
        <f>Дельта!$B$1156</f>
        <v>1426</v>
      </c>
    </row>
    <row r="4071" spans="1:3" hidden="1" outlineLevel="1" collapsed="1" x14ac:dyDescent="0.25">
      <c r="C4071" s="9">
        <f>Дельта!$B$1179</f>
        <v>1228.2</v>
      </c>
    </row>
    <row r="4072" spans="1:3" hidden="1" outlineLevel="1" collapsed="1" x14ac:dyDescent="0.25">
      <c r="C4072" s="9">
        <f>Дельта!$B$1204</f>
        <v>5363.56</v>
      </c>
    </row>
    <row r="4073" spans="1:3" hidden="1" outlineLevel="1" collapsed="1" x14ac:dyDescent="0.25">
      <c r="C4073" s="9">
        <f>Дельта!$B$1229</f>
        <v>4095</v>
      </c>
    </row>
    <row r="4074" spans="1:3" hidden="1" outlineLevel="1" collapsed="1" x14ac:dyDescent="0.25">
      <c r="C4074" s="9">
        <f>Дельта!$B$1253</f>
        <v>426</v>
      </c>
    </row>
    <row r="4075" spans="1:3" collapsed="1" x14ac:dyDescent="0.25">
      <c r="A4075" t="s">
        <v>24</v>
      </c>
      <c r="C4075" s="9">
        <f>SUM(C3883:C4074)</f>
        <v>640735.69000000006</v>
      </c>
    </row>
    <row r="4076" spans="1:3" hidden="1" outlineLevel="1" x14ac:dyDescent="0.25">
      <c r="B4076" t="s">
        <v>72</v>
      </c>
      <c r="C4076" s="9">
        <f>Альфа!$B$25</f>
        <v>199015.78</v>
      </c>
    </row>
    <row r="4077" spans="1:3" hidden="1" outlineLevel="1" collapsed="1" x14ac:dyDescent="0.25">
      <c r="C4077" s="9">
        <f>Альфа!$B$51</f>
        <v>216285.59</v>
      </c>
    </row>
    <row r="4078" spans="1:3" hidden="1" outlineLevel="1" collapsed="1" x14ac:dyDescent="0.25">
      <c r="C4078" s="9">
        <f>Альфа!$B$77</f>
        <v>211687.49</v>
      </c>
    </row>
    <row r="4079" spans="1:3" hidden="1" outlineLevel="1" collapsed="1" x14ac:dyDescent="0.25">
      <c r="C4079" s="9">
        <f>Альфа!$B$103</f>
        <v>216388.36</v>
      </c>
    </row>
    <row r="4080" spans="1:3" hidden="1" outlineLevel="1" collapsed="1" x14ac:dyDescent="0.25">
      <c r="C4080" s="9">
        <f>Альфа!$B$130</f>
        <v>228994.39</v>
      </c>
    </row>
    <row r="4081" spans="3:3" hidden="1" outlineLevel="1" collapsed="1" x14ac:dyDescent="0.25">
      <c r="C4081" s="9">
        <f>Альфа!$B$157</f>
        <v>320100.44</v>
      </c>
    </row>
    <row r="4082" spans="3:3" hidden="1" outlineLevel="1" collapsed="1" x14ac:dyDescent="0.25">
      <c r="C4082" s="9">
        <f>Альфа!$B$183</f>
        <v>283245.84000000003</v>
      </c>
    </row>
    <row r="4083" spans="3:3" hidden="1" outlineLevel="1" collapsed="1" x14ac:dyDescent="0.25">
      <c r="C4083" s="9">
        <f>Альфа!$B$209</f>
        <v>219850.83</v>
      </c>
    </row>
    <row r="4084" spans="3:3" hidden="1" outlineLevel="1" collapsed="1" x14ac:dyDescent="0.25">
      <c r="C4084" s="9">
        <f>Альфа!$B$235</f>
        <v>199352.67</v>
      </c>
    </row>
    <row r="4085" spans="3:3" hidden="1" outlineLevel="1" collapsed="1" x14ac:dyDescent="0.25">
      <c r="C4085" s="9">
        <f>Альфа!$B$262</f>
        <v>141382.29999999999</v>
      </c>
    </row>
    <row r="4086" spans="3:3" hidden="1" outlineLevel="1" collapsed="1" x14ac:dyDescent="0.25">
      <c r="C4086" s="9">
        <f>Альфа!$B$288</f>
        <v>161464.59</v>
      </c>
    </row>
    <row r="4087" spans="3:3" hidden="1" outlineLevel="1" collapsed="1" x14ac:dyDescent="0.25">
      <c r="C4087" s="9">
        <f>Альфа!$B$314</f>
        <v>227563.67</v>
      </c>
    </row>
    <row r="4088" spans="3:3" hidden="1" outlineLevel="1" collapsed="1" x14ac:dyDescent="0.25">
      <c r="C4088" s="9">
        <f>Альфа!$B$340</f>
        <v>315371.5</v>
      </c>
    </row>
    <row r="4089" spans="3:3" hidden="1" outlineLevel="1" collapsed="1" x14ac:dyDescent="0.25">
      <c r="C4089" s="9">
        <f>Альфа!$B$366</f>
        <v>297810.48</v>
      </c>
    </row>
    <row r="4090" spans="3:3" hidden="1" outlineLevel="1" collapsed="1" x14ac:dyDescent="0.25">
      <c r="C4090" s="9">
        <f>Альфа!$B$393</f>
        <v>207416.08</v>
      </c>
    </row>
    <row r="4091" spans="3:3" hidden="1" outlineLevel="1" collapsed="1" x14ac:dyDescent="0.25">
      <c r="C4091" s="9">
        <f>Альфа!$B$419</f>
        <v>185523.78</v>
      </c>
    </row>
    <row r="4092" spans="3:3" hidden="1" outlineLevel="1" collapsed="1" x14ac:dyDescent="0.25">
      <c r="C4092" s="9">
        <f>Альфа!$B$444</f>
        <v>248880.43</v>
      </c>
    </row>
    <row r="4093" spans="3:3" hidden="1" outlineLevel="1" collapsed="1" x14ac:dyDescent="0.25">
      <c r="C4093" s="9">
        <f>Альфа!$B$469</f>
        <v>658028.68000000005</v>
      </c>
    </row>
    <row r="4094" spans="3:3" hidden="1" outlineLevel="1" collapsed="1" x14ac:dyDescent="0.25">
      <c r="C4094" s="9">
        <f>Альфа!$B$495</f>
        <v>511439.23</v>
      </c>
    </row>
    <row r="4095" spans="3:3" hidden="1" outlineLevel="1" collapsed="1" x14ac:dyDescent="0.25">
      <c r="C4095" s="9">
        <f>Альфа!$B$520</f>
        <v>665856.37</v>
      </c>
    </row>
    <row r="4096" spans="3:3" hidden="1" outlineLevel="1" collapsed="1" x14ac:dyDescent="0.25">
      <c r="C4096" s="9">
        <f>Альфа!$B$545</f>
        <v>567165.23</v>
      </c>
    </row>
    <row r="4097" spans="3:3" hidden="1" outlineLevel="1" collapsed="1" x14ac:dyDescent="0.25">
      <c r="C4097" s="9">
        <f>Альфа!$B$569</f>
        <v>433151.35</v>
      </c>
    </row>
    <row r="4098" spans="3:3" hidden="1" outlineLevel="1" collapsed="1" x14ac:dyDescent="0.25">
      <c r="C4098" s="9">
        <f>Альфа!$B$595</f>
        <v>164779.69</v>
      </c>
    </row>
    <row r="4099" spans="3:3" hidden="1" outlineLevel="1" collapsed="1" x14ac:dyDescent="0.25">
      <c r="C4099" s="9">
        <f>Альфа!$B$619</f>
        <v>160095.20000000001</v>
      </c>
    </row>
    <row r="4100" spans="3:3" hidden="1" outlineLevel="1" collapsed="1" x14ac:dyDescent="0.25">
      <c r="C4100" s="9">
        <f>Альфа!$B$644</f>
        <v>164983.32</v>
      </c>
    </row>
    <row r="4101" spans="3:3" hidden="1" outlineLevel="1" collapsed="1" x14ac:dyDescent="0.25">
      <c r="C4101" s="9">
        <f>Альфа!$B$669</f>
        <v>149717.81</v>
      </c>
    </row>
    <row r="4102" spans="3:3" hidden="1" outlineLevel="1" collapsed="1" x14ac:dyDescent="0.25">
      <c r="C4102" s="9">
        <f>Альфа!$B$694</f>
        <v>255071.76</v>
      </c>
    </row>
    <row r="4103" spans="3:3" hidden="1" outlineLevel="1" collapsed="1" x14ac:dyDescent="0.25">
      <c r="C4103" s="9">
        <f>Альфа!$B$720</f>
        <v>243861.44</v>
      </c>
    </row>
    <row r="4104" spans="3:3" hidden="1" outlineLevel="1" collapsed="1" x14ac:dyDescent="0.25">
      <c r="C4104" s="9">
        <f>Альфа!$B$743</f>
        <v>187559.46</v>
      </c>
    </row>
    <row r="4105" spans="3:3" hidden="1" outlineLevel="1" collapsed="1" x14ac:dyDescent="0.25">
      <c r="C4105" s="9">
        <f>Альфа!$B$769</f>
        <v>166699.57</v>
      </c>
    </row>
    <row r="4106" spans="3:3" hidden="1" outlineLevel="1" collapsed="1" x14ac:dyDescent="0.25">
      <c r="C4106" s="9">
        <f>Альфа!$B$792</f>
        <v>115187.56</v>
      </c>
    </row>
    <row r="4107" spans="3:3" hidden="1" outlineLevel="1" collapsed="1" x14ac:dyDescent="0.25">
      <c r="C4107" s="9">
        <f>Альфа!$B$817</f>
        <v>181309.81</v>
      </c>
    </row>
    <row r="4108" spans="3:3" hidden="1" outlineLevel="1" collapsed="1" x14ac:dyDescent="0.25">
      <c r="C4108" s="9">
        <f>Альфа!$B$841</f>
        <v>228893.54</v>
      </c>
    </row>
    <row r="4109" spans="3:3" hidden="1" outlineLevel="1" collapsed="1" x14ac:dyDescent="0.25">
      <c r="C4109" s="9">
        <f>Альфа!$B$866</f>
        <v>326834.89</v>
      </c>
    </row>
    <row r="4110" spans="3:3" hidden="1" outlineLevel="1" collapsed="1" x14ac:dyDescent="0.25">
      <c r="C4110" s="9">
        <f>Альфа!$B$891</f>
        <v>265749.12</v>
      </c>
    </row>
    <row r="4111" spans="3:3" hidden="1" outlineLevel="1" collapsed="1" x14ac:dyDescent="0.25">
      <c r="C4111" s="9">
        <f>Альфа!$B$916</f>
        <v>188873.82</v>
      </c>
    </row>
    <row r="4112" spans="3:3" hidden="1" outlineLevel="1" collapsed="1" x14ac:dyDescent="0.25">
      <c r="C4112" s="9">
        <f>Альфа!$B$941</f>
        <v>137125.22</v>
      </c>
    </row>
    <row r="4113" spans="2:3" hidden="1" outlineLevel="1" collapsed="1" x14ac:dyDescent="0.25">
      <c r="C4113" s="9">
        <f>Альфа!$B$966</f>
        <v>141861.28</v>
      </c>
    </row>
    <row r="4114" spans="2:3" hidden="1" outlineLevel="1" collapsed="1" x14ac:dyDescent="0.25">
      <c r="C4114" s="9">
        <f>Альфа!$B$991</f>
        <v>122428.2</v>
      </c>
    </row>
    <row r="4115" spans="2:3" hidden="1" outlineLevel="1" collapsed="1" x14ac:dyDescent="0.25">
      <c r="C4115" s="9">
        <f>Альфа!$B$1016</f>
        <v>123321.18</v>
      </c>
    </row>
    <row r="4116" spans="2:3" hidden="1" outlineLevel="1" collapsed="1" x14ac:dyDescent="0.25">
      <c r="C4116" s="9">
        <f>Альфа!$B$1041</f>
        <v>131193.76999999999</v>
      </c>
    </row>
    <row r="4117" spans="2:3" hidden="1" outlineLevel="1" collapsed="1" x14ac:dyDescent="0.25">
      <c r="C4117" s="9">
        <f>Альфа!$B$1067</f>
        <v>151155.26999999999</v>
      </c>
    </row>
    <row r="4118" spans="2:3" hidden="1" outlineLevel="1" collapsed="1" x14ac:dyDescent="0.25">
      <c r="C4118" s="9">
        <f>Альфа!$B$1092</f>
        <v>93941.440000000002</v>
      </c>
    </row>
    <row r="4119" spans="2:3" hidden="1" outlineLevel="1" collapsed="1" x14ac:dyDescent="0.25">
      <c r="C4119" s="9">
        <f>Альфа!$B$1116</f>
        <v>104593.91</v>
      </c>
    </row>
    <row r="4120" spans="2:3" hidden="1" outlineLevel="1" collapsed="1" x14ac:dyDescent="0.25">
      <c r="C4120" s="9">
        <f>Альфа!$B$1142</f>
        <v>123448.9</v>
      </c>
    </row>
    <row r="4121" spans="2:3" hidden="1" outlineLevel="1" collapsed="1" x14ac:dyDescent="0.25">
      <c r="C4121" s="9">
        <f>Альфа!$B$1167</f>
        <v>161348.13</v>
      </c>
    </row>
    <row r="4122" spans="2:3" hidden="1" outlineLevel="1" collapsed="1" x14ac:dyDescent="0.25">
      <c r="C4122" s="9">
        <f>Альфа!$B$1193</f>
        <v>191538.29</v>
      </c>
    </row>
    <row r="4123" spans="2:3" hidden="1" outlineLevel="1" collapsed="1" x14ac:dyDescent="0.25">
      <c r="C4123" s="9">
        <f>Альфа!$B$1219</f>
        <v>197701.01</v>
      </c>
    </row>
    <row r="4124" spans="2:3" hidden="1" outlineLevel="1" collapsed="1" x14ac:dyDescent="0.25">
      <c r="C4124" s="9">
        <f>Альфа!$B$1242</f>
        <v>225070.37</v>
      </c>
    </row>
    <row r="4125" spans="2:3" hidden="1" outlineLevel="1" collapsed="1" x14ac:dyDescent="0.25">
      <c r="B4125" t="s">
        <v>72</v>
      </c>
      <c r="C4125" s="9">
        <f>Бета!$B$21</f>
        <v>30663.77</v>
      </c>
    </row>
    <row r="4126" spans="2:3" hidden="1" outlineLevel="1" collapsed="1" x14ac:dyDescent="0.25">
      <c r="C4126" s="9">
        <f>Бета!$B$43</f>
        <v>26704.720000000001</v>
      </c>
    </row>
    <row r="4127" spans="2:3" hidden="1" outlineLevel="1" collapsed="1" x14ac:dyDescent="0.25">
      <c r="C4127" s="9">
        <f>Бета!$B$65</f>
        <v>24625.32</v>
      </c>
    </row>
    <row r="4128" spans="2:3" hidden="1" outlineLevel="1" collapsed="1" x14ac:dyDescent="0.25">
      <c r="C4128" s="9">
        <f>Бета!$B$87</f>
        <v>21511.53</v>
      </c>
    </row>
    <row r="4129" spans="3:3" hidden="1" outlineLevel="1" collapsed="1" x14ac:dyDescent="0.25">
      <c r="C4129" s="9">
        <f>Бета!$B$109</f>
        <v>28799.49</v>
      </c>
    </row>
    <row r="4130" spans="3:3" hidden="1" outlineLevel="1" collapsed="1" x14ac:dyDescent="0.25">
      <c r="C4130" s="9">
        <f>Бета!$B$131</f>
        <v>85177.74</v>
      </c>
    </row>
    <row r="4131" spans="3:3" hidden="1" outlineLevel="1" collapsed="1" x14ac:dyDescent="0.25">
      <c r="C4131" s="9">
        <f>Бета!$B$153</f>
        <v>65493</v>
      </c>
    </row>
    <row r="4132" spans="3:3" hidden="1" outlineLevel="1" collapsed="1" x14ac:dyDescent="0.25">
      <c r="C4132" s="9">
        <f>Бета!$B$175</f>
        <v>37201.620000000003</v>
      </c>
    </row>
    <row r="4133" spans="3:3" hidden="1" outlineLevel="1" collapsed="1" x14ac:dyDescent="0.25">
      <c r="C4133" s="9">
        <f>Бета!$B$197</f>
        <v>36758.68</v>
      </c>
    </row>
    <row r="4134" spans="3:3" hidden="1" outlineLevel="1" collapsed="1" x14ac:dyDescent="0.25">
      <c r="C4134" s="9">
        <f>Бета!$B$219</f>
        <v>28220.35</v>
      </c>
    </row>
    <row r="4135" spans="3:3" hidden="1" outlineLevel="1" collapsed="1" x14ac:dyDescent="0.25">
      <c r="C4135" s="9">
        <f>Бета!$B$241</f>
        <v>30387.87</v>
      </c>
    </row>
    <row r="4136" spans="3:3" hidden="1" outlineLevel="1" collapsed="1" x14ac:dyDescent="0.25">
      <c r="C4136" s="9">
        <f>Бета!$B$263</f>
        <v>29155.65</v>
      </c>
    </row>
    <row r="4137" spans="3:3" hidden="1" outlineLevel="1" collapsed="1" x14ac:dyDescent="0.25">
      <c r="C4137" s="9">
        <f>Бета!$B$284</f>
        <v>76420.160000000003</v>
      </c>
    </row>
    <row r="4138" spans="3:3" hidden="1" outlineLevel="1" collapsed="1" x14ac:dyDescent="0.25">
      <c r="C4138" s="9">
        <f>Бета!$B$306</f>
        <v>73658.289999999994</v>
      </c>
    </row>
    <row r="4139" spans="3:3" hidden="1" outlineLevel="1" collapsed="1" x14ac:dyDescent="0.25">
      <c r="C4139" s="9">
        <f>Бета!$B$328</f>
        <v>20239.849999999999</v>
      </c>
    </row>
    <row r="4140" spans="3:3" hidden="1" outlineLevel="1" collapsed="1" x14ac:dyDescent="0.25">
      <c r="C4140" s="9">
        <f>Бета!$B$349</f>
        <v>32120.959999999999</v>
      </c>
    </row>
    <row r="4141" spans="3:3" hidden="1" outlineLevel="1" collapsed="1" x14ac:dyDescent="0.25">
      <c r="C4141" s="9">
        <f>Бета!$B$370</f>
        <v>36840.68</v>
      </c>
    </row>
    <row r="4142" spans="3:3" hidden="1" outlineLevel="1" collapsed="1" x14ac:dyDescent="0.25">
      <c r="C4142" s="9">
        <f>Бета!$B$391</f>
        <v>50208.84</v>
      </c>
    </row>
    <row r="4143" spans="3:3" hidden="1" outlineLevel="1" collapsed="1" x14ac:dyDescent="0.25">
      <c r="C4143" s="9">
        <f>Бета!$B$412</f>
        <v>51903.06</v>
      </c>
    </row>
    <row r="4144" spans="3:3" hidden="1" outlineLevel="1" collapsed="1" x14ac:dyDescent="0.25">
      <c r="C4144" s="9">
        <f>Бета!$B$433</f>
        <v>69115.91</v>
      </c>
    </row>
    <row r="4145" spans="3:3" hidden="1" outlineLevel="1" collapsed="1" x14ac:dyDescent="0.25">
      <c r="C4145" s="9">
        <f>Бета!$B$454</f>
        <v>72884.990000000005</v>
      </c>
    </row>
    <row r="4146" spans="3:3" hidden="1" outlineLevel="1" collapsed="1" x14ac:dyDescent="0.25">
      <c r="C4146" s="9">
        <f>Бета!$B$475</f>
        <v>35191.279999999999</v>
      </c>
    </row>
    <row r="4147" spans="3:3" hidden="1" outlineLevel="1" collapsed="1" x14ac:dyDescent="0.25">
      <c r="C4147" s="9">
        <f>Бета!$B$496</f>
        <v>21410.68</v>
      </c>
    </row>
    <row r="4148" spans="3:3" hidden="1" outlineLevel="1" collapsed="1" x14ac:dyDescent="0.25">
      <c r="C4148" s="9">
        <f>Бета!$B$517</f>
        <v>17387.13</v>
      </c>
    </row>
    <row r="4149" spans="3:3" hidden="1" outlineLevel="1" collapsed="1" x14ac:dyDescent="0.25">
      <c r="C4149" s="9">
        <f>Бета!$B$538</f>
        <v>21299.84</v>
      </c>
    </row>
    <row r="4150" spans="3:3" hidden="1" outlineLevel="1" collapsed="1" x14ac:dyDescent="0.25">
      <c r="C4150" s="9">
        <f>Бета!$B$557</f>
        <v>22119.200000000001</v>
      </c>
    </row>
    <row r="4151" spans="3:3" hidden="1" outlineLevel="1" collapsed="1" x14ac:dyDescent="0.25">
      <c r="C4151" s="9">
        <f>Бета!$B$577</f>
        <v>35963.07</v>
      </c>
    </row>
    <row r="4152" spans="3:3" hidden="1" outlineLevel="1" collapsed="1" x14ac:dyDescent="0.25">
      <c r="C4152" s="9">
        <f>Бета!$B$597</f>
        <v>23864.54</v>
      </c>
    </row>
    <row r="4153" spans="3:3" hidden="1" outlineLevel="1" collapsed="1" x14ac:dyDescent="0.25">
      <c r="C4153" s="9">
        <f>Бета!$B$616</f>
        <v>8767.77</v>
      </c>
    </row>
    <row r="4154" spans="3:3" hidden="1" outlineLevel="1" collapsed="1" x14ac:dyDescent="0.25">
      <c r="C4154" s="9">
        <f>Бета!$B$636</f>
        <v>17021.22</v>
      </c>
    </row>
    <row r="4155" spans="3:3" hidden="1" outlineLevel="1" collapsed="1" x14ac:dyDescent="0.25">
      <c r="C4155" s="9">
        <f>Бета!$B$656</f>
        <v>13452.36</v>
      </c>
    </row>
    <row r="4156" spans="3:3" hidden="1" outlineLevel="1" collapsed="1" x14ac:dyDescent="0.25">
      <c r="C4156" s="9">
        <f>Бета!$B$676</f>
        <v>13407.82</v>
      </c>
    </row>
    <row r="4157" spans="3:3" hidden="1" outlineLevel="1" collapsed="1" x14ac:dyDescent="0.25">
      <c r="C4157" s="9">
        <f>Бета!$B$697</f>
        <v>18964.78</v>
      </c>
    </row>
    <row r="4158" spans="3:3" hidden="1" outlineLevel="1" collapsed="1" x14ac:dyDescent="0.25">
      <c r="C4158" s="9">
        <f>Бета!$B$717</f>
        <v>33027.65</v>
      </c>
    </row>
    <row r="4159" spans="3:3" hidden="1" outlineLevel="1" collapsed="1" x14ac:dyDescent="0.25">
      <c r="C4159" s="9">
        <f>Бета!$B$738</f>
        <v>35759.370000000003</v>
      </c>
    </row>
    <row r="4160" spans="3:3" hidden="1" outlineLevel="1" collapsed="1" x14ac:dyDescent="0.25">
      <c r="C4160" s="9">
        <f>Бета!$B$758</f>
        <v>25827.77</v>
      </c>
    </row>
    <row r="4161" spans="2:3" hidden="1" outlineLevel="1" collapsed="1" x14ac:dyDescent="0.25">
      <c r="C4161" s="9">
        <f>Бета!$B$778</f>
        <v>17115.79</v>
      </c>
    </row>
    <row r="4162" spans="2:3" hidden="1" outlineLevel="1" collapsed="1" x14ac:dyDescent="0.25">
      <c r="C4162" s="9">
        <f>Бета!$B$798</f>
        <v>17481.79</v>
      </c>
    </row>
    <row r="4163" spans="2:3" hidden="1" outlineLevel="1" collapsed="1" x14ac:dyDescent="0.25">
      <c r="C4163" s="9">
        <f>Бета!$B$818</f>
        <v>10071.24</v>
      </c>
    </row>
    <row r="4164" spans="2:3" hidden="1" outlineLevel="1" collapsed="1" x14ac:dyDescent="0.25">
      <c r="C4164" s="9">
        <f>Бета!$B$838</f>
        <v>15881.9</v>
      </c>
    </row>
    <row r="4165" spans="2:3" hidden="1" outlineLevel="1" collapsed="1" x14ac:dyDescent="0.25">
      <c r="C4165" s="9">
        <f>Бета!$B$858</f>
        <v>16102.11</v>
      </c>
    </row>
    <row r="4166" spans="2:3" hidden="1" outlineLevel="1" collapsed="1" x14ac:dyDescent="0.25">
      <c r="C4166" s="9">
        <f>Бета!$B$878</f>
        <v>21912.62</v>
      </c>
    </row>
    <row r="4167" spans="2:3" hidden="1" outlineLevel="1" collapsed="1" x14ac:dyDescent="0.25">
      <c r="C4167" s="9">
        <f>Бета!$B$898</f>
        <v>13421.04</v>
      </c>
    </row>
    <row r="4168" spans="2:3" hidden="1" outlineLevel="1" collapsed="1" x14ac:dyDescent="0.25">
      <c r="C4168" s="9">
        <f>Бета!$B$917</f>
        <v>11623.4</v>
      </c>
    </row>
    <row r="4169" spans="2:3" hidden="1" outlineLevel="1" collapsed="1" x14ac:dyDescent="0.25">
      <c r="C4169" s="9">
        <f>Бета!$B$937</f>
        <v>22005.11</v>
      </c>
    </row>
    <row r="4170" spans="2:3" hidden="1" outlineLevel="1" collapsed="1" x14ac:dyDescent="0.25">
      <c r="C4170" s="9">
        <f>Бета!$B$957</f>
        <v>13651.08</v>
      </c>
    </row>
    <row r="4171" spans="2:3" hidden="1" outlineLevel="1" collapsed="1" x14ac:dyDescent="0.25">
      <c r="C4171" s="9">
        <f>Бета!$B$977</f>
        <v>19965.64</v>
      </c>
    </row>
    <row r="4172" spans="2:3" hidden="1" outlineLevel="1" collapsed="1" x14ac:dyDescent="0.25">
      <c r="C4172" s="9">
        <f>Бета!$B$997</f>
        <v>22018.2</v>
      </c>
    </row>
    <row r="4173" spans="2:3" hidden="1" outlineLevel="1" collapsed="1" x14ac:dyDescent="0.25">
      <c r="C4173" s="9">
        <f>Бета!$B$1016</f>
        <v>11329.74</v>
      </c>
    </row>
    <row r="4174" spans="2:3" hidden="1" outlineLevel="1" collapsed="1" x14ac:dyDescent="0.25">
      <c r="B4174" t="s">
        <v>72</v>
      </c>
      <c r="C4174" s="9">
        <f>Гамма!$B$25</f>
        <v>131536.6</v>
      </c>
    </row>
    <row r="4175" spans="2:3" hidden="1" outlineLevel="1" collapsed="1" x14ac:dyDescent="0.25">
      <c r="C4175" s="9">
        <f>Гамма!$B$52</f>
        <v>132689.14000000001</v>
      </c>
    </row>
    <row r="4176" spans="2:3" hidden="1" outlineLevel="1" collapsed="1" x14ac:dyDescent="0.25">
      <c r="C4176" s="9">
        <f>Гамма!$B$79</f>
        <v>166918.82999999999</v>
      </c>
    </row>
    <row r="4177" spans="3:3" hidden="1" outlineLevel="1" collapsed="1" x14ac:dyDescent="0.25">
      <c r="C4177" s="9">
        <f>Гамма!$B$105</f>
        <v>116003.27</v>
      </c>
    </row>
    <row r="4178" spans="3:3" hidden="1" outlineLevel="1" collapsed="1" x14ac:dyDescent="0.25">
      <c r="C4178" s="9">
        <f>Гамма!$B$131</f>
        <v>143122.65</v>
      </c>
    </row>
    <row r="4179" spans="3:3" hidden="1" outlineLevel="1" collapsed="1" x14ac:dyDescent="0.25">
      <c r="C4179" s="9">
        <f>Гамма!$B$157</f>
        <v>226984.34</v>
      </c>
    </row>
    <row r="4180" spans="3:3" hidden="1" outlineLevel="1" collapsed="1" x14ac:dyDescent="0.25">
      <c r="C4180" s="9">
        <f>Гамма!$B$184</f>
        <v>254190.85</v>
      </c>
    </row>
    <row r="4181" spans="3:3" hidden="1" outlineLevel="1" collapsed="1" x14ac:dyDescent="0.25">
      <c r="C4181" s="9">
        <f>Гамма!$B$211</f>
        <v>112666.19</v>
      </c>
    </row>
    <row r="4182" spans="3:3" hidden="1" outlineLevel="1" collapsed="1" x14ac:dyDescent="0.25">
      <c r="C4182" s="9">
        <f>Гамма!$B$237</f>
        <v>125909</v>
      </c>
    </row>
    <row r="4183" spans="3:3" hidden="1" outlineLevel="1" collapsed="1" x14ac:dyDescent="0.25">
      <c r="C4183" s="9">
        <f>Гамма!$B$263</f>
        <v>120580.03</v>
      </c>
    </row>
    <row r="4184" spans="3:3" hidden="1" outlineLevel="1" collapsed="1" x14ac:dyDescent="0.25">
      <c r="C4184" s="9">
        <f>Гамма!$B$289</f>
        <v>139079.62</v>
      </c>
    </row>
    <row r="4185" spans="3:3" hidden="1" outlineLevel="1" collapsed="1" x14ac:dyDescent="0.25">
      <c r="C4185" s="9">
        <f>Гамма!$B$315</f>
        <v>212600.47</v>
      </c>
    </row>
    <row r="4186" spans="3:3" hidden="1" outlineLevel="1" collapsed="1" x14ac:dyDescent="0.25">
      <c r="C4186" s="9">
        <f>Гамма!$B$341</f>
        <v>324090.87</v>
      </c>
    </row>
    <row r="4187" spans="3:3" hidden="1" outlineLevel="1" collapsed="1" x14ac:dyDescent="0.25">
      <c r="C4187" s="9">
        <f>Гамма!$B$366</f>
        <v>295130.57</v>
      </c>
    </row>
    <row r="4188" spans="3:3" hidden="1" outlineLevel="1" collapsed="1" x14ac:dyDescent="0.25">
      <c r="C4188" s="9">
        <f>Гамма!$B$392</f>
        <v>176764.33</v>
      </c>
    </row>
    <row r="4189" spans="3:3" hidden="1" outlineLevel="1" collapsed="1" x14ac:dyDescent="0.25">
      <c r="C4189" s="9">
        <f>Гамма!$B$419</f>
        <v>166041.75</v>
      </c>
    </row>
    <row r="4190" spans="3:3" hidden="1" outlineLevel="1" collapsed="1" x14ac:dyDescent="0.25">
      <c r="C4190" s="9">
        <f>Гамма!$B$446</f>
        <v>170407.45</v>
      </c>
    </row>
    <row r="4191" spans="3:3" hidden="1" outlineLevel="1" collapsed="1" x14ac:dyDescent="0.25">
      <c r="C4191" s="9">
        <f>Гамма!$B$472</f>
        <v>299808.84999999998</v>
      </c>
    </row>
    <row r="4192" spans="3:3" hidden="1" outlineLevel="1" collapsed="1" x14ac:dyDescent="0.25">
      <c r="C4192" s="9">
        <f>Гамма!$B$498</f>
        <v>346356.68</v>
      </c>
    </row>
    <row r="4193" spans="3:3" hidden="1" outlineLevel="1" collapsed="1" x14ac:dyDescent="0.25">
      <c r="C4193" s="9">
        <f>Гамма!$B$524</f>
        <v>503382.64</v>
      </c>
    </row>
    <row r="4194" spans="3:3" hidden="1" outlineLevel="1" collapsed="1" x14ac:dyDescent="0.25">
      <c r="C4194" s="9">
        <f>Гамма!$B$550</f>
        <v>439558.6</v>
      </c>
    </row>
    <row r="4195" spans="3:3" hidden="1" outlineLevel="1" collapsed="1" x14ac:dyDescent="0.25">
      <c r="C4195" s="9">
        <f>Гамма!$B$575</f>
        <v>255120.01</v>
      </c>
    </row>
    <row r="4196" spans="3:3" hidden="1" outlineLevel="1" collapsed="1" x14ac:dyDescent="0.25">
      <c r="C4196" s="9">
        <f>Гамма!$B$601</f>
        <v>114067.32</v>
      </c>
    </row>
    <row r="4197" spans="3:3" hidden="1" outlineLevel="1" collapsed="1" x14ac:dyDescent="0.25">
      <c r="C4197" s="9">
        <f>Гамма!$B$627</f>
        <v>147198.65</v>
      </c>
    </row>
    <row r="4198" spans="3:3" hidden="1" outlineLevel="1" collapsed="1" x14ac:dyDescent="0.25">
      <c r="C4198" s="9">
        <f>Гамма!$B$653</f>
        <v>139685.07</v>
      </c>
    </row>
    <row r="4199" spans="3:3" hidden="1" outlineLevel="1" collapsed="1" x14ac:dyDescent="0.25">
      <c r="C4199" s="9">
        <f>Гамма!$B$679</f>
        <v>124007.87</v>
      </c>
    </row>
    <row r="4200" spans="3:3" hidden="1" outlineLevel="1" collapsed="1" x14ac:dyDescent="0.25">
      <c r="C4200" s="9">
        <f>Гамма!$B$705</f>
        <v>251981.55</v>
      </c>
    </row>
    <row r="4201" spans="3:3" hidden="1" outlineLevel="1" collapsed="1" x14ac:dyDescent="0.25">
      <c r="C4201" s="9">
        <f>Гамма!$B$731</f>
        <v>192404.24</v>
      </c>
    </row>
    <row r="4202" spans="3:3" hidden="1" outlineLevel="1" collapsed="1" x14ac:dyDescent="0.25">
      <c r="C4202" s="9">
        <f>Гамма!$B$755</f>
        <v>123797.26</v>
      </c>
    </row>
    <row r="4203" spans="3:3" hidden="1" outlineLevel="1" collapsed="1" x14ac:dyDescent="0.25">
      <c r="C4203" s="9">
        <f>Гамма!$B$780</f>
        <v>69393.66</v>
      </c>
    </row>
    <row r="4204" spans="3:3" hidden="1" outlineLevel="1" collapsed="1" x14ac:dyDescent="0.25">
      <c r="C4204" s="9">
        <f>Гамма!$B$805</f>
        <v>105836.29</v>
      </c>
    </row>
    <row r="4205" spans="3:3" hidden="1" outlineLevel="1" collapsed="1" x14ac:dyDescent="0.25">
      <c r="C4205" s="9">
        <f>Гамма!$B$831</f>
        <v>99581.45</v>
      </c>
    </row>
    <row r="4206" spans="3:3" hidden="1" outlineLevel="1" collapsed="1" x14ac:dyDescent="0.25">
      <c r="C4206" s="9">
        <f>Гамма!$B$857</f>
        <v>167933.77</v>
      </c>
    </row>
    <row r="4207" spans="3:3" hidden="1" outlineLevel="1" collapsed="1" x14ac:dyDescent="0.25">
      <c r="C4207" s="9">
        <f>Гамма!$B$883</f>
        <v>248612.95</v>
      </c>
    </row>
    <row r="4208" spans="3:3" hidden="1" outlineLevel="1" collapsed="1" x14ac:dyDescent="0.25">
      <c r="C4208" s="9">
        <f>Гамма!$B$909</f>
        <v>201296.48</v>
      </c>
    </row>
    <row r="4209" spans="2:3" hidden="1" outlineLevel="1" collapsed="1" x14ac:dyDescent="0.25">
      <c r="C4209" s="9">
        <f>Гамма!$B$935</f>
        <v>146562.5</v>
      </c>
    </row>
    <row r="4210" spans="2:3" hidden="1" outlineLevel="1" collapsed="1" x14ac:dyDescent="0.25">
      <c r="C4210" s="9">
        <f>Гамма!$B$960</f>
        <v>141605.51999999999</v>
      </c>
    </row>
    <row r="4211" spans="2:3" hidden="1" outlineLevel="1" collapsed="1" x14ac:dyDescent="0.25">
      <c r="C4211" s="9">
        <f>Гамма!$B$986</f>
        <v>166177.63</v>
      </c>
    </row>
    <row r="4212" spans="2:3" hidden="1" outlineLevel="1" collapsed="1" x14ac:dyDescent="0.25">
      <c r="C4212" s="9">
        <f>Гамма!$B$1012</f>
        <v>66046.39</v>
      </c>
    </row>
    <row r="4213" spans="2:3" hidden="1" outlineLevel="1" collapsed="1" x14ac:dyDescent="0.25">
      <c r="C4213" s="9">
        <f>Гамма!$B$1037</f>
        <v>97172.35</v>
      </c>
    </row>
    <row r="4214" spans="2:3" hidden="1" outlineLevel="1" collapsed="1" x14ac:dyDescent="0.25">
      <c r="C4214" s="9">
        <f>Гамма!$B$1061</f>
        <v>208337.41</v>
      </c>
    </row>
    <row r="4215" spans="2:3" hidden="1" outlineLevel="1" collapsed="1" x14ac:dyDescent="0.25">
      <c r="C4215" s="9">
        <f>Гамма!$B$1086</f>
        <v>175415.59</v>
      </c>
    </row>
    <row r="4216" spans="2:3" hidden="1" outlineLevel="1" collapsed="1" x14ac:dyDescent="0.25">
      <c r="C4216" s="9">
        <f>Гамма!$B$1112</f>
        <v>92201.91</v>
      </c>
    </row>
    <row r="4217" spans="2:3" hidden="1" outlineLevel="1" collapsed="1" x14ac:dyDescent="0.25">
      <c r="C4217" s="9">
        <f>Гамма!$B$1135</f>
        <v>115413.29</v>
      </c>
    </row>
    <row r="4218" spans="2:3" hidden="1" outlineLevel="1" collapsed="1" x14ac:dyDescent="0.25">
      <c r="C4218" s="9">
        <f>Гамма!$B$1160</f>
        <v>108895.03</v>
      </c>
    </row>
    <row r="4219" spans="2:3" hidden="1" outlineLevel="1" collapsed="1" x14ac:dyDescent="0.25">
      <c r="C4219" s="9">
        <f>Гамма!$B$1185</f>
        <v>123890.88</v>
      </c>
    </row>
    <row r="4220" spans="2:3" hidden="1" outlineLevel="1" collapsed="1" x14ac:dyDescent="0.25">
      <c r="C4220" s="9">
        <f>Гамма!$B$1210</f>
        <v>183221.02</v>
      </c>
    </row>
    <row r="4221" spans="2:3" hidden="1" outlineLevel="1" collapsed="1" x14ac:dyDescent="0.25">
      <c r="C4221" s="9">
        <f>Гамма!$B$1235</f>
        <v>186250.01</v>
      </c>
    </row>
    <row r="4222" spans="2:3" hidden="1" outlineLevel="1" collapsed="1" x14ac:dyDescent="0.25">
      <c r="C4222" s="9">
        <f>Гамма!$B$1260</f>
        <v>155158.56</v>
      </c>
    </row>
    <row r="4223" spans="2:3" hidden="1" outlineLevel="1" collapsed="1" x14ac:dyDescent="0.25">
      <c r="B4223" t="s">
        <v>72</v>
      </c>
      <c r="C4223" s="9">
        <f>Дельта!$B$25</f>
        <v>113489.94</v>
      </c>
    </row>
    <row r="4224" spans="2:3" hidden="1" outlineLevel="1" collapsed="1" x14ac:dyDescent="0.25">
      <c r="C4224" s="9">
        <f>Дельта!$B$51</f>
        <v>141445.62</v>
      </c>
    </row>
    <row r="4225" spans="3:3" hidden="1" outlineLevel="1" collapsed="1" x14ac:dyDescent="0.25">
      <c r="C4225" s="9">
        <f>Дельта!$B$77</f>
        <v>115510.49</v>
      </c>
    </row>
    <row r="4226" spans="3:3" hidden="1" outlineLevel="1" collapsed="1" x14ac:dyDescent="0.25">
      <c r="C4226" s="9">
        <f>Дельта!$B$103</f>
        <v>134164</v>
      </c>
    </row>
    <row r="4227" spans="3:3" hidden="1" outlineLevel="1" collapsed="1" x14ac:dyDescent="0.25">
      <c r="C4227" s="9">
        <f>Дельта!$B$129</f>
        <v>140650</v>
      </c>
    </row>
    <row r="4228" spans="3:3" hidden="1" outlineLevel="1" collapsed="1" x14ac:dyDescent="0.25">
      <c r="C4228" s="9">
        <f>Дельта!$B$154</f>
        <v>201456</v>
      </c>
    </row>
    <row r="4229" spans="3:3" hidden="1" outlineLevel="1" collapsed="1" x14ac:dyDescent="0.25">
      <c r="C4229" s="9">
        <f>Дельта!$B$180</f>
        <v>183039.2</v>
      </c>
    </row>
    <row r="4230" spans="3:3" hidden="1" outlineLevel="1" collapsed="1" x14ac:dyDescent="0.25">
      <c r="C4230" s="9">
        <f>Дельта!$B$206</f>
        <v>121649</v>
      </c>
    </row>
    <row r="4231" spans="3:3" hidden="1" outlineLevel="1" collapsed="1" x14ac:dyDescent="0.25">
      <c r="C4231" s="9">
        <f>Дельта!$B$231</f>
        <v>102870.5</v>
      </c>
    </row>
    <row r="4232" spans="3:3" hidden="1" outlineLevel="1" collapsed="1" x14ac:dyDescent="0.25">
      <c r="C4232" s="9">
        <f>Дельта!$B$257</f>
        <v>92016</v>
      </c>
    </row>
    <row r="4233" spans="3:3" hidden="1" outlineLevel="1" collapsed="1" x14ac:dyDescent="0.25">
      <c r="C4233" s="9">
        <f>Дельта!$B$283</f>
        <v>110035</v>
      </c>
    </row>
    <row r="4234" spans="3:3" hidden="1" outlineLevel="1" collapsed="1" x14ac:dyDescent="0.25">
      <c r="C4234" s="9">
        <f>Дельта!$B$309</f>
        <v>112349</v>
      </c>
    </row>
    <row r="4235" spans="3:3" hidden="1" outlineLevel="1" collapsed="1" x14ac:dyDescent="0.25">
      <c r="C4235" s="9">
        <f>Дельта!$B$335</f>
        <v>235074</v>
      </c>
    </row>
    <row r="4236" spans="3:3" hidden="1" outlineLevel="1" collapsed="1" x14ac:dyDescent="0.25">
      <c r="C4236" s="9">
        <f>Дельта!$B$361</f>
        <v>205886</v>
      </c>
    </row>
    <row r="4237" spans="3:3" hidden="1" outlineLevel="1" collapsed="1" x14ac:dyDescent="0.25">
      <c r="C4237" s="9">
        <f>Дельта!$B$387</f>
        <v>119882</v>
      </c>
    </row>
    <row r="4238" spans="3:3" hidden="1" outlineLevel="1" collapsed="1" x14ac:dyDescent="0.25">
      <c r="C4238" s="9">
        <f>Дельта!$B$413</f>
        <v>168595</v>
      </c>
    </row>
    <row r="4239" spans="3:3" hidden="1" outlineLevel="1" collapsed="1" x14ac:dyDescent="0.25">
      <c r="C4239" s="9">
        <f>Дельта!$B$439</f>
        <v>164881</v>
      </c>
    </row>
    <row r="4240" spans="3:3" hidden="1" outlineLevel="1" collapsed="1" x14ac:dyDescent="0.25">
      <c r="C4240" s="9">
        <f>Дельта!$B$465</f>
        <v>232431</v>
      </c>
    </row>
    <row r="4241" spans="3:3" hidden="1" outlineLevel="1" collapsed="1" x14ac:dyDescent="0.25">
      <c r="C4241" s="9">
        <f>Дельта!$B$491</f>
        <v>243988</v>
      </c>
    </row>
    <row r="4242" spans="3:3" hidden="1" outlineLevel="1" collapsed="1" x14ac:dyDescent="0.25">
      <c r="C4242" s="9">
        <f>Дельта!$B$517</f>
        <v>338981</v>
      </c>
    </row>
    <row r="4243" spans="3:3" hidden="1" outlineLevel="1" collapsed="1" x14ac:dyDescent="0.25">
      <c r="C4243" s="9">
        <f>Дельта!$B$543</f>
        <v>330405</v>
      </c>
    </row>
    <row r="4244" spans="3:3" hidden="1" outlineLevel="1" collapsed="1" x14ac:dyDescent="0.25">
      <c r="C4244" s="9">
        <f>Дельта!$B$569</f>
        <v>233999</v>
      </c>
    </row>
    <row r="4245" spans="3:3" hidden="1" outlineLevel="1" collapsed="1" x14ac:dyDescent="0.25">
      <c r="C4245" s="9">
        <f>Дельта!$B$595</f>
        <v>70160</v>
      </c>
    </row>
    <row r="4246" spans="3:3" hidden="1" outlineLevel="1" collapsed="1" x14ac:dyDescent="0.25">
      <c r="C4246" s="9">
        <f>Дельта!$B$621</f>
        <v>108549</v>
      </c>
    </row>
    <row r="4247" spans="3:3" hidden="1" outlineLevel="1" collapsed="1" x14ac:dyDescent="0.25">
      <c r="C4247" s="9">
        <f>Дельта!$B$646</f>
        <v>138049</v>
      </c>
    </row>
    <row r="4248" spans="3:3" hidden="1" outlineLevel="1" collapsed="1" x14ac:dyDescent="0.25">
      <c r="C4248" s="9">
        <f>Дельта!$B$673</f>
        <v>94313</v>
      </c>
    </row>
    <row r="4249" spans="3:3" hidden="1" outlineLevel="1" collapsed="1" x14ac:dyDescent="0.25">
      <c r="C4249" s="9">
        <f>Дельта!$B$699</f>
        <v>143095</v>
      </c>
    </row>
    <row r="4250" spans="3:3" hidden="1" outlineLevel="1" collapsed="1" x14ac:dyDescent="0.25">
      <c r="C4250" s="9">
        <f>Дельта!$B$724</f>
        <v>123548</v>
      </c>
    </row>
    <row r="4251" spans="3:3" hidden="1" outlineLevel="1" collapsed="1" x14ac:dyDescent="0.25">
      <c r="C4251" s="9">
        <f>Дельта!$B$750</f>
        <v>90237</v>
      </c>
    </row>
    <row r="4252" spans="3:3" hidden="1" outlineLevel="1" collapsed="1" x14ac:dyDescent="0.25">
      <c r="C4252" s="9">
        <f>Дельта!$B$776</f>
        <v>67505.440000000002</v>
      </c>
    </row>
    <row r="4253" spans="3:3" hidden="1" outlineLevel="1" collapsed="1" x14ac:dyDescent="0.25">
      <c r="C4253" s="9">
        <f>Дельта!$B$801</f>
        <v>146437</v>
      </c>
    </row>
    <row r="4254" spans="3:3" hidden="1" outlineLevel="1" collapsed="1" x14ac:dyDescent="0.25">
      <c r="C4254" s="9">
        <f>Дельта!$B$827</f>
        <v>81837</v>
      </c>
    </row>
    <row r="4255" spans="3:3" hidden="1" outlineLevel="1" collapsed="1" x14ac:dyDescent="0.25">
      <c r="C4255" s="9">
        <f>Дельта!$B$853</f>
        <v>92853</v>
      </c>
    </row>
    <row r="4256" spans="3:3" hidden="1" outlineLevel="1" collapsed="1" x14ac:dyDescent="0.25">
      <c r="C4256" s="9">
        <f>Дельта!$B$879</f>
        <v>138332</v>
      </c>
    </row>
    <row r="4257" spans="1:3" hidden="1" outlineLevel="1" collapsed="1" x14ac:dyDescent="0.25">
      <c r="C4257" s="9">
        <f>Дельта!$B$905</f>
        <v>126803</v>
      </c>
    </row>
    <row r="4258" spans="1:3" hidden="1" outlineLevel="1" collapsed="1" x14ac:dyDescent="0.25">
      <c r="C4258" s="9">
        <f>Дельта!$B$931</f>
        <v>102068</v>
      </c>
    </row>
    <row r="4259" spans="1:3" hidden="1" outlineLevel="1" collapsed="1" x14ac:dyDescent="0.25">
      <c r="C4259" s="9">
        <f>Дельта!$B$956</f>
        <v>83981.58</v>
      </c>
    </row>
    <row r="4260" spans="1:3" hidden="1" outlineLevel="1" collapsed="1" x14ac:dyDescent="0.25">
      <c r="C4260" s="9">
        <f>Дельта!$B$982</f>
        <v>65272.35</v>
      </c>
    </row>
    <row r="4261" spans="1:3" hidden="1" outlineLevel="1" collapsed="1" x14ac:dyDescent="0.25">
      <c r="C4261" s="9">
        <f>Дельта!$B$1007</f>
        <v>62520</v>
      </c>
    </row>
    <row r="4262" spans="1:3" hidden="1" outlineLevel="1" collapsed="1" x14ac:dyDescent="0.25">
      <c r="C4262" s="9">
        <f>Дельта!$B$1032</f>
        <v>68202</v>
      </c>
    </row>
    <row r="4263" spans="1:3" hidden="1" outlineLevel="1" collapsed="1" x14ac:dyDescent="0.25">
      <c r="C4263" s="9">
        <f>Дельта!$B$1058</f>
        <v>84170.2</v>
      </c>
    </row>
    <row r="4264" spans="1:3" hidden="1" outlineLevel="1" collapsed="1" x14ac:dyDescent="0.25">
      <c r="C4264" s="9">
        <f>Дельта!$B$1083</f>
        <v>96237.4</v>
      </c>
    </row>
    <row r="4265" spans="1:3" hidden="1" outlineLevel="1" collapsed="1" x14ac:dyDescent="0.25">
      <c r="C4265" s="9">
        <f>Дельта!$B$1108</f>
        <v>76822</v>
      </c>
    </row>
    <row r="4266" spans="1:3" hidden="1" outlineLevel="1" collapsed="1" x14ac:dyDescent="0.25">
      <c r="C4266" s="9">
        <f>Дельта!$B$1133</f>
        <v>95617</v>
      </c>
    </row>
    <row r="4267" spans="1:3" hidden="1" outlineLevel="1" collapsed="1" x14ac:dyDescent="0.25">
      <c r="C4267" s="9">
        <f>Дельта!$B$1157</f>
        <v>69276</v>
      </c>
    </row>
    <row r="4268" spans="1:3" hidden="1" outlineLevel="1" collapsed="1" x14ac:dyDescent="0.25">
      <c r="C4268" s="9">
        <f>Дельта!$B$1180</f>
        <v>66822.17</v>
      </c>
    </row>
    <row r="4269" spans="1:3" hidden="1" outlineLevel="1" collapsed="1" x14ac:dyDescent="0.25">
      <c r="C4269" s="9">
        <f>Дельта!$B$1205</f>
        <v>137508.20000000001</v>
      </c>
    </row>
    <row r="4270" spans="1:3" hidden="1" outlineLevel="1" collapsed="1" x14ac:dyDescent="0.25">
      <c r="C4270" s="9">
        <f>Дельта!$B$1230</f>
        <v>128017</v>
      </c>
    </row>
    <row r="4271" spans="1:3" hidden="1" outlineLevel="1" collapsed="1" x14ac:dyDescent="0.25">
      <c r="C4271" s="9">
        <f>Дельта!$B$1254</f>
        <v>103868</v>
      </c>
    </row>
    <row r="4272" spans="1:3" collapsed="1" x14ac:dyDescent="0.25">
      <c r="A4272" t="s">
        <v>25</v>
      </c>
      <c r="C4272" s="9">
        <f>SUM(C4076:C4271)</f>
        <v>28220440.139999986</v>
      </c>
    </row>
    <row r="4273" spans="2:3" hidden="1" outlineLevel="1" x14ac:dyDescent="0.25">
      <c r="B4273" t="s">
        <v>72</v>
      </c>
      <c r="C4273" s="9">
        <f>Альфа!$B$26</f>
        <v>551119.04</v>
      </c>
    </row>
    <row r="4274" spans="2:3" hidden="1" outlineLevel="1" collapsed="1" x14ac:dyDescent="0.25">
      <c r="C4274" s="9">
        <f>Альфа!$B$52</f>
        <v>501703.57</v>
      </c>
    </row>
    <row r="4275" spans="2:3" hidden="1" outlineLevel="1" collapsed="1" x14ac:dyDescent="0.25">
      <c r="C4275" s="9">
        <f>Альфа!$B$78</f>
        <v>528975.64</v>
      </c>
    </row>
    <row r="4276" spans="2:3" hidden="1" outlineLevel="1" collapsed="1" x14ac:dyDescent="0.25">
      <c r="C4276" s="9">
        <f>Альфа!$B$104</f>
        <v>504392.34</v>
      </c>
    </row>
    <row r="4277" spans="2:3" hidden="1" outlineLevel="1" collapsed="1" x14ac:dyDescent="0.25">
      <c r="C4277" s="9">
        <f>Альфа!$B$131</f>
        <v>596715.32999999996</v>
      </c>
    </row>
    <row r="4278" spans="2:3" hidden="1" outlineLevel="1" collapsed="1" x14ac:dyDescent="0.25">
      <c r="C4278" s="9">
        <f>Альфа!$B$158</f>
        <v>691964.79</v>
      </c>
    </row>
    <row r="4279" spans="2:3" hidden="1" outlineLevel="1" collapsed="1" x14ac:dyDescent="0.25">
      <c r="C4279" s="9">
        <f>Альфа!$B$184</f>
        <v>634052.31999999995</v>
      </c>
    </row>
    <row r="4280" spans="2:3" hidden="1" outlineLevel="1" collapsed="1" x14ac:dyDescent="0.25">
      <c r="C4280" s="9">
        <f>Альфа!$B$210</f>
        <v>561850.92000000004</v>
      </c>
    </row>
    <row r="4281" spans="2:3" hidden="1" outlineLevel="1" collapsed="1" x14ac:dyDescent="0.25">
      <c r="C4281" s="9">
        <f>Альфа!$B$236</f>
        <v>422931.65</v>
      </c>
    </row>
    <row r="4282" spans="2:3" hidden="1" outlineLevel="1" collapsed="1" x14ac:dyDescent="0.25">
      <c r="C4282" s="9">
        <f>Альфа!$B$263</f>
        <v>392714.46</v>
      </c>
    </row>
    <row r="4283" spans="2:3" hidden="1" outlineLevel="1" collapsed="1" x14ac:dyDescent="0.25">
      <c r="C4283" s="9">
        <f>Альфа!$B$289</f>
        <v>399187.35</v>
      </c>
    </row>
    <row r="4284" spans="2:3" hidden="1" outlineLevel="1" collapsed="1" x14ac:dyDescent="0.25">
      <c r="C4284" s="9">
        <f>Альфа!$B$315</f>
        <v>561308.91</v>
      </c>
    </row>
    <row r="4285" spans="2:3" hidden="1" outlineLevel="1" collapsed="1" x14ac:dyDescent="0.25">
      <c r="C4285" s="9">
        <f>Альфа!$B$341</f>
        <v>630647.32999999996</v>
      </c>
    </row>
    <row r="4286" spans="2:3" hidden="1" outlineLevel="1" collapsed="1" x14ac:dyDescent="0.25">
      <c r="C4286" s="9">
        <f>Альфа!$B$367</f>
        <v>546210.89</v>
      </c>
    </row>
    <row r="4287" spans="2:3" hidden="1" outlineLevel="1" collapsed="1" x14ac:dyDescent="0.25">
      <c r="C4287" s="9">
        <f>Альфа!$B$394</f>
        <v>424705.39</v>
      </c>
    </row>
    <row r="4288" spans="2:3" hidden="1" outlineLevel="1" collapsed="1" x14ac:dyDescent="0.25">
      <c r="C4288" s="9">
        <f>Альфа!$B$420</f>
        <v>494779.37</v>
      </c>
    </row>
    <row r="4289" spans="3:3" hidden="1" outlineLevel="1" collapsed="1" x14ac:dyDescent="0.25">
      <c r="C4289" s="9">
        <f>Альфа!$B$445</f>
        <v>511141.32</v>
      </c>
    </row>
    <row r="4290" spans="3:3" hidden="1" outlineLevel="1" collapsed="1" x14ac:dyDescent="0.25">
      <c r="C4290" s="9">
        <f>Альфа!$B$470</f>
        <v>665707.81000000006</v>
      </c>
    </row>
    <row r="4291" spans="3:3" hidden="1" outlineLevel="1" collapsed="1" x14ac:dyDescent="0.25">
      <c r="C4291" s="9">
        <f>Альфа!$B$496</f>
        <v>673269.74</v>
      </c>
    </row>
    <row r="4292" spans="3:3" hidden="1" outlineLevel="1" collapsed="1" x14ac:dyDescent="0.25">
      <c r="C4292" s="9">
        <f>Альфа!$B$521</f>
        <v>755946.89</v>
      </c>
    </row>
    <row r="4293" spans="3:3" hidden="1" outlineLevel="1" collapsed="1" x14ac:dyDescent="0.25">
      <c r="C4293" s="9">
        <f>Альфа!$B$546</f>
        <v>580202.93999999994</v>
      </c>
    </row>
    <row r="4294" spans="3:3" hidden="1" outlineLevel="1" collapsed="1" x14ac:dyDescent="0.25">
      <c r="C4294" s="9">
        <f>Альфа!$B$570</f>
        <v>402300.75</v>
      </c>
    </row>
    <row r="4295" spans="3:3" hidden="1" outlineLevel="1" collapsed="1" x14ac:dyDescent="0.25">
      <c r="C4295" s="9">
        <f>Альфа!$B$596</f>
        <v>342734.27</v>
      </c>
    </row>
    <row r="4296" spans="3:3" hidden="1" outlineLevel="1" collapsed="1" x14ac:dyDescent="0.25">
      <c r="C4296" s="9">
        <f>Альфа!$B$620</f>
        <v>379995.82</v>
      </c>
    </row>
    <row r="4297" spans="3:3" hidden="1" outlineLevel="1" collapsed="1" x14ac:dyDescent="0.25">
      <c r="C4297" s="9">
        <f>Альфа!$B$645</f>
        <v>459153.32</v>
      </c>
    </row>
    <row r="4298" spans="3:3" hidden="1" outlineLevel="1" collapsed="1" x14ac:dyDescent="0.25">
      <c r="C4298" s="9">
        <f>Альфа!$B$670</f>
        <v>416874.59</v>
      </c>
    </row>
    <row r="4299" spans="3:3" hidden="1" outlineLevel="1" collapsed="1" x14ac:dyDescent="0.25">
      <c r="C4299" s="9">
        <f>Альфа!$B$695</f>
        <v>589520.53</v>
      </c>
    </row>
    <row r="4300" spans="3:3" hidden="1" outlineLevel="1" collapsed="1" x14ac:dyDescent="0.25">
      <c r="C4300" s="9">
        <f>Альфа!$B$721</f>
        <v>503900.07</v>
      </c>
    </row>
    <row r="4301" spans="3:3" hidden="1" outlineLevel="1" collapsed="1" x14ac:dyDescent="0.25">
      <c r="C4301" s="9">
        <f>Альфа!$B$744</f>
        <v>328581.21000000002</v>
      </c>
    </row>
    <row r="4302" spans="3:3" hidden="1" outlineLevel="1" collapsed="1" x14ac:dyDescent="0.25">
      <c r="C4302" s="9">
        <f>Альфа!$B$770</f>
        <v>328356.65000000002</v>
      </c>
    </row>
    <row r="4303" spans="3:3" hidden="1" outlineLevel="1" collapsed="1" x14ac:dyDescent="0.25">
      <c r="C4303" s="9">
        <f>Альфа!$B$793</f>
        <v>311518.67</v>
      </c>
    </row>
    <row r="4304" spans="3:3" hidden="1" outlineLevel="1" collapsed="1" x14ac:dyDescent="0.25">
      <c r="C4304" s="9">
        <f>Альфа!$B$818</f>
        <v>329720.7</v>
      </c>
    </row>
    <row r="4305" spans="3:3" hidden="1" outlineLevel="1" collapsed="1" x14ac:dyDescent="0.25">
      <c r="C4305" s="9">
        <f>Альфа!$B$842</f>
        <v>423845.98</v>
      </c>
    </row>
    <row r="4306" spans="3:3" hidden="1" outlineLevel="1" collapsed="1" x14ac:dyDescent="0.25">
      <c r="C4306" s="9">
        <f>Альфа!$B$867</f>
        <v>1175862.27</v>
      </c>
    </row>
    <row r="4307" spans="3:3" hidden="1" outlineLevel="1" collapsed="1" x14ac:dyDescent="0.25">
      <c r="C4307" s="9">
        <f>Альфа!$B$892</f>
        <v>472420.09</v>
      </c>
    </row>
    <row r="4308" spans="3:3" hidden="1" outlineLevel="1" collapsed="1" x14ac:dyDescent="0.25">
      <c r="C4308" s="9">
        <f>Альфа!$B$917</f>
        <v>323085.56</v>
      </c>
    </row>
    <row r="4309" spans="3:3" hidden="1" outlineLevel="1" collapsed="1" x14ac:dyDescent="0.25">
      <c r="C4309" s="9">
        <f>Альфа!$B$942</f>
        <v>317931.7</v>
      </c>
    </row>
    <row r="4310" spans="3:3" hidden="1" outlineLevel="1" collapsed="1" x14ac:dyDescent="0.25">
      <c r="C4310" s="9">
        <f>Альфа!$B$967</f>
        <v>290082.96000000002</v>
      </c>
    </row>
    <row r="4311" spans="3:3" hidden="1" outlineLevel="1" collapsed="1" x14ac:dyDescent="0.25">
      <c r="C4311" s="9">
        <f>Альфа!$B$992</f>
        <v>238135.11</v>
      </c>
    </row>
    <row r="4312" spans="3:3" hidden="1" outlineLevel="1" collapsed="1" x14ac:dyDescent="0.25">
      <c r="C4312" s="9">
        <f>Альфа!$B$1017</f>
        <v>212701.41</v>
      </c>
    </row>
    <row r="4313" spans="3:3" hidden="1" outlineLevel="1" collapsed="1" x14ac:dyDescent="0.25">
      <c r="C4313" s="9">
        <f>Альфа!$B$1042</f>
        <v>235050.6</v>
      </c>
    </row>
    <row r="4314" spans="3:3" hidden="1" outlineLevel="1" collapsed="1" x14ac:dyDescent="0.25">
      <c r="C4314" s="9">
        <f>Альфа!$B$1068</f>
        <v>253268.73</v>
      </c>
    </row>
    <row r="4315" spans="3:3" hidden="1" outlineLevel="1" collapsed="1" x14ac:dyDescent="0.25">
      <c r="C4315" s="9">
        <f>Альфа!$B$1093</f>
        <v>221137.93</v>
      </c>
    </row>
    <row r="4316" spans="3:3" hidden="1" outlineLevel="1" collapsed="1" x14ac:dyDescent="0.25">
      <c r="C4316" s="9">
        <f>Альфа!$B$1117</f>
        <v>253017.36</v>
      </c>
    </row>
    <row r="4317" spans="3:3" hidden="1" outlineLevel="1" collapsed="1" x14ac:dyDescent="0.25">
      <c r="C4317" s="9">
        <f>Альфа!$B$1143</f>
        <v>275552.21999999997</v>
      </c>
    </row>
    <row r="4318" spans="3:3" hidden="1" outlineLevel="1" collapsed="1" x14ac:dyDescent="0.25">
      <c r="C4318" s="9">
        <f>Альфа!$B$1168</f>
        <v>349705.99</v>
      </c>
    </row>
    <row r="4319" spans="3:3" hidden="1" outlineLevel="1" collapsed="1" x14ac:dyDescent="0.25">
      <c r="C4319" s="9">
        <f>Альфа!$B$1194</f>
        <v>349465.81</v>
      </c>
    </row>
    <row r="4320" spans="3:3" hidden="1" outlineLevel="1" collapsed="1" x14ac:dyDescent="0.25">
      <c r="C4320" s="9">
        <f>Альфа!$B$1220</f>
        <v>332124.45</v>
      </c>
    </row>
    <row r="4321" spans="2:3" hidden="1" outlineLevel="1" collapsed="1" x14ac:dyDescent="0.25">
      <c r="C4321" s="9">
        <f>Альфа!$B$1243</f>
        <v>315792.06</v>
      </c>
    </row>
    <row r="4322" spans="2:3" hidden="1" outlineLevel="1" collapsed="1" x14ac:dyDescent="0.25">
      <c r="B4322" t="s">
        <v>72</v>
      </c>
      <c r="C4322" s="9">
        <f>Бета!$B$22</f>
        <v>65629.960000000006</v>
      </c>
    </row>
    <row r="4323" spans="2:3" hidden="1" outlineLevel="1" collapsed="1" x14ac:dyDescent="0.25">
      <c r="C4323" s="9">
        <f>Бета!$B$44</f>
        <v>48586.05</v>
      </c>
    </row>
    <row r="4324" spans="2:3" hidden="1" outlineLevel="1" collapsed="1" x14ac:dyDescent="0.25">
      <c r="C4324" s="9">
        <f>Бета!$B$66</f>
        <v>57979.59</v>
      </c>
    </row>
    <row r="4325" spans="2:3" hidden="1" outlineLevel="1" collapsed="1" x14ac:dyDescent="0.25">
      <c r="C4325" s="9">
        <f>Бета!$B$88</f>
        <v>97230.48</v>
      </c>
    </row>
    <row r="4326" spans="2:3" hidden="1" outlineLevel="1" collapsed="1" x14ac:dyDescent="0.25">
      <c r="C4326" s="9">
        <f>Бета!$B$110</f>
        <v>117983.28</v>
      </c>
    </row>
    <row r="4327" spans="2:3" hidden="1" outlineLevel="1" collapsed="1" x14ac:dyDescent="0.25">
      <c r="C4327" s="9">
        <f>Бета!$B$132</f>
        <v>699873.42</v>
      </c>
    </row>
    <row r="4328" spans="2:3" hidden="1" outlineLevel="1" collapsed="1" x14ac:dyDescent="0.25">
      <c r="C4328" s="9">
        <f>Бета!$B$154</f>
        <v>114898.71</v>
      </c>
    </row>
    <row r="4329" spans="2:3" hidden="1" outlineLevel="1" collapsed="1" x14ac:dyDescent="0.25">
      <c r="C4329" s="9">
        <f>Бета!$B$176</f>
        <v>52644.43</v>
      </c>
    </row>
    <row r="4330" spans="2:3" hidden="1" outlineLevel="1" collapsed="1" x14ac:dyDescent="0.25">
      <c r="C4330" s="9">
        <f>Бета!$B$198</f>
        <v>88117.35</v>
      </c>
    </row>
    <row r="4331" spans="2:3" hidden="1" outlineLevel="1" collapsed="1" x14ac:dyDescent="0.25">
      <c r="C4331" s="9">
        <f>Бета!$B$220</f>
        <v>68018.91</v>
      </c>
    </row>
    <row r="4332" spans="2:3" hidden="1" outlineLevel="1" collapsed="1" x14ac:dyDescent="0.25">
      <c r="C4332" s="9">
        <f>Бета!$B$242</f>
        <v>94167.31</v>
      </c>
    </row>
    <row r="4333" spans="2:3" hidden="1" outlineLevel="1" collapsed="1" x14ac:dyDescent="0.25">
      <c r="C4333" s="9">
        <f>Бета!$B$264</f>
        <v>60976.4</v>
      </c>
    </row>
    <row r="4334" spans="2:3" hidden="1" outlineLevel="1" collapsed="1" x14ac:dyDescent="0.25">
      <c r="C4334" s="9">
        <f>Бета!$B$285</f>
        <v>136763.18</v>
      </c>
    </row>
    <row r="4335" spans="2:3" hidden="1" outlineLevel="1" collapsed="1" x14ac:dyDescent="0.25">
      <c r="C4335" s="9">
        <f>Бета!$B$307</f>
        <v>158361.01</v>
      </c>
    </row>
    <row r="4336" spans="2:3" hidden="1" outlineLevel="1" collapsed="1" x14ac:dyDescent="0.25">
      <c r="C4336" s="9">
        <f>Бета!$B$329</f>
        <v>59698.81</v>
      </c>
    </row>
    <row r="4337" spans="3:3" hidden="1" outlineLevel="1" collapsed="1" x14ac:dyDescent="0.25">
      <c r="C4337" s="9">
        <f>Бета!$B$350</f>
        <v>58623.23</v>
      </c>
    </row>
    <row r="4338" spans="3:3" hidden="1" outlineLevel="1" collapsed="1" x14ac:dyDescent="0.25">
      <c r="C4338" s="9">
        <f>Бета!$B$371</f>
        <v>84732.79</v>
      </c>
    </row>
    <row r="4339" spans="3:3" hidden="1" outlineLevel="1" collapsed="1" x14ac:dyDescent="0.25">
      <c r="C4339" s="9">
        <f>Бета!$B$392</f>
        <v>72980.850000000006</v>
      </c>
    </row>
    <row r="4340" spans="3:3" hidden="1" outlineLevel="1" collapsed="1" x14ac:dyDescent="0.25">
      <c r="C4340" s="9">
        <f>Бета!$B$413</f>
        <v>74341.31</v>
      </c>
    </row>
    <row r="4341" spans="3:3" hidden="1" outlineLevel="1" collapsed="1" x14ac:dyDescent="0.25">
      <c r="C4341" s="9">
        <f>Бета!$B$434</f>
        <v>130342.71</v>
      </c>
    </row>
    <row r="4342" spans="3:3" hidden="1" outlineLevel="1" collapsed="1" x14ac:dyDescent="0.25">
      <c r="C4342" s="9">
        <f>Бета!$B$455</f>
        <v>102688.53</v>
      </c>
    </row>
    <row r="4343" spans="3:3" hidden="1" outlineLevel="1" collapsed="1" x14ac:dyDescent="0.25">
      <c r="C4343" s="9">
        <f>Бета!$B$476</f>
        <v>48877.94</v>
      </c>
    </row>
    <row r="4344" spans="3:3" hidden="1" outlineLevel="1" collapsed="1" x14ac:dyDescent="0.25">
      <c r="C4344" s="9">
        <f>Бета!$B$497</f>
        <v>29468.81</v>
      </c>
    </row>
    <row r="4345" spans="3:3" hidden="1" outlineLevel="1" collapsed="1" x14ac:dyDescent="0.25">
      <c r="C4345" s="9">
        <f>Бета!$B$518</f>
        <v>49855.82</v>
      </c>
    </row>
    <row r="4346" spans="3:3" hidden="1" outlineLevel="1" collapsed="1" x14ac:dyDescent="0.25">
      <c r="C4346" s="9">
        <f>Бета!$B$539</f>
        <v>71258.009999999995</v>
      </c>
    </row>
    <row r="4347" spans="3:3" hidden="1" outlineLevel="1" collapsed="1" x14ac:dyDescent="0.25">
      <c r="C4347" s="9">
        <f>Бета!$B$558</f>
        <v>35326.85</v>
      </c>
    </row>
    <row r="4348" spans="3:3" hidden="1" outlineLevel="1" collapsed="1" x14ac:dyDescent="0.25">
      <c r="C4348" s="9">
        <f>Бета!$B$578</f>
        <v>81556.039999999994</v>
      </c>
    </row>
    <row r="4349" spans="3:3" hidden="1" outlineLevel="1" collapsed="1" x14ac:dyDescent="0.25">
      <c r="C4349" s="9">
        <f>Бета!$B$598</f>
        <v>63795.47</v>
      </c>
    </row>
    <row r="4350" spans="3:3" hidden="1" outlineLevel="1" collapsed="1" x14ac:dyDescent="0.25">
      <c r="C4350" s="9">
        <f>Бета!$B$617</f>
        <v>35663.18</v>
      </c>
    </row>
    <row r="4351" spans="3:3" hidden="1" outlineLevel="1" collapsed="1" x14ac:dyDescent="0.25">
      <c r="C4351" s="9">
        <f>Бета!$B$637</f>
        <v>53981.09</v>
      </c>
    </row>
    <row r="4352" spans="3:3" hidden="1" outlineLevel="1" collapsed="1" x14ac:dyDescent="0.25">
      <c r="C4352" s="9">
        <f>Бета!$B$657</f>
        <v>43897.02</v>
      </c>
    </row>
    <row r="4353" spans="3:3" hidden="1" outlineLevel="1" collapsed="1" x14ac:dyDescent="0.25">
      <c r="C4353" s="9">
        <f>Бета!$B$677</f>
        <v>39835.67</v>
      </c>
    </row>
    <row r="4354" spans="3:3" hidden="1" outlineLevel="1" collapsed="1" x14ac:dyDescent="0.25">
      <c r="C4354" s="9">
        <f>Бета!$B$698</f>
        <v>40353.25</v>
      </c>
    </row>
    <row r="4355" spans="3:3" hidden="1" outlineLevel="1" collapsed="1" x14ac:dyDescent="0.25">
      <c r="C4355" s="9">
        <f>Бета!$B$718</f>
        <v>194809.21</v>
      </c>
    </row>
    <row r="4356" spans="3:3" hidden="1" outlineLevel="1" collapsed="1" x14ac:dyDescent="0.25">
      <c r="C4356" s="9">
        <f>Бета!$B$739</f>
        <v>57982.06</v>
      </c>
    </row>
    <row r="4357" spans="3:3" hidden="1" outlineLevel="1" collapsed="1" x14ac:dyDescent="0.25">
      <c r="C4357" s="9">
        <f>Бета!$B$759</f>
        <v>37662.11</v>
      </c>
    </row>
    <row r="4358" spans="3:3" hidden="1" outlineLevel="1" collapsed="1" x14ac:dyDescent="0.25">
      <c r="C4358" s="9">
        <f>Бета!$B$779</f>
        <v>25152.98</v>
      </c>
    </row>
    <row r="4359" spans="3:3" hidden="1" outlineLevel="1" collapsed="1" x14ac:dyDescent="0.25">
      <c r="C4359" s="9">
        <f>Бета!$B$799</f>
        <v>44243.1</v>
      </c>
    </row>
    <row r="4360" spans="3:3" hidden="1" outlineLevel="1" collapsed="1" x14ac:dyDescent="0.25">
      <c r="C4360" s="9">
        <f>Бета!$B$819</f>
        <v>21528.13</v>
      </c>
    </row>
    <row r="4361" spans="3:3" hidden="1" outlineLevel="1" collapsed="1" x14ac:dyDescent="0.25">
      <c r="C4361" s="9">
        <f>Бета!$B$839</f>
        <v>25162.67</v>
      </c>
    </row>
    <row r="4362" spans="3:3" hidden="1" outlineLevel="1" collapsed="1" x14ac:dyDescent="0.25">
      <c r="C4362" s="9">
        <f>Бета!$B$859</f>
        <v>41330.82</v>
      </c>
    </row>
    <row r="4363" spans="3:3" hidden="1" outlineLevel="1" collapsed="1" x14ac:dyDescent="0.25">
      <c r="C4363" s="9">
        <f>Бета!$B$879</f>
        <v>37637.79</v>
      </c>
    </row>
    <row r="4364" spans="3:3" hidden="1" outlineLevel="1" collapsed="1" x14ac:dyDescent="0.25">
      <c r="C4364" s="9">
        <f>Бета!$B$899</f>
        <v>18797.900000000001</v>
      </c>
    </row>
    <row r="4365" spans="3:3" hidden="1" outlineLevel="1" collapsed="1" x14ac:dyDescent="0.25">
      <c r="C4365" s="9">
        <f>Бета!$B$918</f>
        <v>31796.1</v>
      </c>
    </row>
    <row r="4366" spans="3:3" hidden="1" outlineLevel="1" collapsed="1" x14ac:dyDescent="0.25">
      <c r="C4366" s="9">
        <f>Бета!$B$938</f>
        <v>34413.089999999997</v>
      </c>
    </row>
    <row r="4367" spans="3:3" hidden="1" outlineLevel="1" collapsed="1" x14ac:dyDescent="0.25">
      <c r="C4367" s="9">
        <f>Бета!$B$958</f>
        <v>27586.22</v>
      </c>
    </row>
    <row r="4368" spans="3:3" hidden="1" outlineLevel="1" collapsed="1" x14ac:dyDescent="0.25">
      <c r="C4368" s="9">
        <f>Бета!$B$978</f>
        <v>38969.919999999998</v>
      </c>
    </row>
    <row r="4369" spans="2:3" hidden="1" outlineLevel="1" collapsed="1" x14ac:dyDescent="0.25">
      <c r="C4369" s="9">
        <f>Бета!$B$998</f>
        <v>45685.05</v>
      </c>
    </row>
    <row r="4370" spans="2:3" hidden="1" outlineLevel="1" collapsed="1" x14ac:dyDescent="0.25">
      <c r="C4370" s="9">
        <f>Бета!$B$1017</f>
        <v>28669.86</v>
      </c>
    </row>
    <row r="4371" spans="2:3" hidden="1" outlineLevel="1" collapsed="1" x14ac:dyDescent="0.25">
      <c r="B4371" t="s">
        <v>72</v>
      </c>
      <c r="C4371" s="9">
        <f>Гамма!$B$26</f>
        <v>319370.98</v>
      </c>
    </row>
    <row r="4372" spans="2:3" hidden="1" outlineLevel="1" collapsed="1" x14ac:dyDescent="0.25">
      <c r="C4372" s="9">
        <f>Гамма!$B$53</f>
        <v>331624.52</v>
      </c>
    </row>
    <row r="4373" spans="2:3" hidden="1" outlineLevel="1" collapsed="1" x14ac:dyDescent="0.25">
      <c r="C4373" s="9">
        <f>Гамма!$B$80</f>
        <v>350468.96</v>
      </c>
    </row>
    <row r="4374" spans="2:3" hidden="1" outlineLevel="1" collapsed="1" x14ac:dyDescent="0.25">
      <c r="C4374" s="9">
        <f>Гамма!$B$106</f>
        <v>353730.8</v>
      </c>
    </row>
    <row r="4375" spans="2:3" hidden="1" outlineLevel="1" collapsed="1" x14ac:dyDescent="0.25">
      <c r="C4375" s="9">
        <f>Гамма!$B$132</f>
        <v>347115.49</v>
      </c>
    </row>
    <row r="4376" spans="2:3" hidden="1" outlineLevel="1" collapsed="1" x14ac:dyDescent="0.25">
      <c r="C4376" s="9">
        <f>Гамма!$B$158</f>
        <v>596846.01</v>
      </c>
    </row>
    <row r="4377" spans="2:3" hidden="1" outlineLevel="1" collapsed="1" x14ac:dyDescent="0.25">
      <c r="C4377" s="9">
        <f>Гамма!$B$185</f>
        <v>517836.01</v>
      </c>
    </row>
    <row r="4378" spans="2:3" hidden="1" outlineLevel="1" collapsed="1" x14ac:dyDescent="0.25">
      <c r="C4378" s="9">
        <f>Гамма!$B$212</f>
        <v>293376.94</v>
      </c>
    </row>
    <row r="4379" spans="2:3" hidden="1" outlineLevel="1" collapsed="1" x14ac:dyDescent="0.25">
      <c r="C4379" s="9">
        <f>Гамма!$B$238</f>
        <v>287543.45</v>
      </c>
    </row>
    <row r="4380" spans="2:3" hidden="1" outlineLevel="1" collapsed="1" x14ac:dyDescent="0.25">
      <c r="C4380" s="9">
        <f>Гамма!$B$264</f>
        <v>322729.8</v>
      </c>
    </row>
    <row r="4381" spans="2:3" hidden="1" outlineLevel="1" collapsed="1" x14ac:dyDescent="0.25">
      <c r="C4381" s="9">
        <f>Гамма!$B$290</f>
        <v>332840.43</v>
      </c>
    </row>
    <row r="4382" spans="2:3" hidden="1" outlineLevel="1" collapsed="1" x14ac:dyDescent="0.25">
      <c r="C4382" s="9">
        <f>Гамма!$B$316</f>
        <v>437579.45</v>
      </c>
    </row>
    <row r="4383" spans="2:3" hidden="1" outlineLevel="1" collapsed="1" x14ac:dyDescent="0.25">
      <c r="C4383" s="9">
        <f>Гамма!$B$342</f>
        <v>701342.17</v>
      </c>
    </row>
    <row r="4384" spans="2:3" hidden="1" outlineLevel="1" collapsed="1" x14ac:dyDescent="0.25">
      <c r="C4384" s="9">
        <f>Гамма!$B$367</f>
        <v>649890.51</v>
      </c>
    </row>
    <row r="4385" spans="3:3" hidden="1" outlineLevel="1" collapsed="1" x14ac:dyDescent="0.25">
      <c r="C4385" s="9">
        <f>Гамма!$B$393</f>
        <v>321844.78000000003</v>
      </c>
    </row>
    <row r="4386" spans="3:3" hidden="1" outlineLevel="1" collapsed="1" x14ac:dyDescent="0.25">
      <c r="C4386" s="9">
        <f>Гамма!$B$420</f>
        <v>280755.58</v>
      </c>
    </row>
    <row r="4387" spans="3:3" hidden="1" outlineLevel="1" collapsed="1" x14ac:dyDescent="0.25">
      <c r="C4387" s="9">
        <f>Гамма!$B$447</f>
        <v>345571.03</v>
      </c>
    </row>
    <row r="4388" spans="3:3" hidden="1" outlineLevel="1" collapsed="1" x14ac:dyDescent="0.25">
      <c r="C4388" s="9">
        <f>Гамма!$B$473</f>
        <v>454060.23</v>
      </c>
    </row>
    <row r="4389" spans="3:3" hidden="1" outlineLevel="1" collapsed="1" x14ac:dyDescent="0.25">
      <c r="C4389" s="9">
        <f>Гамма!$B$499</f>
        <v>352201.46</v>
      </c>
    </row>
    <row r="4390" spans="3:3" hidden="1" outlineLevel="1" collapsed="1" x14ac:dyDescent="0.25">
      <c r="C4390" s="9">
        <f>Гамма!$B$525</f>
        <v>601044.61</v>
      </c>
    </row>
    <row r="4391" spans="3:3" hidden="1" outlineLevel="1" collapsed="1" x14ac:dyDescent="0.25">
      <c r="C4391" s="9">
        <f>Гамма!$B$551</f>
        <v>504708.83</v>
      </c>
    </row>
    <row r="4392" spans="3:3" hidden="1" outlineLevel="1" collapsed="1" x14ac:dyDescent="0.25">
      <c r="C4392" s="9">
        <f>Гамма!$B$576</f>
        <v>293768.99</v>
      </c>
    </row>
    <row r="4393" spans="3:3" hidden="1" outlineLevel="1" collapsed="1" x14ac:dyDescent="0.25">
      <c r="C4393" s="9">
        <f>Гамма!$B$602</f>
        <v>250926.25</v>
      </c>
    </row>
    <row r="4394" spans="3:3" hidden="1" outlineLevel="1" collapsed="1" x14ac:dyDescent="0.25">
      <c r="C4394" s="9">
        <f>Гамма!$B$628</f>
        <v>352661.23</v>
      </c>
    </row>
    <row r="4395" spans="3:3" hidden="1" outlineLevel="1" collapsed="1" x14ac:dyDescent="0.25">
      <c r="C4395" s="9">
        <f>Гамма!$B$654</f>
        <v>350497.06</v>
      </c>
    </row>
    <row r="4396" spans="3:3" hidden="1" outlineLevel="1" collapsed="1" x14ac:dyDescent="0.25">
      <c r="C4396" s="9">
        <f>Гамма!$B$680</f>
        <v>365309.95</v>
      </c>
    </row>
    <row r="4397" spans="3:3" hidden="1" outlineLevel="1" collapsed="1" x14ac:dyDescent="0.25">
      <c r="C4397" s="9">
        <f>Гамма!$B$706</f>
        <v>541621.68000000005</v>
      </c>
    </row>
    <row r="4398" spans="3:3" hidden="1" outlineLevel="1" collapsed="1" x14ac:dyDescent="0.25">
      <c r="C4398" s="9">
        <f>Гамма!$B$732</f>
        <v>475876.68</v>
      </c>
    </row>
    <row r="4399" spans="3:3" hidden="1" outlineLevel="1" collapsed="1" x14ac:dyDescent="0.25">
      <c r="C4399" s="9">
        <f>Гамма!$B$756</f>
        <v>271247.24</v>
      </c>
    </row>
    <row r="4400" spans="3:3" hidden="1" outlineLevel="1" collapsed="1" x14ac:dyDescent="0.25">
      <c r="C4400" s="9">
        <f>Гамма!$B$781</f>
        <v>223816.03</v>
      </c>
    </row>
    <row r="4401" spans="3:3" hidden="1" outlineLevel="1" collapsed="1" x14ac:dyDescent="0.25">
      <c r="C4401" s="9">
        <f>Гамма!$B$806</f>
        <v>370788.52</v>
      </c>
    </row>
    <row r="4402" spans="3:3" hidden="1" outlineLevel="1" collapsed="1" x14ac:dyDescent="0.25">
      <c r="C4402" s="9">
        <f>Гамма!$B$832</f>
        <v>276162.46000000002</v>
      </c>
    </row>
    <row r="4403" spans="3:3" hidden="1" outlineLevel="1" collapsed="1" x14ac:dyDescent="0.25">
      <c r="C4403" s="9">
        <f>Гамма!$B$858</f>
        <v>408066.26</v>
      </c>
    </row>
    <row r="4404" spans="3:3" hidden="1" outlineLevel="1" collapsed="1" x14ac:dyDescent="0.25">
      <c r="C4404" s="9">
        <f>Гамма!$B$884</f>
        <v>927134.42</v>
      </c>
    </row>
    <row r="4405" spans="3:3" hidden="1" outlineLevel="1" collapsed="1" x14ac:dyDescent="0.25">
      <c r="C4405" s="9">
        <f>Гамма!$B$910</f>
        <v>460622.38</v>
      </c>
    </row>
    <row r="4406" spans="3:3" hidden="1" outlineLevel="1" collapsed="1" x14ac:dyDescent="0.25">
      <c r="C4406" s="9">
        <f>Гамма!$B$936</f>
        <v>301991.65999999997</v>
      </c>
    </row>
    <row r="4407" spans="3:3" hidden="1" outlineLevel="1" collapsed="1" x14ac:dyDescent="0.25">
      <c r="C4407" s="9">
        <f>Гамма!$B$961</f>
        <v>264214.34000000003</v>
      </c>
    </row>
    <row r="4408" spans="3:3" hidden="1" outlineLevel="1" collapsed="1" x14ac:dyDescent="0.25">
      <c r="C4408" s="9">
        <f>Гамма!$B$987</f>
        <v>178734.04</v>
      </c>
    </row>
    <row r="4409" spans="3:3" hidden="1" outlineLevel="1" collapsed="1" x14ac:dyDescent="0.25">
      <c r="C4409" s="9">
        <f>Гамма!$B$1013</f>
        <v>115470.76</v>
      </c>
    </row>
    <row r="4410" spans="3:3" hidden="1" outlineLevel="1" collapsed="1" x14ac:dyDescent="0.25">
      <c r="C4410" s="9">
        <f>Гамма!$B$1038</f>
        <v>214333.51</v>
      </c>
    </row>
    <row r="4411" spans="3:3" hidden="1" outlineLevel="1" collapsed="1" x14ac:dyDescent="0.25">
      <c r="C4411" s="9">
        <f>Гамма!$B$1062</f>
        <v>597412.34</v>
      </c>
    </row>
    <row r="4412" spans="3:3" hidden="1" outlineLevel="1" collapsed="1" x14ac:dyDescent="0.25">
      <c r="C4412" s="9">
        <f>Гамма!$B$1087</f>
        <v>291568.51</v>
      </c>
    </row>
    <row r="4413" spans="3:3" hidden="1" outlineLevel="1" collapsed="1" x14ac:dyDescent="0.25">
      <c r="C4413" s="9">
        <f>Гамма!$B$1113</f>
        <v>181419.78</v>
      </c>
    </row>
    <row r="4414" spans="3:3" hidden="1" outlineLevel="1" collapsed="1" x14ac:dyDescent="0.25">
      <c r="C4414" s="9">
        <f>Гамма!$B$1136</f>
        <v>221133.51</v>
      </c>
    </row>
    <row r="4415" spans="3:3" hidden="1" outlineLevel="1" collapsed="1" x14ac:dyDescent="0.25">
      <c r="C4415" s="9">
        <f>Гамма!$B$1161</f>
        <v>216664.89</v>
      </c>
    </row>
    <row r="4416" spans="3:3" hidden="1" outlineLevel="1" collapsed="1" x14ac:dyDescent="0.25">
      <c r="C4416" s="9">
        <f>Гамма!$B$1186</f>
        <v>234272.55</v>
      </c>
    </row>
    <row r="4417" spans="2:3" hidden="1" outlineLevel="1" collapsed="1" x14ac:dyDescent="0.25">
      <c r="C4417" s="9">
        <f>Гамма!$B$1211</f>
        <v>307740.56</v>
      </c>
    </row>
    <row r="4418" spans="2:3" hidden="1" outlineLevel="1" collapsed="1" x14ac:dyDescent="0.25">
      <c r="C4418" s="9">
        <f>Гамма!$B$1236</f>
        <v>353111.23</v>
      </c>
    </row>
    <row r="4419" spans="2:3" hidden="1" outlineLevel="1" collapsed="1" x14ac:dyDescent="0.25">
      <c r="C4419" s="9">
        <f>Гамма!$B$1261</f>
        <v>254529.96</v>
      </c>
    </row>
    <row r="4420" spans="2:3" hidden="1" outlineLevel="1" collapsed="1" x14ac:dyDescent="0.25">
      <c r="B4420" t="s">
        <v>72</v>
      </c>
      <c r="C4420" s="9">
        <f>Дельта!$B$26</f>
        <v>300002.12</v>
      </c>
    </row>
    <row r="4421" spans="2:3" hidden="1" outlineLevel="1" collapsed="1" x14ac:dyDescent="0.25">
      <c r="C4421" s="9">
        <f>Дельта!$B$52</f>
        <v>268606.90999999997</v>
      </c>
    </row>
    <row r="4422" spans="2:3" hidden="1" outlineLevel="1" collapsed="1" x14ac:dyDescent="0.25">
      <c r="C4422" s="9">
        <f>Дельта!$B$78</f>
        <v>236174.36</v>
      </c>
    </row>
    <row r="4423" spans="2:3" hidden="1" outlineLevel="1" collapsed="1" x14ac:dyDescent="0.25">
      <c r="C4423" s="9">
        <f>Дельта!$B$104</f>
        <v>291414</v>
      </c>
    </row>
    <row r="4424" spans="2:3" hidden="1" outlineLevel="1" collapsed="1" x14ac:dyDescent="0.25">
      <c r="C4424" s="9">
        <f>Дельта!$B$130</f>
        <v>271492</v>
      </c>
    </row>
    <row r="4425" spans="2:3" hidden="1" outlineLevel="1" collapsed="1" x14ac:dyDescent="0.25">
      <c r="C4425" s="9">
        <f>Дельта!$B$155</f>
        <v>411667</v>
      </c>
    </row>
    <row r="4426" spans="2:3" hidden="1" outlineLevel="1" collapsed="1" x14ac:dyDescent="0.25">
      <c r="C4426" s="9">
        <f>Дельта!$B$181</f>
        <v>338276.54</v>
      </c>
    </row>
    <row r="4427" spans="2:3" hidden="1" outlineLevel="1" collapsed="1" x14ac:dyDescent="0.25">
      <c r="C4427" s="9">
        <f>Дельта!$B$207</f>
        <v>248061</v>
      </c>
    </row>
    <row r="4428" spans="2:3" hidden="1" outlineLevel="1" collapsed="1" x14ac:dyDescent="0.25">
      <c r="C4428" s="9">
        <f>Дельта!$B$232</f>
        <v>198667.55</v>
      </c>
    </row>
    <row r="4429" spans="2:3" hidden="1" outlineLevel="1" collapsed="1" x14ac:dyDescent="0.25">
      <c r="C4429" s="9">
        <f>Дельта!$B$258</f>
        <v>226140</v>
      </c>
    </row>
    <row r="4430" spans="2:3" hidden="1" outlineLevel="1" collapsed="1" x14ac:dyDescent="0.25">
      <c r="C4430" s="9">
        <f>Дельта!$B$284</f>
        <v>232506</v>
      </c>
    </row>
    <row r="4431" spans="2:3" hidden="1" outlineLevel="1" collapsed="1" x14ac:dyDescent="0.25">
      <c r="C4431" s="9">
        <f>Дельта!$B$310</f>
        <v>267236</v>
      </c>
    </row>
    <row r="4432" spans="2:3" hidden="1" outlineLevel="1" collapsed="1" x14ac:dyDescent="0.25">
      <c r="C4432" s="9">
        <f>Дельта!$B$336</f>
        <v>392616</v>
      </c>
    </row>
    <row r="4433" spans="3:3" hidden="1" outlineLevel="1" collapsed="1" x14ac:dyDescent="0.25">
      <c r="C4433" s="9">
        <f>Дельта!$B$362</f>
        <v>329106</v>
      </c>
    </row>
    <row r="4434" spans="3:3" hidden="1" outlineLevel="1" collapsed="1" x14ac:dyDescent="0.25">
      <c r="C4434" s="9">
        <f>Дельта!$B$388</f>
        <v>215211</v>
      </c>
    </row>
    <row r="4435" spans="3:3" hidden="1" outlineLevel="1" collapsed="1" x14ac:dyDescent="0.25">
      <c r="C4435" s="9">
        <f>Дельта!$B$414</f>
        <v>227209</v>
      </c>
    </row>
    <row r="4436" spans="3:3" hidden="1" outlineLevel="1" collapsed="1" x14ac:dyDescent="0.25">
      <c r="C4436" s="9">
        <f>Дельта!$B$440</f>
        <v>261385</v>
      </c>
    </row>
    <row r="4437" spans="3:3" hidden="1" outlineLevel="1" collapsed="1" x14ac:dyDescent="0.25">
      <c r="C4437" s="9">
        <f>Дельта!$B$466</f>
        <v>341604</v>
      </c>
    </row>
    <row r="4438" spans="3:3" hidden="1" outlineLevel="1" collapsed="1" x14ac:dyDescent="0.25">
      <c r="C4438" s="9">
        <f>Дельта!$B$492</f>
        <v>352066</v>
      </c>
    </row>
    <row r="4439" spans="3:3" hidden="1" outlineLevel="1" collapsed="1" x14ac:dyDescent="0.25">
      <c r="C4439" s="9">
        <f>Дельта!$B$518</f>
        <v>570444</v>
      </c>
    </row>
    <row r="4440" spans="3:3" hidden="1" outlineLevel="1" collapsed="1" x14ac:dyDescent="0.25">
      <c r="C4440" s="9">
        <f>Дельта!$B$544</f>
        <v>367278</v>
      </c>
    </row>
    <row r="4441" spans="3:3" hidden="1" outlineLevel="1" collapsed="1" x14ac:dyDescent="0.25">
      <c r="C4441" s="9">
        <f>Дельта!$B$570</f>
        <v>200872</v>
      </c>
    </row>
    <row r="4442" spans="3:3" hidden="1" outlineLevel="1" collapsed="1" x14ac:dyDescent="0.25">
      <c r="C4442" s="9">
        <f>Дельта!$B$596</f>
        <v>158232</v>
      </c>
    </row>
    <row r="4443" spans="3:3" hidden="1" outlineLevel="1" collapsed="1" x14ac:dyDescent="0.25">
      <c r="C4443" s="9">
        <f>Дельта!$B$622</f>
        <v>162752</v>
      </c>
    </row>
    <row r="4444" spans="3:3" hidden="1" outlineLevel="1" collapsed="1" x14ac:dyDescent="0.25">
      <c r="C4444" s="9">
        <f>Дельта!$B$647</f>
        <v>217668</v>
      </c>
    </row>
    <row r="4445" spans="3:3" hidden="1" outlineLevel="1" collapsed="1" x14ac:dyDescent="0.25">
      <c r="C4445" s="9">
        <f>Дельта!$B$674</f>
        <v>144525</v>
      </c>
    </row>
    <row r="4446" spans="3:3" hidden="1" outlineLevel="1" collapsed="1" x14ac:dyDescent="0.25">
      <c r="C4446" s="9">
        <f>Дельта!$B$700</f>
        <v>236191</v>
      </c>
    </row>
    <row r="4447" spans="3:3" hidden="1" outlineLevel="1" collapsed="1" x14ac:dyDescent="0.25">
      <c r="C4447" s="9">
        <f>Дельта!$B$725</f>
        <v>203912</v>
      </c>
    </row>
    <row r="4448" spans="3:3" hidden="1" outlineLevel="1" collapsed="1" x14ac:dyDescent="0.25">
      <c r="C4448" s="9">
        <f>Дельта!$B$751</f>
        <v>142322</v>
      </c>
    </row>
    <row r="4449" spans="3:3" hidden="1" outlineLevel="1" collapsed="1" x14ac:dyDescent="0.25">
      <c r="C4449" s="9">
        <f>Дельта!$B$777</f>
        <v>136180.81</v>
      </c>
    </row>
    <row r="4450" spans="3:3" hidden="1" outlineLevel="1" collapsed="1" x14ac:dyDescent="0.25">
      <c r="C4450" s="9">
        <f>Дельта!$B$802</f>
        <v>145622</v>
      </c>
    </row>
    <row r="4451" spans="3:3" hidden="1" outlineLevel="1" collapsed="1" x14ac:dyDescent="0.25">
      <c r="C4451" s="9">
        <f>Дельта!$B$828</f>
        <v>197813</v>
      </c>
    </row>
    <row r="4452" spans="3:3" hidden="1" outlineLevel="1" collapsed="1" x14ac:dyDescent="0.25">
      <c r="C4452" s="9">
        <f>Дельта!$B$854</f>
        <v>500950</v>
      </c>
    </row>
    <row r="4453" spans="3:3" hidden="1" outlineLevel="1" collapsed="1" x14ac:dyDescent="0.25">
      <c r="C4453" s="9">
        <f>Дельта!$B$880</f>
        <v>388693</v>
      </c>
    </row>
    <row r="4454" spans="3:3" hidden="1" outlineLevel="1" collapsed="1" x14ac:dyDescent="0.25">
      <c r="C4454" s="9">
        <f>Дельта!$B$906</f>
        <v>326114</v>
      </c>
    </row>
    <row r="4455" spans="3:3" hidden="1" outlineLevel="1" collapsed="1" x14ac:dyDescent="0.25">
      <c r="C4455" s="9">
        <f>Дельта!$B$932</f>
        <v>177578</v>
      </c>
    </row>
    <row r="4456" spans="3:3" hidden="1" outlineLevel="1" collapsed="1" x14ac:dyDescent="0.25">
      <c r="C4456" s="9">
        <f>Дельта!$B$957</f>
        <v>144279.57999999999</v>
      </c>
    </row>
    <row r="4457" spans="3:3" hidden="1" outlineLevel="1" collapsed="1" x14ac:dyDescent="0.25">
      <c r="C4457" s="9">
        <f>Дельта!$B$983</f>
        <v>146535.49</v>
      </c>
    </row>
    <row r="4458" spans="3:3" hidden="1" outlineLevel="1" collapsed="1" x14ac:dyDescent="0.25">
      <c r="C4458" s="9">
        <f>Дельта!$B$1008</f>
        <v>154137</v>
      </c>
    </row>
    <row r="4459" spans="3:3" hidden="1" outlineLevel="1" collapsed="1" x14ac:dyDescent="0.25">
      <c r="C4459" s="9">
        <f>Дельта!$B$1033</f>
        <v>127659</v>
      </c>
    </row>
    <row r="4460" spans="3:3" hidden="1" outlineLevel="1" collapsed="1" x14ac:dyDescent="0.25">
      <c r="C4460" s="9">
        <f>Дельта!$B$1059</f>
        <v>170132.7</v>
      </c>
    </row>
    <row r="4461" spans="3:3" hidden="1" outlineLevel="1" collapsed="1" x14ac:dyDescent="0.25">
      <c r="C4461" s="9">
        <f>Дельта!$B$1084</f>
        <v>167193.67000000001</v>
      </c>
    </row>
    <row r="4462" spans="3:3" hidden="1" outlineLevel="1" collapsed="1" x14ac:dyDescent="0.25">
      <c r="C4462" s="9">
        <f>Дельта!$B$1109</f>
        <v>144581</v>
      </c>
    </row>
    <row r="4463" spans="3:3" hidden="1" outlineLevel="1" collapsed="1" x14ac:dyDescent="0.25">
      <c r="C4463" s="9">
        <f>Дельта!$B$1134</f>
        <v>136098</v>
      </c>
    </row>
    <row r="4464" spans="3:3" hidden="1" outlineLevel="1" collapsed="1" x14ac:dyDescent="0.25">
      <c r="C4464" s="9">
        <f>Дельта!$B$1158</f>
        <v>107317</v>
      </c>
    </row>
    <row r="4465" spans="1:3" hidden="1" outlineLevel="1" collapsed="1" x14ac:dyDescent="0.25">
      <c r="C4465" s="9">
        <f>Дельта!$B$1181</f>
        <v>144373.04999999999</v>
      </c>
    </row>
    <row r="4466" spans="1:3" hidden="1" outlineLevel="1" collapsed="1" x14ac:dyDescent="0.25">
      <c r="C4466" s="9">
        <f>Дельта!$B$1206</f>
        <v>208681.4</v>
      </c>
    </row>
    <row r="4467" spans="1:3" hidden="1" outlineLevel="1" collapsed="1" x14ac:dyDescent="0.25">
      <c r="C4467" s="9">
        <f>Дельта!$B$1231</f>
        <v>214558</v>
      </c>
    </row>
    <row r="4468" spans="1:3" hidden="1" outlineLevel="1" collapsed="1" x14ac:dyDescent="0.25">
      <c r="C4468" s="9">
        <f>Дельта!$B$1255</f>
        <v>134145</v>
      </c>
    </row>
    <row r="4469" spans="1:3" collapsed="1" x14ac:dyDescent="0.25">
      <c r="A4469" t="s">
        <v>26</v>
      </c>
      <c r="C4469" s="9">
        <f>SUM(C4273:C4468)</f>
        <v>55501156.290000014</v>
      </c>
    </row>
    <row r="4470" spans="1:3" hidden="1" outlineLevel="1" x14ac:dyDescent="0.25">
      <c r="B4470" t="s">
        <v>72</v>
      </c>
      <c r="C4470" s="9">
        <f>Альфа!$B$27</f>
        <v>389937.87</v>
      </c>
    </row>
    <row r="4471" spans="1:3" hidden="1" outlineLevel="1" collapsed="1" x14ac:dyDescent="0.25">
      <c r="C4471" s="9">
        <f>Альфа!$B$53</f>
        <v>430318.81</v>
      </c>
    </row>
    <row r="4472" spans="1:3" hidden="1" outlineLevel="1" collapsed="1" x14ac:dyDescent="0.25">
      <c r="C4472" s="9">
        <f>Альфа!$B$79</f>
        <v>398531.34</v>
      </c>
    </row>
    <row r="4473" spans="1:3" hidden="1" outlineLevel="1" collapsed="1" x14ac:dyDescent="0.25">
      <c r="C4473" s="9">
        <f>Альфа!$B$105</f>
        <v>381272.21</v>
      </c>
    </row>
    <row r="4474" spans="1:3" hidden="1" outlineLevel="1" collapsed="1" x14ac:dyDescent="0.25">
      <c r="C4474" s="9">
        <f>Альфа!$B$132</f>
        <v>447875.21</v>
      </c>
    </row>
    <row r="4475" spans="1:3" hidden="1" outlineLevel="1" collapsed="1" x14ac:dyDescent="0.25">
      <c r="C4475" s="9">
        <f>Альфа!$B$159</f>
        <v>650148.07999999996</v>
      </c>
    </row>
    <row r="4476" spans="1:3" hidden="1" outlineLevel="1" collapsed="1" x14ac:dyDescent="0.25">
      <c r="C4476" s="9">
        <f>Альфа!$B$185</f>
        <v>479999.58</v>
      </c>
    </row>
    <row r="4477" spans="1:3" hidden="1" outlineLevel="1" collapsed="1" x14ac:dyDescent="0.25">
      <c r="C4477" s="9">
        <f>Альфа!$B$211</f>
        <v>474667.3</v>
      </c>
    </row>
    <row r="4478" spans="1:3" hidden="1" outlineLevel="1" collapsed="1" x14ac:dyDescent="0.25">
      <c r="C4478" s="9">
        <f>Альфа!$B$237</f>
        <v>335197.64</v>
      </c>
    </row>
    <row r="4479" spans="1:3" hidden="1" outlineLevel="1" collapsed="1" x14ac:dyDescent="0.25">
      <c r="C4479" s="9">
        <f>Альфа!$B$264</f>
        <v>306469.40999999997</v>
      </c>
    </row>
    <row r="4480" spans="1:3" hidden="1" outlineLevel="1" collapsed="1" x14ac:dyDescent="0.25">
      <c r="C4480" s="9">
        <f>Альфа!$B$290</f>
        <v>303607.75</v>
      </c>
    </row>
    <row r="4481" spans="3:3" hidden="1" outlineLevel="1" collapsed="1" x14ac:dyDescent="0.25">
      <c r="C4481" s="9">
        <f>Альфа!$B$316</f>
        <v>426845.68</v>
      </c>
    </row>
    <row r="4482" spans="3:3" hidden="1" outlineLevel="1" collapsed="1" x14ac:dyDescent="0.25">
      <c r="C4482" s="9">
        <f>Альфа!$B$342</f>
        <v>567505.80000000005</v>
      </c>
    </row>
    <row r="4483" spans="3:3" hidden="1" outlineLevel="1" collapsed="1" x14ac:dyDescent="0.25">
      <c r="C4483" s="9">
        <f>Альфа!$B$368</f>
        <v>531187.43000000005</v>
      </c>
    </row>
    <row r="4484" spans="3:3" hidden="1" outlineLevel="1" collapsed="1" x14ac:dyDescent="0.25">
      <c r="C4484" s="9">
        <f>Альфа!$B$395</f>
        <v>363894.68</v>
      </c>
    </row>
    <row r="4485" spans="3:3" hidden="1" outlineLevel="1" collapsed="1" x14ac:dyDescent="0.25">
      <c r="C4485" s="9">
        <f>Альфа!$B$421</f>
        <v>415778.08</v>
      </c>
    </row>
    <row r="4486" spans="3:3" hidden="1" outlineLevel="1" collapsed="1" x14ac:dyDescent="0.25">
      <c r="C4486" s="9">
        <f>Альфа!$B$446</f>
        <v>452115.68</v>
      </c>
    </row>
    <row r="4487" spans="3:3" hidden="1" outlineLevel="1" collapsed="1" x14ac:dyDescent="0.25">
      <c r="C4487" s="9">
        <f>Альфа!$B$471</f>
        <v>742660.17</v>
      </c>
    </row>
    <row r="4488" spans="3:3" hidden="1" outlineLevel="1" collapsed="1" x14ac:dyDescent="0.25">
      <c r="C4488" s="9">
        <f>Альфа!$B$497</f>
        <v>518354.72</v>
      </c>
    </row>
    <row r="4489" spans="3:3" hidden="1" outlineLevel="1" collapsed="1" x14ac:dyDescent="0.25">
      <c r="C4489" s="9">
        <f>Альфа!$B$522</f>
        <v>703370.01</v>
      </c>
    </row>
    <row r="4490" spans="3:3" hidden="1" outlineLevel="1" collapsed="1" x14ac:dyDescent="0.25">
      <c r="C4490" s="9">
        <f>Альфа!$B$547</f>
        <v>651129.53</v>
      </c>
    </row>
    <row r="4491" spans="3:3" hidden="1" outlineLevel="1" collapsed="1" x14ac:dyDescent="0.25">
      <c r="C4491" s="9">
        <f>Альфа!$B$571</f>
        <v>365403.97</v>
      </c>
    </row>
    <row r="4492" spans="3:3" hidden="1" outlineLevel="1" collapsed="1" x14ac:dyDescent="0.25">
      <c r="C4492" s="9">
        <f>Альфа!$B$597</f>
        <v>278539.59999999998</v>
      </c>
    </row>
    <row r="4493" spans="3:3" hidden="1" outlineLevel="1" collapsed="1" x14ac:dyDescent="0.25">
      <c r="C4493" s="9">
        <f>Альфа!$B$621</f>
        <v>308977.14</v>
      </c>
    </row>
    <row r="4494" spans="3:3" hidden="1" outlineLevel="1" collapsed="1" x14ac:dyDescent="0.25">
      <c r="C4494" s="9">
        <f>Альфа!$B$646</f>
        <v>449315.41</v>
      </c>
    </row>
    <row r="4495" spans="3:3" hidden="1" outlineLevel="1" collapsed="1" x14ac:dyDescent="0.25">
      <c r="C4495" s="9">
        <f>Альфа!$B$671</f>
        <v>593738.52</v>
      </c>
    </row>
    <row r="4496" spans="3:3" hidden="1" outlineLevel="1" collapsed="1" x14ac:dyDescent="0.25">
      <c r="C4496" s="9">
        <f>Альфа!$B$696</f>
        <v>552149.46</v>
      </c>
    </row>
    <row r="4497" spans="3:3" hidden="1" outlineLevel="1" collapsed="1" x14ac:dyDescent="0.25">
      <c r="C4497" s="9">
        <f>Альфа!$B$722</f>
        <v>540760.86</v>
      </c>
    </row>
    <row r="4498" spans="3:3" hidden="1" outlineLevel="1" collapsed="1" x14ac:dyDescent="0.25">
      <c r="C4498" s="9">
        <f>Альфа!$B$745</f>
        <v>355305.48</v>
      </c>
    </row>
    <row r="4499" spans="3:3" hidden="1" outlineLevel="1" collapsed="1" x14ac:dyDescent="0.25">
      <c r="C4499" s="9">
        <f>Альфа!$B$771</f>
        <v>370060.04</v>
      </c>
    </row>
    <row r="4500" spans="3:3" hidden="1" outlineLevel="1" collapsed="1" x14ac:dyDescent="0.25">
      <c r="C4500" s="9">
        <f>Альфа!$B$794</f>
        <v>366831.33</v>
      </c>
    </row>
    <row r="4501" spans="3:3" hidden="1" outlineLevel="1" collapsed="1" x14ac:dyDescent="0.25">
      <c r="C4501" s="9">
        <f>Альфа!$B$819</f>
        <v>308851.84000000003</v>
      </c>
    </row>
    <row r="4502" spans="3:3" hidden="1" outlineLevel="1" collapsed="1" x14ac:dyDescent="0.25">
      <c r="C4502" s="9">
        <f>Альфа!$B$843</f>
        <v>479050.18</v>
      </c>
    </row>
    <row r="4503" spans="3:3" hidden="1" outlineLevel="1" collapsed="1" x14ac:dyDescent="0.25">
      <c r="C4503" s="9">
        <f>Альфа!$B$868</f>
        <v>521661.31</v>
      </c>
    </row>
    <row r="4504" spans="3:3" hidden="1" outlineLevel="1" collapsed="1" x14ac:dyDescent="0.25">
      <c r="C4504" s="9">
        <f>Альфа!$B$893</f>
        <v>457094.72</v>
      </c>
    </row>
    <row r="4505" spans="3:3" hidden="1" outlineLevel="1" collapsed="1" x14ac:dyDescent="0.25">
      <c r="C4505" s="9">
        <f>Альфа!$B$918</f>
        <v>311339.23</v>
      </c>
    </row>
    <row r="4506" spans="3:3" hidden="1" outlineLevel="1" collapsed="1" x14ac:dyDescent="0.25">
      <c r="C4506" s="9">
        <f>Альфа!$B$943</f>
        <v>303416.96000000002</v>
      </c>
    </row>
    <row r="4507" spans="3:3" hidden="1" outlineLevel="1" collapsed="1" x14ac:dyDescent="0.25">
      <c r="C4507" s="9">
        <f>Альфа!$B$968</f>
        <v>294161.56</v>
      </c>
    </row>
    <row r="4508" spans="3:3" hidden="1" outlineLevel="1" collapsed="1" x14ac:dyDescent="0.25">
      <c r="C4508" s="9">
        <f>Альфа!$B$993</f>
        <v>177953.89</v>
      </c>
    </row>
    <row r="4509" spans="3:3" hidden="1" outlineLevel="1" collapsed="1" x14ac:dyDescent="0.25">
      <c r="C4509" s="9">
        <f>Альфа!$B$1018</f>
        <v>232039.71</v>
      </c>
    </row>
    <row r="4510" spans="3:3" hidden="1" outlineLevel="1" collapsed="1" x14ac:dyDescent="0.25">
      <c r="C4510" s="9">
        <f>Альфа!$B$1043</f>
        <v>301419.81</v>
      </c>
    </row>
    <row r="4511" spans="3:3" hidden="1" outlineLevel="1" collapsed="1" x14ac:dyDescent="0.25">
      <c r="C4511" s="9">
        <f>Альфа!$B$1069</f>
        <v>379699.89</v>
      </c>
    </row>
    <row r="4512" spans="3:3" hidden="1" outlineLevel="1" collapsed="1" x14ac:dyDescent="0.25">
      <c r="C4512" s="9">
        <f>Альфа!$B$1094</f>
        <v>300537.75</v>
      </c>
    </row>
    <row r="4513" spans="2:3" hidden="1" outlineLevel="1" collapsed="1" x14ac:dyDescent="0.25">
      <c r="C4513" s="9">
        <f>Альфа!$B$1118</f>
        <v>332855.11</v>
      </c>
    </row>
    <row r="4514" spans="2:3" hidden="1" outlineLevel="1" collapsed="1" x14ac:dyDescent="0.25">
      <c r="C4514" s="9">
        <f>Альфа!$B$1144</f>
        <v>333526.32</v>
      </c>
    </row>
    <row r="4515" spans="2:3" hidden="1" outlineLevel="1" collapsed="1" x14ac:dyDescent="0.25">
      <c r="C4515" s="9">
        <f>Альфа!$B$1169</f>
        <v>326927.98</v>
      </c>
    </row>
    <row r="4516" spans="2:3" hidden="1" outlineLevel="1" collapsed="1" x14ac:dyDescent="0.25">
      <c r="C4516" s="9">
        <f>Альфа!$B$1195</f>
        <v>411859.89</v>
      </c>
    </row>
    <row r="4517" spans="2:3" hidden="1" outlineLevel="1" collapsed="1" x14ac:dyDescent="0.25">
      <c r="C4517" s="9">
        <f>Альфа!$B$1221</f>
        <v>402673.04</v>
      </c>
    </row>
    <row r="4518" spans="2:3" hidden="1" outlineLevel="1" collapsed="1" x14ac:dyDescent="0.25">
      <c r="C4518" s="9">
        <f>Альфа!$B$1244</f>
        <v>419762.67</v>
      </c>
    </row>
    <row r="4519" spans="2:3" hidden="1" outlineLevel="1" collapsed="1" x14ac:dyDescent="0.25">
      <c r="B4519" t="s">
        <v>72</v>
      </c>
      <c r="C4519" s="9">
        <f>Бета!$B$23</f>
        <v>59388.79</v>
      </c>
    </row>
    <row r="4520" spans="2:3" hidden="1" outlineLevel="1" collapsed="1" x14ac:dyDescent="0.25">
      <c r="C4520" s="9">
        <f>Бета!$B$45</f>
        <v>69921.87</v>
      </c>
    </row>
    <row r="4521" spans="2:3" hidden="1" outlineLevel="1" collapsed="1" x14ac:dyDescent="0.25">
      <c r="C4521" s="9">
        <f>Бета!$B$67</f>
        <v>54764.37</v>
      </c>
    </row>
    <row r="4522" spans="2:3" hidden="1" outlineLevel="1" collapsed="1" x14ac:dyDescent="0.25">
      <c r="C4522" s="9">
        <f>Бета!$B$89</f>
        <v>59825.54</v>
      </c>
    </row>
    <row r="4523" spans="2:3" hidden="1" outlineLevel="1" collapsed="1" x14ac:dyDescent="0.25">
      <c r="C4523" s="9">
        <f>Бета!$B$111</f>
        <v>85511.24</v>
      </c>
    </row>
    <row r="4524" spans="2:3" hidden="1" outlineLevel="1" collapsed="1" x14ac:dyDescent="0.25">
      <c r="C4524" s="9">
        <f>Бета!$B$133</f>
        <v>146969.44</v>
      </c>
    </row>
    <row r="4525" spans="2:3" hidden="1" outlineLevel="1" collapsed="1" x14ac:dyDescent="0.25">
      <c r="C4525" s="9">
        <f>Бета!$B$155</f>
        <v>164039.51</v>
      </c>
    </row>
    <row r="4526" spans="2:3" hidden="1" outlineLevel="1" collapsed="1" x14ac:dyDescent="0.25">
      <c r="C4526" s="9">
        <f>Бета!$B$177</f>
        <v>66551.87</v>
      </c>
    </row>
    <row r="4527" spans="2:3" hidden="1" outlineLevel="1" collapsed="1" x14ac:dyDescent="0.25">
      <c r="C4527" s="9">
        <f>Бета!$B$199</f>
        <v>60657.760000000002</v>
      </c>
    </row>
    <row r="4528" spans="2:3" hidden="1" outlineLevel="1" collapsed="1" x14ac:dyDescent="0.25">
      <c r="C4528" s="9">
        <f>Бета!$B$221</f>
        <v>77050.13</v>
      </c>
    </row>
    <row r="4529" spans="3:3" hidden="1" outlineLevel="1" collapsed="1" x14ac:dyDescent="0.25">
      <c r="C4529" s="9">
        <f>Бета!$B$243</f>
        <v>65576.570000000007</v>
      </c>
    </row>
    <row r="4530" spans="3:3" hidden="1" outlineLevel="1" collapsed="1" x14ac:dyDescent="0.25">
      <c r="C4530" s="9">
        <f>Бета!$B$265</f>
        <v>77060.960000000006</v>
      </c>
    </row>
    <row r="4531" spans="3:3" hidden="1" outlineLevel="1" collapsed="1" x14ac:dyDescent="0.25">
      <c r="C4531" s="9">
        <f>Бета!$B$286</f>
        <v>146853.53</v>
      </c>
    </row>
    <row r="4532" spans="3:3" hidden="1" outlineLevel="1" collapsed="1" x14ac:dyDescent="0.25">
      <c r="C4532" s="9">
        <f>Бета!$B$308</f>
        <v>136848.15</v>
      </c>
    </row>
    <row r="4533" spans="3:3" hidden="1" outlineLevel="1" collapsed="1" x14ac:dyDescent="0.25">
      <c r="C4533" s="9">
        <f>Бета!$B$330</f>
        <v>91037.7</v>
      </c>
    </row>
    <row r="4534" spans="3:3" hidden="1" outlineLevel="1" collapsed="1" x14ac:dyDescent="0.25">
      <c r="C4534" s="9">
        <f>Бета!$B$351</f>
        <v>75581.039999999994</v>
      </c>
    </row>
    <row r="4535" spans="3:3" hidden="1" outlineLevel="1" collapsed="1" x14ac:dyDescent="0.25">
      <c r="C4535" s="9">
        <f>Бета!$B$372</f>
        <v>87706.54</v>
      </c>
    </row>
    <row r="4536" spans="3:3" hidden="1" outlineLevel="1" collapsed="1" x14ac:dyDescent="0.25">
      <c r="C4536" s="9">
        <f>Бета!$B$393</f>
        <v>58998.49</v>
      </c>
    </row>
    <row r="4537" spans="3:3" hidden="1" outlineLevel="1" collapsed="1" x14ac:dyDescent="0.25">
      <c r="C4537" s="9">
        <f>Бета!$B$414</f>
        <v>86344.77</v>
      </c>
    </row>
    <row r="4538" spans="3:3" hidden="1" outlineLevel="1" collapsed="1" x14ac:dyDescent="0.25">
      <c r="C4538" s="9">
        <f>Бета!$B$435</f>
        <v>170241.96</v>
      </c>
    </row>
    <row r="4539" spans="3:3" hidden="1" outlineLevel="1" collapsed="1" x14ac:dyDescent="0.25">
      <c r="C4539" s="9">
        <f>Бета!$B$456</f>
        <v>127548.97</v>
      </c>
    </row>
    <row r="4540" spans="3:3" hidden="1" outlineLevel="1" collapsed="1" x14ac:dyDescent="0.25">
      <c r="C4540" s="9">
        <f>Бета!$B$477</f>
        <v>42419.46</v>
      </c>
    </row>
    <row r="4541" spans="3:3" hidden="1" outlineLevel="1" collapsed="1" x14ac:dyDescent="0.25">
      <c r="C4541" s="9">
        <f>Бета!$B$498</f>
        <v>28875.83</v>
      </c>
    </row>
    <row r="4542" spans="3:3" hidden="1" outlineLevel="1" collapsed="1" x14ac:dyDescent="0.25">
      <c r="C4542" s="9">
        <f>Бета!$B$519</f>
        <v>65034.26</v>
      </c>
    </row>
    <row r="4543" spans="3:3" hidden="1" outlineLevel="1" collapsed="1" x14ac:dyDescent="0.25">
      <c r="C4543" s="9">
        <f>Бета!$B$540</f>
        <v>64347.64</v>
      </c>
    </row>
    <row r="4544" spans="3:3" hidden="1" outlineLevel="1" collapsed="1" x14ac:dyDescent="0.25">
      <c r="C4544" s="9">
        <f>Бета!$B$559</f>
        <v>61476.43</v>
      </c>
    </row>
    <row r="4545" spans="3:3" hidden="1" outlineLevel="1" collapsed="1" x14ac:dyDescent="0.25">
      <c r="C4545" s="9">
        <f>Бета!$B$579</f>
        <v>134725.87</v>
      </c>
    </row>
    <row r="4546" spans="3:3" hidden="1" outlineLevel="1" collapsed="1" x14ac:dyDescent="0.25">
      <c r="C4546" s="9">
        <f>Бета!$B$599</f>
        <v>71639.16</v>
      </c>
    </row>
    <row r="4547" spans="3:3" hidden="1" outlineLevel="1" collapsed="1" x14ac:dyDescent="0.25">
      <c r="C4547" s="9">
        <f>Бета!$B$618</f>
        <v>42835.57</v>
      </c>
    </row>
    <row r="4548" spans="3:3" hidden="1" outlineLevel="1" collapsed="1" x14ac:dyDescent="0.25">
      <c r="C4548" s="9">
        <f>Бета!$B$638</f>
        <v>73658.679999999993</v>
      </c>
    </row>
    <row r="4549" spans="3:3" hidden="1" outlineLevel="1" collapsed="1" x14ac:dyDescent="0.25">
      <c r="C4549" s="9">
        <f>Бета!$B$658</f>
        <v>25466.68</v>
      </c>
    </row>
    <row r="4550" spans="3:3" hidden="1" outlineLevel="1" collapsed="1" x14ac:dyDescent="0.25">
      <c r="C4550" s="9">
        <f>Бета!$B$678</f>
        <v>51306.09</v>
      </c>
    </row>
    <row r="4551" spans="3:3" hidden="1" outlineLevel="1" collapsed="1" x14ac:dyDescent="0.25">
      <c r="C4551" s="9">
        <f>Бета!$B$699</f>
        <v>63567</v>
      </c>
    </row>
    <row r="4552" spans="3:3" hidden="1" outlineLevel="1" collapsed="1" x14ac:dyDescent="0.25">
      <c r="C4552" s="9">
        <f>Бета!$B$719</f>
        <v>81886.66</v>
      </c>
    </row>
    <row r="4553" spans="3:3" hidden="1" outlineLevel="1" collapsed="1" x14ac:dyDescent="0.25">
      <c r="C4553" s="9">
        <f>Бета!$B$740</f>
        <v>68787.11</v>
      </c>
    </row>
    <row r="4554" spans="3:3" hidden="1" outlineLevel="1" collapsed="1" x14ac:dyDescent="0.25">
      <c r="C4554" s="9">
        <f>Бета!$B$760</f>
        <v>58589.19</v>
      </c>
    </row>
    <row r="4555" spans="3:3" hidden="1" outlineLevel="1" collapsed="1" x14ac:dyDescent="0.25">
      <c r="C4555" s="9">
        <f>Бета!$B$780</f>
        <v>47710.25</v>
      </c>
    </row>
    <row r="4556" spans="3:3" hidden="1" outlineLevel="1" collapsed="1" x14ac:dyDescent="0.25">
      <c r="C4556" s="9">
        <f>Бета!$B$800</f>
        <v>30083.119999999999</v>
      </c>
    </row>
    <row r="4557" spans="3:3" hidden="1" outlineLevel="1" collapsed="1" x14ac:dyDescent="0.25">
      <c r="C4557" s="9">
        <f>Бета!$B$820</f>
        <v>21436.639999999999</v>
      </c>
    </row>
    <row r="4558" spans="3:3" hidden="1" outlineLevel="1" collapsed="1" x14ac:dyDescent="0.25">
      <c r="C4558" s="9">
        <f>Бета!$B$840</f>
        <v>38562.129999999997</v>
      </c>
    </row>
    <row r="4559" spans="3:3" hidden="1" outlineLevel="1" collapsed="1" x14ac:dyDescent="0.25">
      <c r="C4559" s="9">
        <f>Бета!$B$860</f>
        <v>41695.68</v>
      </c>
    </row>
    <row r="4560" spans="3:3" hidden="1" outlineLevel="1" collapsed="1" x14ac:dyDescent="0.25">
      <c r="C4560" s="9">
        <f>Бета!$B$880</f>
        <v>56972.03</v>
      </c>
    </row>
    <row r="4561" spans="2:3" hidden="1" outlineLevel="1" collapsed="1" x14ac:dyDescent="0.25">
      <c r="C4561" s="9">
        <f>Бета!$B$900</f>
        <v>40366.19</v>
      </c>
    </row>
    <row r="4562" spans="2:3" hidden="1" outlineLevel="1" collapsed="1" x14ac:dyDescent="0.25">
      <c r="C4562" s="9">
        <f>Бета!$B$919</f>
        <v>51422.25</v>
      </c>
    </row>
    <row r="4563" spans="2:3" hidden="1" outlineLevel="1" collapsed="1" x14ac:dyDescent="0.25">
      <c r="C4563" s="9">
        <f>Бета!$B$939</f>
        <v>59991.19</v>
      </c>
    </row>
    <row r="4564" spans="2:3" hidden="1" outlineLevel="1" collapsed="1" x14ac:dyDescent="0.25">
      <c r="C4564" s="9">
        <f>Бета!$B$959</f>
        <v>38145.29</v>
      </c>
    </row>
    <row r="4565" spans="2:3" hidden="1" outlineLevel="1" collapsed="1" x14ac:dyDescent="0.25">
      <c r="C4565" s="9">
        <f>Бета!$B$979</f>
        <v>36666.839999999997</v>
      </c>
    </row>
    <row r="4566" spans="2:3" hidden="1" outlineLevel="1" collapsed="1" x14ac:dyDescent="0.25">
      <c r="C4566" s="9">
        <f>Бета!$B$999</f>
        <v>52760.24</v>
      </c>
    </row>
    <row r="4567" spans="2:3" hidden="1" outlineLevel="1" collapsed="1" x14ac:dyDescent="0.25">
      <c r="C4567" s="9">
        <f>Бета!$B$1018</f>
        <v>39014.42</v>
      </c>
    </row>
    <row r="4568" spans="2:3" hidden="1" outlineLevel="1" collapsed="1" x14ac:dyDescent="0.25">
      <c r="B4568" t="s">
        <v>72</v>
      </c>
      <c r="C4568" s="9">
        <f>Гамма!$B$27</f>
        <v>201596.47</v>
      </c>
    </row>
    <row r="4569" spans="2:3" hidden="1" outlineLevel="1" collapsed="1" x14ac:dyDescent="0.25">
      <c r="C4569" s="9">
        <f>Гамма!$B$54</f>
        <v>196987.15</v>
      </c>
    </row>
    <row r="4570" spans="2:3" hidden="1" outlineLevel="1" collapsed="1" x14ac:dyDescent="0.25">
      <c r="C4570" s="9">
        <f>Гамма!$B$81</f>
        <v>255133.91</v>
      </c>
    </row>
    <row r="4571" spans="2:3" hidden="1" outlineLevel="1" collapsed="1" x14ac:dyDescent="0.25">
      <c r="C4571" s="9">
        <f>Гамма!$B$107</f>
        <v>194234.28</v>
      </c>
    </row>
    <row r="4572" spans="2:3" hidden="1" outlineLevel="1" collapsed="1" x14ac:dyDescent="0.25">
      <c r="C4572" s="9">
        <f>Гамма!$B$133</f>
        <v>294215.46000000002</v>
      </c>
    </row>
    <row r="4573" spans="2:3" hidden="1" outlineLevel="1" collapsed="1" x14ac:dyDescent="0.25">
      <c r="C4573" s="9">
        <f>Гамма!$B$159</f>
        <v>407829.92</v>
      </c>
    </row>
    <row r="4574" spans="2:3" hidden="1" outlineLevel="1" collapsed="1" x14ac:dyDescent="0.25">
      <c r="C4574" s="9">
        <f>Гамма!$B$186</f>
        <v>462276.13</v>
      </c>
    </row>
    <row r="4575" spans="2:3" hidden="1" outlineLevel="1" collapsed="1" x14ac:dyDescent="0.25">
      <c r="C4575" s="9">
        <f>Гамма!$B$213</f>
        <v>170689.95</v>
      </c>
    </row>
    <row r="4576" spans="2:3" hidden="1" outlineLevel="1" collapsed="1" x14ac:dyDescent="0.25">
      <c r="C4576" s="9">
        <f>Гамма!$B$239</f>
        <v>257457.19</v>
      </c>
    </row>
    <row r="4577" spans="3:3" hidden="1" outlineLevel="1" collapsed="1" x14ac:dyDescent="0.25">
      <c r="C4577" s="9">
        <f>Гамма!$B$265</f>
        <v>248037.03</v>
      </c>
    </row>
    <row r="4578" spans="3:3" hidden="1" outlineLevel="1" collapsed="1" x14ac:dyDescent="0.25">
      <c r="C4578" s="9">
        <f>Гамма!$B$291</f>
        <v>276529.51</v>
      </c>
    </row>
    <row r="4579" spans="3:3" hidden="1" outlineLevel="1" collapsed="1" x14ac:dyDescent="0.25">
      <c r="C4579" s="9">
        <f>Гамма!$B$317</f>
        <v>323699.8</v>
      </c>
    </row>
    <row r="4580" spans="3:3" hidden="1" outlineLevel="1" collapsed="1" x14ac:dyDescent="0.25">
      <c r="C4580" s="9">
        <f>Гамма!$B$343</f>
        <v>624773.87</v>
      </c>
    </row>
    <row r="4581" spans="3:3" hidden="1" outlineLevel="1" collapsed="1" x14ac:dyDescent="0.25">
      <c r="C4581" s="9">
        <f>Гамма!$B$368</f>
        <v>530764.89</v>
      </c>
    </row>
    <row r="4582" spans="3:3" hidden="1" outlineLevel="1" collapsed="1" x14ac:dyDescent="0.25">
      <c r="C4582" s="9">
        <f>Гамма!$B$394</f>
        <v>310456.84000000003</v>
      </c>
    </row>
    <row r="4583" spans="3:3" hidden="1" outlineLevel="1" collapsed="1" x14ac:dyDescent="0.25">
      <c r="C4583" s="9">
        <f>Гамма!$B$421</f>
        <v>298076.09999999998</v>
      </c>
    </row>
    <row r="4584" spans="3:3" hidden="1" outlineLevel="1" collapsed="1" x14ac:dyDescent="0.25">
      <c r="C4584" s="9">
        <f>Гамма!$B$448</f>
        <v>276041.37</v>
      </c>
    </row>
    <row r="4585" spans="3:3" hidden="1" outlineLevel="1" collapsed="1" x14ac:dyDescent="0.25">
      <c r="C4585" s="9">
        <f>Гамма!$B$474</f>
        <v>330676.09000000003</v>
      </c>
    </row>
    <row r="4586" spans="3:3" hidden="1" outlineLevel="1" collapsed="1" x14ac:dyDescent="0.25">
      <c r="C4586" s="9">
        <f>Гамма!$B$500</f>
        <v>303832.87</v>
      </c>
    </row>
    <row r="4587" spans="3:3" hidden="1" outlineLevel="1" collapsed="1" x14ac:dyDescent="0.25">
      <c r="C4587" s="9">
        <f>Гамма!$B$526</f>
        <v>615869.51</v>
      </c>
    </row>
    <row r="4588" spans="3:3" hidden="1" outlineLevel="1" collapsed="1" x14ac:dyDescent="0.25">
      <c r="C4588" s="9">
        <f>Гамма!$B$552</f>
        <v>426482.16</v>
      </c>
    </row>
    <row r="4589" spans="3:3" hidden="1" outlineLevel="1" collapsed="1" x14ac:dyDescent="0.25">
      <c r="C4589" s="9">
        <f>Гамма!$B$577</f>
        <v>170993.97</v>
      </c>
    </row>
    <row r="4590" spans="3:3" hidden="1" outlineLevel="1" collapsed="1" x14ac:dyDescent="0.25">
      <c r="C4590" s="9">
        <f>Гамма!$B$603</f>
        <v>198108.9</v>
      </c>
    </row>
    <row r="4591" spans="3:3" hidden="1" outlineLevel="1" collapsed="1" x14ac:dyDescent="0.25">
      <c r="C4591" s="9">
        <f>Гамма!$B$629</f>
        <v>217267.46</v>
      </c>
    </row>
    <row r="4592" spans="3:3" hidden="1" outlineLevel="1" collapsed="1" x14ac:dyDescent="0.25">
      <c r="C4592" s="9">
        <f>Гамма!$B$655</f>
        <v>283843.65999999997</v>
      </c>
    </row>
    <row r="4593" spans="3:3" hidden="1" outlineLevel="1" collapsed="1" x14ac:dyDescent="0.25">
      <c r="C4593" s="9">
        <f>Гамма!$B$681</f>
        <v>283796.40999999997</v>
      </c>
    </row>
    <row r="4594" spans="3:3" hidden="1" outlineLevel="1" collapsed="1" x14ac:dyDescent="0.25">
      <c r="C4594" s="9">
        <f>Гамма!$B$707</f>
        <v>556190.87</v>
      </c>
    </row>
    <row r="4595" spans="3:3" hidden="1" outlineLevel="1" collapsed="1" x14ac:dyDescent="0.25">
      <c r="C4595" s="9">
        <f>Гамма!$B$733</f>
        <v>475655.77</v>
      </c>
    </row>
    <row r="4596" spans="3:3" hidden="1" outlineLevel="1" collapsed="1" x14ac:dyDescent="0.25">
      <c r="C4596" s="9">
        <f>Гамма!$B$757</f>
        <v>234118.37</v>
      </c>
    </row>
    <row r="4597" spans="3:3" hidden="1" outlineLevel="1" collapsed="1" x14ac:dyDescent="0.25">
      <c r="C4597" s="9">
        <f>Гамма!$B$782</f>
        <v>173759</v>
      </c>
    </row>
    <row r="4598" spans="3:3" hidden="1" outlineLevel="1" collapsed="1" x14ac:dyDescent="0.25">
      <c r="C4598" s="9">
        <f>Гамма!$B$807</f>
        <v>276273.24</v>
      </c>
    </row>
    <row r="4599" spans="3:3" hidden="1" outlineLevel="1" collapsed="1" x14ac:dyDescent="0.25">
      <c r="C4599" s="9">
        <f>Гамма!$B$833</f>
        <v>225711</v>
      </c>
    </row>
    <row r="4600" spans="3:3" hidden="1" outlineLevel="1" collapsed="1" x14ac:dyDescent="0.25">
      <c r="C4600" s="9">
        <f>Гамма!$B$859</f>
        <v>374226.47</v>
      </c>
    </row>
    <row r="4601" spans="3:3" hidden="1" outlineLevel="1" collapsed="1" x14ac:dyDescent="0.25">
      <c r="C4601" s="9">
        <f>Гамма!$B$885</f>
        <v>361287.12</v>
      </c>
    </row>
    <row r="4602" spans="3:3" hidden="1" outlineLevel="1" collapsed="1" x14ac:dyDescent="0.25">
      <c r="C4602" s="9">
        <f>Гамма!$B$911</f>
        <v>307305.5</v>
      </c>
    </row>
    <row r="4603" spans="3:3" hidden="1" outlineLevel="1" collapsed="1" x14ac:dyDescent="0.25">
      <c r="C4603" s="9">
        <f>Гамма!$B$937</f>
        <v>224952.91</v>
      </c>
    </row>
    <row r="4604" spans="3:3" hidden="1" outlineLevel="1" collapsed="1" x14ac:dyDescent="0.25">
      <c r="C4604" s="9">
        <f>Гамма!$B$962</f>
        <v>239639.71</v>
      </c>
    </row>
    <row r="4605" spans="3:3" hidden="1" outlineLevel="1" collapsed="1" x14ac:dyDescent="0.25">
      <c r="C4605" s="9">
        <f>Гамма!$B$988</f>
        <v>166528.69</v>
      </c>
    </row>
    <row r="4606" spans="3:3" hidden="1" outlineLevel="1" collapsed="1" x14ac:dyDescent="0.25">
      <c r="C4606" s="9">
        <f>Гамма!$B$1014</f>
        <v>88909.81</v>
      </c>
    </row>
    <row r="4607" spans="3:3" hidden="1" outlineLevel="1" collapsed="1" x14ac:dyDescent="0.25">
      <c r="C4607" s="9">
        <f>Гамма!$B$1039</f>
        <v>160725.66</v>
      </c>
    </row>
    <row r="4608" spans="3:3" hidden="1" outlineLevel="1" collapsed="1" x14ac:dyDescent="0.25">
      <c r="C4608" s="9">
        <f>Гамма!$B$1063</f>
        <v>309462.15999999997</v>
      </c>
    </row>
    <row r="4609" spans="2:3" hidden="1" outlineLevel="1" collapsed="1" x14ac:dyDescent="0.25">
      <c r="C4609" s="9">
        <f>Гамма!$B$1088</f>
        <v>190436.05</v>
      </c>
    </row>
    <row r="4610" spans="2:3" hidden="1" outlineLevel="1" collapsed="1" x14ac:dyDescent="0.25">
      <c r="C4610" s="9">
        <f>Гамма!$B$1114</f>
        <v>105569.68</v>
      </c>
    </row>
    <row r="4611" spans="2:3" hidden="1" outlineLevel="1" collapsed="1" x14ac:dyDescent="0.25">
      <c r="C4611" s="9">
        <f>Гамма!$B$1137</f>
        <v>153078.17000000001</v>
      </c>
    </row>
    <row r="4612" spans="2:3" hidden="1" outlineLevel="1" collapsed="1" x14ac:dyDescent="0.25">
      <c r="C4612" s="9">
        <f>Гамма!$B$1162</f>
        <v>199711.9</v>
      </c>
    </row>
    <row r="4613" spans="2:3" hidden="1" outlineLevel="1" collapsed="1" x14ac:dyDescent="0.25">
      <c r="C4613" s="9">
        <f>Гамма!$B$1187</f>
        <v>228798.36</v>
      </c>
    </row>
    <row r="4614" spans="2:3" hidden="1" outlineLevel="1" collapsed="1" x14ac:dyDescent="0.25">
      <c r="C4614" s="9">
        <f>Гамма!$B$1212</f>
        <v>245151.5</v>
      </c>
    </row>
    <row r="4615" spans="2:3" hidden="1" outlineLevel="1" collapsed="1" x14ac:dyDescent="0.25">
      <c r="C4615" s="9">
        <f>Гамма!$B$1237</f>
        <v>358758.89</v>
      </c>
    </row>
    <row r="4616" spans="2:3" hidden="1" outlineLevel="1" collapsed="1" x14ac:dyDescent="0.25">
      <c r="C4616" s="9">
        <f>Гамма!$B$1262</f>
        <v>248030.57</v>
      </c>
    </row>
    <row r="4617" spans="2:3" hidden="1" outlineLevel="1" collapsed="1" x14ac:dyDescent="0.25">
      <c r="B4617" t="s">
        <v>72</v>
      </c>
      <c r="C4617" s="9">
        <f>Дельта!$B$27</f>
        <v>238154.92</v>
      </c>
    </row>
    <row r="4618" spans="2:3" hidden="1" outlineLevel="1" collapsed="1" x14ac:dyDescent="0.25">
      <c r="C4618" s="9">
        <f>Дельта!$B$53</f>
        <v>265160.21999999997</v>
      </c>
    </row>
    <row r="4619" spans="2:3" hidden="1" outlineLevel="1" collapsed="1" x14ac:dyDescent="0.25">
      <c r="C4619" s="9">
        <f>Дельта!$B$79</f>
        <v>245932.93</v>
      </c>
    </row>
    <row r="4620" spans="2:3" hidden="1" outlineLevel="1" collapsed="1" x14ac:dyDescent="0.25">
      <c r="C4620" s="9">
        <f>Дельта!$B$105</f>
        <v>254373</v>
      </c>
    </row>
    <row r="4621" spans="2:3" hidden="1" outlineLevel="1" collapsed="1" x14ac:dyDescent="0.25">
      <c r="C4621" s="9">
        <f>Дельта!$B$131</f>
        <v>273699</v>
      </c>
    </row>
    <row r="4622" spans="2:3" hidden="1" outlineLevel="1" collapsed="1" x14ac:dyDescent="0.25">
      <c r="C4622" s="9">
        <f>Дельта!$B$156</f>
        <v>424372</v>
      </c>
    </row>
    <row r="4623" spans="2:3" hidden="1" outlineLevel="1" collapsed="1" x14ac:dyDescent="0.25">
      <c r="C4623" s="9">
        <f>Дельта!$B$182</f>
        <v>344737.87</v>
      </c>
    </row>
    <row r="4624" spans="2:3" hidden="1" outlineLevel="1" collapsed="1" x14ac:dyDescent="0.25">
      <c r="C4624" s="9">
        <f>Дельта!$B$208</f>
        <v>229685</v>
      </c>
    </row>
    <row r="4625" spans="3:3" hidden="1" outlineLevel="1" collapsed="1" x14ac:dyDescent="0.25">
      <c r="C4625" s="9">
        <f>Дельта!$B$233</f>
        <v>152894.94</v>
      </c>
    </row>
    <row r="4626" spans="3:3" hidden="1" outlineLevel="1" collapsed="1" x14ac:dyDescent="0.25">
      <c r="C4626" s="9">
        <f>Дельта!$B$259</f>
        <v>188658</v>
      </c>
    </row>
    <row r="4627" spans="3:3" hidden="1" outlineLevel="1" collapsed="1" x14ac:dyDescent="0.25">
      <c r="C4627" s="9">
        <f>Дельта!$B$285</f>
        <v>225013</v>
      </c>
    </row>
    <row r="4628" spans="3:3" hidden="1" outlineLevel="1" collapsed="1" x14ac:dyDescent="0.25">
      <c r="C4628" s="9">
        <f>Дельта!$B$311</f>
        <v>277371</v>
      </c>
    </row>
    <row r="4629" spans="3:3" hidden="1" outlineLevel="1" collapsed="1" x14ac:dyDescent="0.25">
      <c r="C4629" s="9">
        <f>Дельта!$B$337</f>
        <v>439790</v>
      </c>
    </row>
    <row r="4630" spans="3:3" hidden="1" outlineLevel="1" collapsed="1" x14ac:dyDescent="0.25">
      <c r="C4630" s="9">
        <f>Дельта!$B$363</f>
        <v>392820</v>
      </c>
    </row>
    <row r="4631" spans="3:3" hidden="1" outlineLevel="1" collapsed="1" x14ac:dyDescent="0.25">
      <c r="C4631" s="9">
        <f>Дельта!$B$389</f>
        <v>246500</v>
      </c>
    </row>
    <row r="4632" spans="3:3" hidden="1" outlineLevel="1" collapsed="1" x14ac:dyDescent="0.25">
      <c r="C4632" s="9">
        <f>Дельта!$B$415</f>
        <v>318007</v>
      </c>
    </row>
    <row r="4633" spans="3:3" hidden="1" outlineLevel="1" collapsed="1" x14ac:dyDescent="0.25">
      <c r="C4633" s="9">
        <f>Дельта!$B$441</f>
        <v>344553</v>
      </c>
    </row>
    <row r="4634" spans="3:3" hidden="1" outlineLevel="1" collapsed="1" x14ac:dyDescent="0.25">
      <c r="C4634" s="9">
        <f>Дельта!$B$467</f>
        <v>304881</v>
      </c>
    </row>
    <row r="4635" spans="3:3" hidden="1" outlineLevel="1" collapsed="1" x14ac:dyDescent="0.25">
      <c r="C4635" s="9">
        <f>Дельта!$B$493</f>
        <v>343682</v>
      </c>
    </row>
    <row r="4636" spans="3:3" hidden="1" outlineLevel="1" collapsed="1" x14ac:dyDescent="0.25">
      <c r="C4636" s="9">
        <f>Дельта!$B$519</f>
        <v>564624</v>
      </c>
    </row>
    <row r="4637" spans="3:3" hidden="1" outlineLevel="1" collapsed="1" x14ac:dyDescent="0.25">
      <c r="C4637" s="9">
        <f>Дельта!$B$545</f>
        <v>376346</v>
      </c>
    </row>
    <row r="4638" spans="3:3" hidden="1" outlineLevel="1" collapsed="1" x14ac:dyDescent="0.25">
      <c r="C4638" s="9">
        <f>Дельта!$B$571</f>
        <v>225934</v>
      </c>
    </row>
    <row r="4639" spans="3:3" hidden="1" outlineLevel="1" collapsed="1" x14ac:dyDescent="0.25">
      <c r="C4639" s="9">
        <f>Дельта!$B$597</f>
        <v>211698</v>
      </c>
    </row>
    <row r="4640" spans="3:3" hidden="1" outlineLevel="1" collapsed="1" x14ac:dyDescent="0.25">
      <c r="C4640" s="9">
        <f>Дельта!$B$623</f>
        <v>270023</v>
      </c>
    </row>
    <row r="4641" spans="3:3" hidden="1" outlineLevel="1" collapsed="1" x14ac:dyDescent="0.25">
      <c r="C4641" s="9">
        <f>Дельта!$B$648</f>
        <v>254791</v>
      </c>
    </row>
    <row r="4642" spans="3:3" hidden="1" outlineLevel="1" collapsed="1" x14ac:dyDescent="0.25">
      <c r="C4642" s="9">
        <f>Дельта!$B$675</f>
        <v>229915</v>
      </c>
    </row>
    <row r="4643" spans="3:3" hidden="1" outlineLevel="1" collapsed="1" x14ac:dyDescent="0.25">
      <c r="C4643" s="9">
        <f>Дельта!$B$701</f>
        <v>412685</v>
      </c>
    </row>
    <row r="4644" spans="3:3" hidden="1" outlineLevel="1" collapsed="1" x14ac:dyDescent="0.25">
      <c r="C4644" s="9">
        <f>Дельта!$B$726</f>
        <v>296422</v>
      </c>
    </row>
    <row r="4645" spans="3:3" hidden="1" outlineLevel="1" collapsed="1" x14ac:dyDescent="0.25">
      <c r="C4645" s="9">
        <f>Дельта!$B$752</f>
        <v>224923</v>
      </c>
    </row>
    <row r="4646" spans="3:3" hidden="1" outlineLevel="1" collapsed="1" x14ac:dyDescent="0.25">
      <c r="C4646" s="9">
        <f>Дельта!$B$778</f>
        <v>141142.94</v>
      </c>
    </row>
    <row r="4647" spans="3:3" hidden="1" outlineLevel="1" collapsed="1" x14ac:dyDescent="0.25">
      <c r="C4647" s="9">
        <f>Дельта!$B$803</f>
        <v>219633</v>
      </c>
    </row>
    <row r="4648" spans="3:3" hidden="1" outlineLevel="1" collapsed="1" x14ac:dyDescent="0.25">
      <c r="C4648" s="9">
        <f>Дельта!$B$829</f>
        <v>203876</v>
      </c>
    </row>
    <row r="4649" spans="3:3" hidden="1" outlineLevel="1" collapsed="1" x14ac:dyDescent="0.25">
      <c r="C4649" s="9">
        <f>Дельта!$B$855</f>
        <v>242025</v>
      </c>
    </row>
    <row r="4650" spans="3:3" hidden="1" outlineLevel="1" collapsed="1" x14ac:dyDescent="0.25">
      <c r="C4650" s="9">
        <f>Дельта!$B$881</f>
        <v>338554</v>
      </c>
    </row>
    <row r="4651" spans="3:3" hidden="1" outlineLevel="1" collapsed="1" x14ac:dyDescent="0.25">
      <c r="C4651" s="9">
        <f>Дельта!$B$907</f>
        <v>314703</v>
      </c>
    </row>
    <row r="4652" spans="3:3" hidden="1" outlineLevel="1" collapsed="1" x14ac:dyDescent="0.25">
      <c r="C4652" s="9">
        <f>Дельта!$B$933</f>
        <v>226101</v>
      </c>
    </row>
    <row r="4653" spans="3:3" hidden="1" outlineLevel="1" collapsed="1" x14ac:dyDescent="0.25">
      <c r="C4653" s="9">
        <f>Дельта!$B$958</f>
        <v>167078.95000000001</v>
      </c>
    </row>
    <row r="4654" spans="3:3" hidden="1" outlineLevel="1" collapsed="1" x14ac:dyDescent="0.25">
      <c r="C4654" s="9">
        <f>Дельта!$B$984</f>
        <v>189718.95</v>
      </c>
    </row>
    <row r="4655" spans="3:3" hidden="1" outlineLevel="1" collapsed="1" x14ac:dyDescent="0.25">
      <c r="C4655" s="9">
        <f>Дельта!$B$1009</f>
        <v>144977</v>
      </c>
    </row>
    <row r="4656" spans="3:3" hidden="1" outlineLevel="1" collapsed="1" x14ac:dyDescent="0.25">
      <c r="C4656" s="9">
        <f>Дельта!$B$1034</f>
        <v>135112</v>
      </c>
    </row>
    <row r="4657" spans="1:3" hidden="1" outlineLevel="1" collapsed="1" x14ac:dyDescent="0.25">
      <c r="C4657" s="9">
        <f>Дельта!$B$1060</f>
        <v>222885.9</v>
      </c>
    </row>
    <row r="4658" spans="1:3" hidden="1" outlineLevel="1" collapsed="1" x14ac:dyDescent="0.25">
      <c r="C4658" s="9">
        <f>Дельта!$B$1085</f>
        <v>189733.03</v>
      </c>
    </row>
    <row r="4659" spans="1:3" hidden="1" outlineLevel="1" collapsed="1" x14ac:dyDescent="0.25">
      <c r="C4659" s="9">
        <f>Дельта!$B$1110</f>
        <v>173484</v>
      </c>
    </row>
    <row r="4660" spans="1:3" hidden="1" outlineLevel="1" collapsed="1" x14ac:dyDescent="0.25">
      <c r="C4660" s="9">
        <f>Дельта!$B$1135</f>
        <v>238141</v>
      </c>
    </row>
    <row r="4661" spans="1:3" hidden="1" outlineLevel="1" collapsed="1" x14ac:dyDescent="0.25">
      <c r="C4661" s="9">
        <f>Дельта!$B$1159</f>
        <v>144521</v>
      </c>
    </row>
    <row r="4662" spans="1:3" hidden="1" outlineLevel="1" collapsed="1" x14ac:dyDescent="0.25">
      <c r="C4662" s="9">
        <f>Дельта!$B$1182</f>
        <v>220869.34</v>
      </c>
    </row>
    <row r="4663" spans="1:3" hidden="1" outlineLevel="1" collapsed="1" x14ac:dyDescent="0.25">
      <c r="C4663" s="9">
        <f>Дельта!$B$1207</f>
        <v>303342.19</v>
      </c>
    </row>
    <row r="4664" spans="1:3" hidden="1" outlineLevel="1" collapsed="1" x14ac:dyDescent="0.25">
      <c r="C4664" s="9">
        <f>Дельта!$B$1232</f>
        <v>235400</v>
      </c>
    </row>
    <row r="4665" spans="1:3" hidden="1" outlineLevel="1" collapsed="1" x14ac:dyDescent="0.25">
      <c r="C4665" s="9">
        <f>Дельта!$B$1256</f>
        <v>185261</v>
      </c>
    </row>
    <row r="4666" spans="1:3" collapsed="1" x14ac:dyDescent="0.25">
      <c r="A4666" t="s">
        <v>27</v>
      </c>
      <c r="C4666" s="9">
        <f>SUM(C4470:C4665)</f>
        <v>50782859.230000004</v>
      </c>
    </row>
    <row r="4667" spans="1:3" hidden="1" outlineLevel="1" x14ac:dyDescent="0.25">
      <c r="B4667" t="s">
        <v>72</v>
      </c>
      <c r="C4667" s="9">
        <f>Альфа!$B$119</f>
        <v>9675</v>
      </c>
    </row>
    <row r="4668" spans="1:3" hidden="1" outlineLevel="1" collapsed="1" x14ac:dyDescent="0.25">
      <c r="C4668" s="9">
        <f>Альфа!$B$146</f>
        <v>30788</v>
      </c>
    </row>
    <row r="4669" spans="1:3" hidden="1" outlineLevel="1" collapsed="1" x14ac:dyDescent="0.25">
      <c r="C4669" s="9">
        <f>Альфа!$B$172</f>
        <v>17892</v>
      </c>
    </row>
    <row r="4670" spans="1:3" hidden="1" outlineLevel="1" collapsed="1" x14ac:dyDescent="0.25">
      <c r="C4670" s="9">
        <f>Альфа!$B$198</f>
        <v>18224</v>
      </c>
    </row>
    <row r="4671" spans="1:3" hidden="1" outlineLevel="1" collapsed="1" x14ac:dyDescent="0.25">
      <c r="C4671" s="9">
        <f>Альфа!$B$224</f>
        <v>14543</v>
      </c>
    </row>
    <row r="4672" spans="1:3" hidden="1" outlineLevel="1" collapsed="1" x14ac:dyDescent="0.25">
      <c r="C4672" s="9">
        <f>Альфа!$B$251</f>
        <v>9402</v>
      </c>
    </row>
    <row r="4673" spans="3:3" hidden="1" outlineLevel="1" collapsed="1" x14ac:dyDescent="0.25">
      <c r="C4673" s="9">
        <f>Альфа!$B$277</f>
        <v>20006</v>
      </c>
    </row>
    <row r="4674" spans="3:3" hidden="1" outlineLevel="1" collapsed="1" x14ac:dyDescent="0.25">
      <c r="C4674" s="9">
        <f>Альфа!$B$303</f>
        <v>17191</v>
      </c>
    </row>
    <row r="4675" spans="3:3" hidden="1" outlineLevel="1" collapsed="1" x14ac:dyDescent="0.25">
      <c r="C4675" s="9">
        <f>Альфа!$B$329</f>
        <v>30251</v>
      </c>
    </row>
    <row r="4676" spans="3:3" hidden="1" outlineLevel="1" collapsed="1" x14ac:dyDescent="0.25">
      <c r="C4676" s="9">
        <f>Альфа!$B$355</f>
        <v>17875</v>
      </c>
    </row>
    <row r="4677" spans="3:3" hidden="1" outlineLevel="1" collapsed="1" x14ac:dyDescent="0.25">
      <c r="C4677" s="9">
        <f>Альфа!$B$382</f>
        <v>17996</v>
      </c>
    </row>
    <row r="4678" spans="3:3" hidden="1" outlineLevel="1" collapsed="1" x14ac:dyDescent="0.25">
      <c r="C4678" s="9">
        <f>Альфа!$B$408</f>
        <v>15590</v>
      </c>
    </row>
    <row r="4679" spans="3:3" hidden="1" outlineLevel="1" collapsed="1" x14ac:dyDescent="0.25">
      <c r="C4679" s="9">
        <f>Альфа!$B$434</f>
        <v>13114</v>
      </c>
    </row>
    <row r="4680" spans="3:3" hidden="1" outlineLevel="1" collapsed="1" x14ac:dyDescent="0.25">
      <c r="C4680" s="9">
        <f>Альфа!$B$459</f>
        <v>23767</v>
      </c>
    </row>
    <row r="4681" spans="3:3" hidden="1" outlineLevel="1" collapsed="1" x14ac:dyDescent="0.25">
      <c r="C4681" s="9">
        <f>Альфа!$B$485</f>
        <v>24727</v>
      </c>
    </row>
    <row r="4682" spans="3:3" hidden="1" outlineLevel="1" collapsed="1" x14ac:dyDescent="0.25">
      <c r="C4682" s="9">
        <f>Альфа!$B$510</f>
        <v>34328</v>
      </c>
    </row>
    <row r="4683" spans="3:3" hidden="1" outlineLevel="1" collapsed="1" x14ac:dyDescent="0.25">
      <c r="C4683" s="9">
        <f>Альфа!$B$535</f>
        <v>15100</v>
      </c>
    </row>
    <row r="4684" spans="3:3" hidden="1" outlineLevel="1" collapsed="1" x14ac:dyDescent="0.25">
      <c r="C4684" s="9">
        <f>Альфа!$B$560</f>
        <v>10199</v>
      </c>
    </row>
    <row r="4685" spans="3:3" hidden="1" outlineLevel="1" collapsed="1" x14ac:dyDescent="0.25">
      <c r="C4685" s="9">
        <f>Альфа!$B$585</f>
        <v>5663.53</v>
      </c>
    </row>
    <row r="4686" spans="3:3" hidden="1" outlineLevel="1" collapsed="1" x14ac:dyDescent="0.25">
      <c r="C4686" s="9">
        <f>Альфа!$B$609</f>
        <v>12254</v>
      </c>
    </row>
    <row r="4687" spans="3:3" hidden="1" outlineLevel="1" collapsed="1" x14ac:dyDescent="0.25">
      <c r="C4687" s="9">
        <f>Альфа!$B$634</f>
        <v>15779</v>
      </c>
    </row>
    <row r="4688" spans="3:3" hidden="1" outlineLevel="1" collapsed="1" x14ac:dyDescent="0.25">
      <c r="C4688" s="9">
        <f>Альфа!$B$659</f>
        <v>14333</v>
      </c>
    </row>
    <row r="4689" spans="3:3" hidden="1" outlineLevel="1" collapsed="1" x14ac:dyDescent="0.25">
      <c r="C4689" s="9">
        <f>Альфа!$B$684</f>
        <v>19642</v>
      </c>
    </row>
    <row r="4690" spans="3:3" hidden="1" outlineLevel="1" collapsed="1" x14ac:dyDescent="0.25">
      <c r="C4690" s="9">
        <f>Альфа!$B$709</f>
        <v>18822</v>
      </c>
    </row>
    <row r="4691" spans="3:3" hidden="1" outlineLevel="1" collapsed="1" x14ac:dyDescent="0.25">
      <c r="C4691" s="9">
        <f>Альфа!$B$734</f>
        <v>7623</v>
      </c>
    </row>
    <row r="4692" spans="3:3" hidden="1" outlineLevel="1" collapsed="1" x14ac:dyDescent="0.25">
      <c r="C4692" s="9">
        <f>Альфа!$B$759</f>
        <v>15276.75</v>
      </c>
    </row>
    <row r="4693" spans="3:3" hidden="1" outlineLevel="1" collapsed="1" x14ac:dyDescent="0.25">
      <c r="C4693" s="9">
        <f>Альфа!$B$784</f>
        <v>8174</v>
      </c>
    </row>
    <row r="4694" spans="3:3" hidden="1" outlineLevel="1" collapsed="1" x14ac:dyDescent="0.25">
      <c r="C4694" s="9">
        <f>Альфа!$B$807</f>
        <v>8514</v>
      </c>
    </row>
    <row r="4695" spans="3:3" hidden="1" outlineLevel="1" collapsed="1" x14ac:dyDescent="0.25">
      <c r="C4695" s="9">
        <f>Альфа!$B$831</f>
        <v>14420</v>
      </c>
    </row>
    <row r="4696" spans="3:3" hidden="1" outlineLevel="1" collapsed="1" x14ac:dyDescent="0.25">
      <c r="C4696" s="9">
        <f>Альфа!$B$856</f>
        <v>9859</v>
      </c>
    </row>
    <row r="4697" spans="3:3" hidden="1" outlineLevel="1" collapsed="1" x14ac:dyDescent="0.25">
      <c r="C4697" s="9">
        <f>Альфа!$B$881</f>
        <v>6998</v>
      </c>
    </row>
    <row r="4698" spans="3:3" hidden="1" outlineLevel="1" collapsed="1" x14ac:dyDescent="0.25">
      <c r="C4698" s="9">
        <f>Альфа!$B$906</f>
        <v>3442</v>
      </c>
    </row>
    <row r="4699" spans="3:3" hidden="1" outlineLevel="1" collapsed="1" x14ac:dyDescent="0.25">
      <c r="C4699" s="9">
        <f>Альфа!$B$931</f>
        <v>5431</v>
      </c>
    </row>
    <row r="4700" spans="3:3" hidden="1" outlineLevel="1" collapsed="1" x14ac:dyDescent="0.25">
      <c r="C4700" s="9">
        <f>Альфа!$B$956</f>
        <v>2600</v>
      </c>
    </row>
    <row r="4701" spans="3:3" hidden="1" outlineLevel="1" collapsed="1" x14ac:dyDescent="0.25">
      <c r="C4701" s="9">
        <f>Альфа!$B$980</f>
        <v>2600</v>
      </c>
    </row>
    <row r="4702" spans="3:3" hidden="1" outlineLevel="1" collapsed="1" x14ac:dyDescent="0.25">
      <c r="C4702" s="9">
        <f>Альфа!$B$1006</f>
        <v>4550</v>
      </c>
    </row>
    <row r="4703" spans="3:3" hidden="1" outlineLevel="1" collapsed="1" x14ac:dyDescent="0.25">
      <c r="C4703" s="9">
        <f>Альфа!$B$1031</f>
        <v>5200</v>
      </c>
    </row>
    <row r="4704" spans="3:3" hidden="1" outlineLevel="1" collapsed="1" x14ac:dyDescent="0.25">
      <c r="C4704" s="9">
        <f>Альфа!$B$1057</f>
        <v>1950</v>
      </c>
    </row>
    <row r="4705" spans="2:3" hidden="1" outlineLevel="1" collapsed="1" x14ac:dyDescent="0.25">
      <c r="C4705" s="9">
        <f>Альфа!$B$1106</f>
        <v>5850</v>
      </c>
    </row>
    <row r="4706" spans="2:3" hidden="1" outlineLevel="1" collapsed="1" x14ac:dyDescent="0.25">
      <c r="C4706" s="9">
        <f>Альфа!$B$1131</f>
        <v>1300</v>
      </c>
    </row>
    <row r="4707" spans="2:3" hidden="1" outlineLevel="1" collapsed="1" x14ac:dyDescent="0.25">
      <c r="C4707" s="9">
        <f>Альфа!$B$1156</f>
        <v>650</v>
      </c>
    </row>
    <row r="4708" spans="2:3" hidden="1" outlineLevel="1" collapsed="1" x14ac:dyDescent="0.25">
      <c r="C4708" s="9">
        <f>Альфа!$B$1182</f>
        <v>1300</v>
      </c>
    </row>
    <row r="4709" spans="2:3" hidden="1" outlineLevel="1" collapsed="1" x14ac:dyDescent="0.25">
      <c r="C4709" s="9">
        <f>Альфа!$B$1208</f>
        <v>1950</v>
      </c>
    </row>
    <row r="4710" spans="2:3" hidden="1" outlineLevel="1" collapsed="1" x14ac:dyDescent="0.25">
      <c r="B4710" t="s">
        <v>72</v>
      </c>
      <c r="C4710" s="9">
        <f>Гамма!$B$15</f>
        <v>3945.72</v>
      </c>
    </row>
    <row r="4711" spans="2:3" hidden="1" outlineLevel="1" collapsed="1" x14ac:dyDescent="0.25">
      <c r="C4711" s="9">
        <f>Гамма!$B$41</f>
        <v>8061.32</v>
      </c>
    </row>
    <row r="4712" spans="2:3" hidden="1" outlineLevel="1" collapsed="1" x14ac:dyDescent="0.25">
      <c r="C4712" s="9">
        <f>Гамма!$B$68</f>
        <v>6810.66</v>
      </c>
    </row>
    <row r="4713" spans="2:3" hidden="1" outlineLevel="1" collapsed="1" x14ac:dyDescent="0.25">
      <c r="C4713" s="9">
        <f>Гамма!$B$95</f>
        <v>2365.2199999999998</v>
      </c>
    </row>
    <row r="4714" spans="2:3" hidden="1" outlineLevel="1" collapsed="1" x14ac:dyDescent="0.25">
      <c r="C4714" s="9">
        <f>Гамма!$B$121</f>
        <v>21695.31</v>
      </c>
    </row>
    <row r="4715" spans="2:3" hidden="1" outlineLevel="1" collapsed="1" x14ac:dyDescent="0.25">
      <c r="C4715" s="9">
        <f>Гамма!$B$147</f>
        <v>44259.38</v>
      </c>
    </row>
    <row r="4716" spans="2:3" hidden="1" outlineLevel="1" collapsed="1" x14ac:dyDescent="0.25">
      <c r="C4716" s="9">
        <f>Гамма!$B$173</f>
        <v>36207.279999999999</v>
      </c>
    </row>
    <row r="4717" spans="2:3" hidden="1" outlineLevel="1" collapsed="1" x14ac:dyDescent="0.25">
      <c r="C4717" s="9">
        <f>Гамма!$B$200</f>
        <v>16473.86</v>
      </c>
    </row>
    <row r="4718" spans="2:3" hidden="1" outlineLevel="1" collapsed="1" x14ac:dyDescent="0.25">
      <c r="C4718" s="9">
        <f>Гамма!$B$227</f>
        <v>24740.94</v>
      </c>
    </row>
    <row r="4719" spans="2:3" hidden="1" outlineLevel="1" collapsed="1" x14ac:dyDescent="0.25">
      <c r="C4719" s="9">
        <f>Гамма!$B$253</f>
        <v>16388.400000000001</v>
      </c>
    </row>
    <row r="4720" spans="2:3" hidden="1" outlineLevel="1" collapsed="1" x14ac:dyDescent="0.25">
      <c r="C4720" s="9">
        <f>Гамма!$B$279</f>
        <v>11670.88</v>
      </c>
    </row>
    <row r="4721" spans="3:3" hidden="1" outlineLevel="1" collapsed="1" x14ac:dyDescent="0.25">
      <c r="C4721" s="9">
        <f>Гамма!$B$305</f>
        <v>21332.48</v>
      </c>
    </row>
    <row r="4722" spans="3:3" hidden="1" outlineLevel="1" collapsed="1" x14ac:dyDescent="0.25">
      <c r="C4722" s="9">
        <f>Гамма!$B$331</f>
        <v>48039.61</v>
      </c>
    </row>
    <row r="4723" spans="3:3" hidden="1" outlineLevel="1" collapsed="1" x14ac:dyDescent="0.25">
      <c r="C4723" s="9">
        <f>Гамма!$B$357</f>
        <v>47043.89</v>
      </c>
    </row>
    <row r="4724" spans="3:3" hidden="1" outlineLevel="1" collapsed="1" x14ac:dyDescent="0.25">
      <c r="C4724" s="9">
        <f>Гамма!$B$382</f>
        <v>23777.68</v>
      </c>
    </row>
    <row r="4725" spans="3:3" hidden="1" outlineLevel="1" collapsed="1" x14ac:dyDescent="0.25">
      <c r="C4725" s="9">
        <f>Гамма!$B$408</f>
        <v>21238.39</v>
      </c>
    </row>
    <row r="4726" spans="3:3" hidden="1" outlineLevel="1" collapsed="1" x14ac:dyDescent="0.25">
      <c r="C4726" s="9">
        <f>Гамма!$B$435</f>
        <v>22395.89</v>
      </c>
    </row>
    <row r="4727" spans="3:3" hidden="1" outlineLevel="1" collapsed="1" x14ac:dyDescent="0.25">
      <c r="C4727" s="9">
        <f>Гамма!$B$462</f>
        <v>28142.84</v>
      </c>
    </row>
    <row r="4728" spans="3:3" hidden="1" outlineLevel="1" collapsed="1" x14ac:dyDescent="0.25">
      <c r="C4728" s="9">
        <f>Гамма!$B$488</f>
        <v>29297.83</v>
      </c>
    </row>
    <row r="4729" spans="3:3" hidden="1" outlineLevel="1" collapsed="1" x14ac:dyDescent="0.25">
      <c r="C4729" s="9">
        <f>Гамма!$B$514</f>
        <v>38009.74</v>
      </c>
    </row>
    <row r="4730" spans="3:3" hidden="1" outlineLevel="1" collapsed="1" x14ac:dyDescent="0.25">
      <c r="C4730" s="9">
        <f>Гамма!$B$540</f>
        <v>23745.57</v>
      </c>
    </row>
    <row r="4731" spans="3:3" hidden="1" outlineLevel="1" collapsed="1" x14ac:dyDescent="0.25">
      <c r="C4731" s="9">
        <f>Гамма!$B$566</f>
        <v>11703.52</v>
      </c>
    </row>
    <row r="4732" spans="3:3" hidden="1" outlineLevel="1" collapsed="1" x14ac:dyDescent="0.25">
      <c r="C4732" s="9">
        <f>Гамма!$B$591</f>
        <v>5912.33</v>
      </c>
    </row>
    <row r="4733" spans="3:3" hidden="1" outlineLevel="1" collapsed="1" x14ac:dyDescent="0.25">
      <c r="C4733" s="9">
        <f>Гамма!$B$617</f>
        <v>14803.48</v>
      </c>
    </row>
    <row r="4734" spans="3:3" hidden="1" outlineLevel="1" collapsed="1" x14ac:dyDescent="0.25">
      <c r="C4734" s="9">
        <f>Гамма!$B$643</f>
        <v>13247.47</v>
      </c>
    </row>
    <row r="4735" spans="3:3" hidden="1" outlineLevel="1" collapsed="1" x14ac:dyDescent="0.25">
      <c r="C4735" s="9">
        <f>Гамма!$B$669</f>
        <v>22688.19</v>
      </c>
    </row>
    <row r="4736" spans="3:3" hidden="1" outlineLevel="1" collapsed="1" x14ac:dyDescent="0.25">
      <c r="C4736" s="9">
        <f>Гамма!$B$695</f>
        <v>34946.15</v>
      </c>
    </row>
    <row r="4737" spans="3:3" hidden="1" outlineLevel="1" collapsed="1" x14ac:dyDescent="0.25">
      <c r="C4737" s="9">
        <f>Гамма!$B$721</f>
        <v>16836.05</v>
      </c>
    </row>
    <row r="4738" spans="3:3" hidden="1" outlineLevel="1" collapsed="1" x14ac:dyDescent="0.25">
      <c r="C4738" s="9">
        <f>Гамма!$B$745</f>
        <v>6668.96</v>
      </c>
    </row>
    <row r="4739" spans="3:3" hidden="1" outlineLevel="1" collapsed="1" x14ac:dyDescent="0.25">
      <c r="C4739" s="9">
        <f>Гамма!$B$771</f>
        <v>7347.69</v>
      </c>
    </row>
    <row r="4740" spans="3:3" hidden="1" outlineLevel="1" collapsed="1" x14ac:dyDescent="0.25">
      <c r="C4740" s="9">
        <f>Гамма!$B$795</f>
        <v>10575.53</v>
      </c>
    </row>
    <row r="4741" spans="3:3" hidden="1" outlineLevel="1" collapsed="1" x14ac:dyDescent="0.25">
      <c r="C4741" s="9">
        <f>Гамма!$B$821</f>
        <v>16664.71</v>
      </c>
    </row>
    <row r="4742" spans="3:3" hidden="1" outlineLevel="1" collapsed="1" x14ac:dyDescent="0.25">
      <c r="C4742" s="9">
        <f>Гамма!$B$847</f>
        <v>11113.37</v>
      </c>
    </row>
    <row r="4743" spans="3:3" hidden="1" outlineLevel="1" collapsed="1" x14ac:dyDescent="0.25">
      <c r="C4743" s="9">
        <f>Гамма!$B$873</f>
        <v>12974.11</v>
      </c>
    </row>
    <row r="4744" spans="3:3" hidden="1" outlineLevel="1" collapsed="1" x14ac:dyDescent="0.25">
      <c r="C4744" s="9">
        <f>Гамма!$B$899</f>
        <v>12540.29</v>
      </c>
    </row>
    <row r="4745" spans="3:3" hidden="1" outlineLevel="1" collapsed="1" x14ac:dyDescent="0.25">
      <c r="C4745" s="9">
        <f>Гамма!$B$925</f>
        <v>13706.26</v>
      </c>
    </row>
    <row r="4746" spans="3:3" hidden="1" outlineLevel="1" collapsed="1" x14ac:dyDescent="0.25">
      <c r="C4746" s="9">
        <f>Гамма!$B$950</f>
        <v>7195.59</v>
      </c>
    </row>
    <row r="4747" spans="3:3" hidden="1" outlineLevel="1" collapsed="1" x14ac:dyDescent="0.25">
      <c r="C4747" s="9">
        <f>Гамма!$B$976</f>
        <v>3064.97</v>
      </c>
    </row>
    <row r="4748" spans="3:3" hidden="1" outlineLevel="1" collapsed="1" x14ac:dyDescent="0.25">
      <c r="C4748" s="9">
        <f>Гамма!$B$1002</f>
        <v>4626.28</v>
      </c>
    </row>
    <row r="4749" spans="3:3" hidden="1" outlineLevel="1" collapsed="1" x14ac:dyDescent="0.25">
      <c r="C4749" s="9">
        <f>Гамма!$B$1027</f>
        <v>4704.3100000000004</v>
      </c>
    </row>
    <row r="4750" spans="3:3" hidden="1" outlineLevel="1" collapsed="1" x14ac:dyDescent="0.25">
      <c r="C4750" s="9">
        <f>Гамма!$B$1051</f>
        <v>7520.42</v>
      </c>
    </row>
    <row r="4751" spans="3:3" hidden="1" outlineLevel="1" collapsed="1" x14ac:dyDescent="0.25">
      <c r="C4751" s="9">
        <f>Гамма!$B$1076</f>
        <v>4289.3100000000004</v>
      </c>
    </row>
    <row r="4752" spans="3:3" hidden="1" outlineLevel="1" collapsed="1" x14ac:dyDescent="0.25">
      <c r="C4752" s="9">
        <f>Гамма!$B$1102</f>
        <v>963.7</v>
      </c>
    </row>
    <row r="4753" spans="2:3" hidden="1" outlineLevel="1" collapsed="1" x14ac:dyDescent="0.25">
      <c r="C4753" s="9">
        <f>Гамма!$B$1126</f>
        <v>4380.6099999999997</v>
      </c>
    </row>
    <row r="4754" spans="2:3" hidden="1" outlineLevel="1" collapsed="1" x14ac:dyDescent="0.25">
      <c r="C4754" s="9">
        <f>Гамма!$B$1150</f>
        <v>3275.07</v>
      </c>
    </row>
    <row r="4755" spans="2:3" hidden="1" outlineLevel="1" collapsed="1" x14ac:dyDescent="0.25">
      <c r="C4755" s="9">
        <f>Гамма!$B$1176</f>
        <v>3925.82</v>
      </c>
    </row>
    <row r="4756" spans="2:3" hidden="1" outlineLevel="1" collapsed="1" x14ac:dyDescent="0.25">
      <c r="C4756" s="9">
        <f>Гамма!$B$1200</f>
        <v>2926.16</v>
      </c>
    </row>
    <row r="4757" spans="2:3" hidden="1" outlineLevel="1" collapsed="1" x14ac:dyDescent="0.25">
      <c r="C4757" s="9">
        <f>Гамма!$B$1225</f>
        <v>2301.17</v>
      </c>
    </row>
    <row r="4758" spans="2:3" hidden="1" outlineLevel="1" collapsed="1" x14ac:dyDescent="0.25">
      <c r="C4758" s="9">
        <f>Гамма!$B$1250</f>
        <v>2084.44</v>
      </c>
    </row>
    <row r="4759" spans="2:3" hidden="1" outlineLevel="1" collapsed="1" x14ac:dyDescent="0.25">
      <c r="B4759" t="s">
        <v>72</v>
      </c>
      <c r="C4759" s="9">
        <f>Дельта!$B$15</f>
        <v>3717</v>
      </c>
    </row>
    <row r="4760" spans="2:3" hidden="1" outlineLevel="1" collapsed="1" x14ac:dyDescent="0.25">
      <c r="C4760" s="9">
        <f>Дельта!$B$41</f>
        <v>4517</v>
      </c>
    </row>
    <row r="4761" spans="2:3" hidden="1" outlineLevel="1" collapsed="1" x14ac:dyDescent="0.25">
      <c r="C4761" s="9">
        <f>Дельта!$B$67</f>
        <v>4639</v>
      </c>
    </row>
    <row r="4762" spans="2:3" hidden="1" outlineLevel="1" collapsed="1" x14ac:dyDescent="0.25">
      <c r="C4762" s="9">
        <f>Дельта!$B$93</f>
        <v>3843</v>
      </c>
    </row>
    <row r="4763" spans="2:3" hidden="1" outlineLevel="1" collapsed="1" x14ac:dyDescent="0.25">
      <c r="C4763" s="9">
        <f>Дельта!$B$119</f>
        <v>16931</v>
      </c>
    </row>
    <row r="4764" spans="2:3" hidden="1" outlineLevel="1" collapsed="1" x14ac:dyDescent="0.25">
      <c r="C4764" s="9">
        <f>Дельта!$B$145</f>
        <v>20154</v>
      </c>
    </row>
    <row r="4765" spans="2:3" hidden="1" outlineLevel="1" collapsed="1" x14ac:dyDescent="0.25">
      <c r="C4765" s="9">
        <f>Дельта!$B$170</f>
        <v>11925</v>
      </c>
    </row>
    <row r="4766" spans="2:3" hidden="1" outlineLevel="1" collapsed="1" x14ac:dyDescent="0.25">
      <c r="C4766" s="9">
        <f>Дельта!$B$196</f>
        <v>14942</v>
      </c>
    </row>
    <row r="4767" spans="2:3" hidden="1" outlineLevel="1" collapsed="1" x14ac:dyDescent="0.25">
      <c r="C4767" s="9">
        <f>Дельта!$B$222</f>
        <v>6792</v>
      </c>
    </row>
    <row r="4768" spans="2:3" hidden="1" outlineLevel="1" collapsed="1" x14ac:dyDescent="0.25">
      <c r="C4768" s="9">
        <f>Дельта!$B$247</f>
        <v>10360</v>
      </c>
    </row>
    <row r="4769" spans="3:3" hidden="1" outlineLevel="1" collapsed="1" x14ac:dyDescent="0.25">
      <c r="C4769" s="9">
        <f>Дельта!$B$273</f>
        <v>6405</v>
      </c>
    </row>
    <row r="4770" spans="3:3" hidden="1" outlineLevel="1" collapsed="1" x14ac:dyDescent="0.25">
      <c r="C4770" s="9">
        <f>Дельта!$B$299</f>
        <v>12686</v>
      </c>
    </row>
    <row r="4771" spans="3:3" hidden="1" outlineLevel="1" collapsed="1" x14ac:dyDescent="0.25">
      <c r="C4771" s="9">
        <f>Дельта!$B$325</f>
        <v>20940</v>
      </c>
    </row>
    <row r="4772" spans="3:3" hidden="1" outlineLevel="1" collapsed="1" x14ac:dyDescent="0.25">
      <c r="C4772" s="9">
        <f>Дельта!$B$351</f>
        <v>7788</v>
      </c>
    </row>
    <row r="4773" spans="3:3" hidden="1" outlineLevel="1" collapsed="1" x14ac:dyDescent="0.25">
      <c r="C4773" s="9">
        <f>Дельта!$B$377</f>
        <v>5450</v>
      </c>
    </row>
    <row r="4774" spans="3:3" hidden="1" outlineLevel="1" collapsed="1" x14ac:dyDescent="0.25">
      <c r="C4774" s="9">
        <f>Дельта!$B$403</f>
        <v>9776</v>
      </c>
    </row>
    <row r="4775" spans="3:3" hidden="1" outlineLevel="1" collapsed="1" x14ac:dyDescent="0.25">
      <c r="C4775" s="9">
        <f>Дельта!$B$429</f>
        <v>5641</v>
      </c>
    </row>
    <row r="4776" spans="3:3" hidden="1" outlineLevel="1" collapsed="1" x14ac:dyDescent="0.25">
      <c r="C4776" s="9">
        <f>Дельта!$B$455</f>
        <v>6569</v>
      </c>
    </row>
    <row r="4777" spans="3:3" hidden="1" outlineLevel="1" collapsed="1" x14ac:dyDescent="0.25">
      <c r="C4777" s="9">
        <f>Дельта!$B$481</f>
        <v>8236</v>
      </c>
    </row>
    <row r="4778" spans="3:3" hidden="1" outlineLevel="1" collapsed="1" x14ac:dyDescent="0.25">
      <c r="C4778" s="9">
        <f>Дельта!$B$507</f>
        <v>7105</v>
      </c>
    </row>
    <row r="4779" spans="3:3" hidden="1" outlineLevel="1" collapsed="1" x14ac:dyDescent="0.25">
      <c r="C4779" s="9">
        <f>Дельта!$B$533</f>
        <v>3415</v>
      </c>
    </row>
    <row r="4780" spans="3:3" hidden="1" outlineLevel="1" collapsed="1" x14ac:dyDescent="0.25">
      <c r="C4780" s="9">
        <f>Дельта!$B$559</f>
        <v>887</v>
      </c>
    </row>
    <row r="4781" spans="3:3" hidden="1" outlineLevel="1" collapsed="1" x14ac:dyDescent="0.25">
      <c r="C4781" s="9">
        <f>Дельта!$B$585</f>
        <v>299</v>
      </c>
    </row>
    <row r="4782" spans="3:3" hidden="1" outlineLevel="1" collapsed="1" x14ac:dyDescent="0.25">
      <c r="C4782" s="9">
        <f>Дельта!$B$611</f>
        <v>9139</v>
      </c>
    </row>
    <row r="4783" spans="3:3" hidden="1" outlineLevel="1" collapsed="1" x14ac:dyDescent="0.25">
      <c r="C4783" s="9">
        <f>Дельта!$B$636</f>
        <v>15291</v>
      </c>
    </row>
    <row r="4784" spans="3:3" hidden="1" outlineLevel="1" collapsed="1" x14ac:dyDescent="0.25">
      <c r="C4784" s="9">
        <f>Дельта!$B$662</f>
        <v>13595</v>
      </c>
    </row>
    <row r="4785" spans="3:3" hidden="1" outlineLevel="1" collapsed="1" x14ac:dyDescent="0.25">
      <c r="C4785" s="9">
        <f>Дельта!$B$689</f>
        <v>21113</v>
      </c>
    </row>
    <row r="4786" spans="3:3" hidden="1" outlineLevel="1" collapsed="1" x14ac:dyDescent="0.25">
      <c r="C4786" s="9">
        <f>Дельта!$B$715</f>
        <v>16759</v>
      </c>
    </row>
    <row r="4787" spans="3:3" hidden="1" outlineLevel="1" collapsed="1" x14ac:dyDescent="0.25">
      <c r="C4787" s="9">
        <f>Дельта!$B$740</f>
        <v>11894</v>
      </c>
    </row>
    <row r="4788" spans="3:3" hidden="1" outlineLevel="1" collapsed="1" x14ac:dyDescent="0.25">
      <c r="C4788" s="9">
        <f>Дельта!$B$766</f>
        <v>5238.45</v>
      </c>
    </row>
    <row r="4789" spans="3:3" hidden="1" outlineLevel="1" collapsed="1" x14ac:dyDescent="0.25">
      <c r="C4789" s="9">
        <f>Дельта!$B$791</f>
        <v>5693</v>
      </c>
    </row>
    <row r="4790" spans="3:3" hidden="1" outlineLevel="1" collapsed="1" x14ac:dyDescent="0.25">
      <c r="C4790" s="9">
        <f>Дельта!$B$817</f>
        <v>7943</v>
      </c>
    </row>
    <row r="4791" spans="3:3" hidden="1" outlineLevel="1" collapsed="1" x14ac:dyDescent="0.25">
      <c r="C4791" s="9">
        <f>Дельта!$B$843</f>
        <v>14306</v>
      </c>
    </row>
    <row r="4792" spans="3:3" hidden="1" outlineLevel="1" collapsed="1" x14ac:dyDescent="0.25">
      <c r="C4792" s="9">
        <f>Дельта!$B$869</f>
        <v>10665</v>
      </c>
    </row>
    <row r="4793" spans="3:3" hidden="1" outlineLevel="1" collapsed="1" x14ac:dyDescent="0.25">
      <c r="C4793" s="9">
        <f>Дельта!$B$895</f>
        <v>3331</v>
      </c>
    </row>
    <row r="4794" spans="3:3" hidden="1" outlineLevel="1" collapsed="1" x14ac:dyDescent="0.25">
      <c r="C4794" s="9">
        <f>Дельта!$B$921</f>
        <v>3295</v>
      </c>
    </row>
    <row r="4795" spans="3:3" hidden="1" outlineLevel="1" collapsed="1" x14ac:dyDescent="0.25">
      <c r="C4795" s="9">
        <f>Дельта!$B$946</f>
        <v>590</v>
      </c>
    </row>
    <row r="4796" spans="3:3" hidden="1" outlineLevel="1" collapsed="1" x14ac:dyDescent="0.25">
      <c r="C4796" s="9">
        <f>Дельта!$B$972</f>
        <v>681</v>
      </c>
    </row>
    <row r="4797" spans="3:3" hidden="1" outlineLevel="1" collapsed="1" x14ac:dyDescent="0.25">
      <c r="C4797" s="9">
        <f>Дельта!$B$997</f>
        <v>625</v>
      </c>
    </row>
    <row r="4798" spans="3:3" hidden="1" outlineLevel="1" collapsed="1" x14ac:dyDescent="0.25">
      <c r="C4798" s="9">
        <f>Дельта!$B$1048</f>
        <v>265</v>
      </c>
    </row>
    <row r="4799" spans="3:3" hidden="1" outlineLevel="1" collapsed="1" x14ac:dyDescent="0.25">
      <c r="C4799" s="9">
        <f>Дельта!$B$1074</f>
        <v>722.89</v>
      </c>
    </row>
    <row r="4800" spans="3:3" hidden="1" outlineLevel="1" collapsed="1" x14ac:dyDescent="0.25">
      <c r="C4800" s="9">
        <f>Дельта!$B$1098</f>
        <v>1430</v>
      </c>
    </row>
    <row r="4801" spans="1:3" hidden="1" outlineLevel="1" collapsed="1" x14ac:dyDescent="0.25">
      <c r="C4801" s="9">
        <f>Дельта!$B$1123</f>
        <v>795</v>
      </c>
    </row>
    <row r="4802" spans="1:3" hidden="1" outlineLevel="1" collapsed="1" x14ac:dyDescent="0.25">
      <c r="C4802" s="9">
        <f>Дельта!$B$1148</f>
        <v>625</v>
      </c>
    </row>
    <row r="4803" spans="1:3" hidden="1" outlineLevel="1" collapsed="1" x14ac:dyDescent="0.25">
      <c r="C4803" s="9">
        <f>Дельта!$B$1195</f>
        <v>715</v>
      </c>
    </row>
    <row r="4804" spans="1:3" collapsed="1" x14ac:dyDescent="0.25">
      <c r="A4804" t="s">
        <v>28</v>
      </c>
      <c r="C4804" s="9">
        <f>SUM(C4667:C4803)</f>
        <v>1631206.47</v>
      </c>
    </row>
  </sheetData>
  <dataConsolidate topLabels="1" link="1">
    <dataRefs count="4">
      <dataRef ref="A1:B1244" sheet="Альфа"/>
      <dataRef ref="A1:B1018" sheet="Бета"/>
      <dataRef ref="A1:B1262" sheet="Гамма"/>
      <dataRef ref="A1:B1256" sheet="Дельта"/>
    </dataRefs>
  </dataConsolid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14103F-4E20-4A98-8309-0B52ABA7C355}">
          <x14:formula1>
            <xm:f>Альфа!$A$1:$B$1244+Бета!$A$1:$B$1018+Гамма!$A$1:$B$1262+Дельта!$A$1:$B$1256</xm:f>
          </x14:formula1>
          <xm:sqref>H2782:H2978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44"/>
  <sheetViews>
    <sheetView workbookViewId="0">
      <selection sqref="A1:B1"/>
    </sheetView>
  </sheetViews>
  <sheetFormatPr defaultRowHeight="15" x14ac:dyDescent="0.25"/>
  <cols>
    <col min="1" max="1" width="40.7109375" bestFit="1" customWidth="1"/>
    <col min="2" max="2" width="17.85546875" style="9" customWidth="1"/>
  </cols>
  <sheetData>
    <row r="1" spans="1:2" ht="16.5" thickBot="1" x14ac:dyDescent="0.3">
      <c r="A1" s="16" t="s">
        <v>0</v>
      </c>
      <c r="B1" s="17" t="s">
        <v>1</v>
      </c>
    </row>
    <row r="2" spans="1:2" x14ac:dyDescent="0.25">
      <c r="A2" s="1" t="s">
        <v>2</v>
      </c>
      <c r="B2" s="8">
        <v>14902</v>
      </c>
    </row>
    <row r="3" spans="1:2" x14ac:dyDescent="0.25">
      <c r="A3" s="1" t="s">
        <v>3</v>
      </c>
      <c r="B3" s="8">
        <v>354936.41</v>
      </c>
    </row>
    <row r="4" spans="1:2" x14ac:dyDescent="0.25">
      <c r="A4" s="1" t="s">
        <v>4</v>
      </c>
      <c r="B4" s="8">
        <v>150821.01</v>
      </c>
    </row>
    <row r="5" spans="1:2" x14ac:dyDescent="0.25">
      <c r="A5" s="1" t="s">
        <v>5</v>
      </c>
      <c r="B5" s="8">
        <v>6301</v>
      </c>
    </row>
    <row r="6" spans="1:2" x14ac:dyDescent="0.25">
      <c r="A6" s="1" t="s">
        <v>6</v>
      </c>
      <c r="B6" s="8">
        <v>5402</v>
      </c>
    </row>
    <row r="7" spans="1:2" x14ac:dyDescent="0.25">
      <c r="A7" s="1" t="s">
        <v>7</v>
      </c>
      <c r="B7" s="8">
        <v>219822.79</v>
      </c>
    </row>
    <row r="8" spans="1:2" x14ac:dyDescent="0.25">
      <c r="A8" s="1" t="s">
        <v>8</v>
      </c>
      <c r="B8" s="8">
        <v>846540.17</v>
      </c>
    </row>
    <row r="9" spans="1:2" x14ac:dyDescent="0.25">
      <c r="A9" s="1" t="s">
        <v>9</v>
      </c>
      <c r="B9" s="8">
        <v>155003.84</v>
      </c>
    </row>
    <row r="10" spans="1:2" x14ac:dyDescent="0.25">
      <c r="A10" s="1" t="s">
        <v>10</v>
      </c>
      <c r="B10" s="8">
        <v>264540.7</v>
      </c>
    </row>
    <row r="11" spans="1:2" x14ac:dyDescent="0.25">
      <c r="A11" s="1" t="s">
        <v>11</v>
      </c>
      <c r="B11" s="8">
        <v>1642185.39</v>
      </c>
    </row>
    <row r="12" spans="1:2" x14ac:dyDescent="0.25">
      <c r="A12" s="1" t="s">
        <v>12</v>
      </c>
      <c r="B12" s="8">
        <v>198209.29</v>
      </c>
    </row>
    <row r="13" spans="1:2" x14ac:dyDescent="0.25">
      <c r="A13" s="1" t="s">
        <v>13</v>
      </c>
      <c r="B13" s="8">
        <v>213525.01</v>
      </c>
    </row>
    <row r="14" spans="1:2" x14ac:dyDescent="0.25">
      <c r="A14" s="1" t="s">
        <v>14</v>
      </c>
      <c r="B14" s="8">
        <v>21356.6</v>
      </c>
    </row>
    <row r="15" spans="1:2" x14ac:dyDescent="0.25">
      <c r="A15" s="1" t="s">
        <v>15</v>
      </c>
      <c r="B15" s="8">
        <v>236199.61</v>
      </c>
    </row>
    <row r="16" spans="1:2" x14ac:dyDescent="0.25">
      <c r="A16" s="1" t="s">
        <v>16</v>
      </c>
      <c r="B16" s="8">
        <v>57529.37</v>
      </c>
    </row>
    <row r="17" spans="1:2" x14ac:dyDescent="0.25">
      <c r="A17" s="1" t="s">
        <v>17</v>
      </c>
      <c r="B17" s="8">
        <v>826766.17</v>
      </c>
    </row>
    <row r="18" spans="1:2" x14ac:dyDescent="0.25">
      <c r="A18" s="1" t="s">
        <v>18</v>
      </c>
      <c r="B18" s="8">
        <v>137484.35999999999</v>
      </c>
    </row>
    <row r="19" spans="1:2" x14ac:dyDescent="0.25">
      <c r="A19" s="1" t="s">
        <v>19</v>
      </c>
      <c r="B19" s="8">
        <v>1121886.78</v>
      </c>
    </row>
    <row r="20" spans="1:2" x14ac:dyDescent="0.25">
      <c r="A20" s="1" t="s">
        <v>20</v>
      </c>
      <c r="B20" s="8">
        <v>12915.14</v>
      </c>
    </row>
    <row r="21" spans="1:2" x14ac:dyDescent="0.25">
      <c r="A21" s="1" t="s">
        <v>21</v>
      </c>
      <c r="B21" s="8">
        <v>11370.08</v>
      </c>
    </row>
    <row r="22" spans="1:2" x14ac:dyDescent="0.25">
      <c r="A22" s="1" t="s">
        <v>22</v>
      </c>
      <c r="B22" s="8">
        <v>228397.52</v>
      </c>
    </row>
    <row r="23" spans="1:2" x14ac:dyDescent="0.25">
      <c r="A23" s="1" t="s">
        <v>23</v>
      </c>
      <c r="B23" s="8">
        <v>266</v>
      </c>
    </row>
    <row r="24" spans="1:2" x14ac:dyDescent="0.25">
      <c r="A24" s="1" t="s">
        <v>24</v>
      </c>
      <c r="B24" s="8">
        <v>1315.48</v>
      </c>
    </row>
    <row r="25" spans="1:2" x14ac:dyDescent="0.25">
      <c r="A25" s="1" t="s">
        <v>25</v>
      </c>
      <c r="B25" s="8">
        <v>199015.78</v>
      </c>
    </row>
    <row r="26" spans="1:2" x14ac:dyDescent="0.25">
      <c r="A26" s="1" t="s">
        <v>26</v>
      </c>
      <c r="B26" s="8">
        <v>551119.04</v>
      </c>
    </row>
    <row r="27" spans="1:2" x14ac:dyDescent="0.25">
      <c r="A27" s="1" t="s">
        <v>27</v>
      </c>
      <c r="B27" s="8">
        <v>389937.87</v>
      </c>
    </row>
    <row r="28" spans="1:2" x14ac:dyDescent="0.25">
      <c r="A28" s="1" t="s">
        <v>2</v>
      </c>
      <c r="B28" s="8">
        <v>23182</v>
      </c>
    </row>
    <row r="29" spans="1:2" x14ac:dyDescent="0.25">
      <c r="A29" s="1" t="s">
        <v>3</v>
      </c>
      <c r="B29" s="8">
        <v>318564.89</v>
      </c>
    </row>
    <row r="30" spans="1:2" x14ac:dyDescent="0.25">
      <c r="A30" s="1" t="s">
        <v>4</v>
      </c>
      <c r="B30" s="8">
        <v>126529.53</v>
      </c>
    </row>
    <row r="31" spans="1:2" x14ac:dyDescent="0.25">
      <c r="A31" s="1" t="s">
        <v>5</v>
      </c>
      <c r="B31" s="8">
        <v>3057</v>
      </c>
    </row>
    <row r="32" spans="1:2" x14ac:dyDescent="0.25">
      <c r="A32" s="1" t="s">
        <v>6</v>
      </c>
      <c r="B32" s="8">
        <v>3986</v>
      </c>
    </row>
    <row r="33" spans="1:2" x14ac:dyDescent="0.25">
      <c r="A33" s="1" t="s">
        <v>7</v>
      </c>
      <c r="B33" s="8">
        <v>281781.92</v>
      </c>
    </row>
    <row r="34" spans="1:2" x14ac:dyDescent="0.25">
      <c r="A34" s="1" t="s">
        <v>8</v>
      </c>
      <c r="B34" s="8">
        <v>690201.65</v>
      </c>
    </row>
    <row r="35" spans="1:2" x14ac:dyDescent="0.25">
      <c r="A35" s="1" t="s">
        <v>9</v>
      </c>
      <c r="B35" s="8">
        <v>184643.88</v>
      </c>
    </row>
    <row r="36" spans="1:2" x14ac:dyDescent="0.25">
      <c r="A36" s="1" t="s">
        <v>10</v>
      </c>
      <c r="B36" s="8">
        <v>427475.1</v>
      </c>
    </row>
    <row r="37" spans="1:2" x14ac:dyDescent="0.25">
      <c r="A37" s="1" t="s">
        <v>11</v>
      </c>
      <c r="B37" s="8">
        <v>942577.51</v>
      </c>
    </row>
    <row r="38" spans="1:2" x14ac:dyDescent="0.25">
      <c r="A38" s="1" t="s">
        <v>12</v>
      </c>
      <c r="B38" s="8">
        <v>216600.14</v>
      </c>
    </row>
    <row r="39" spans="1:2" x14ac:dyDescent="0.25">
      <c r="A39" s="1" t="s">
        <v>13</v>
      </c>
      <c r="B39" s="8">
        <v>201591.99</v>
      </c>
    </row>
    <row r="40" spans="1:2" x14ac:dyDescent="0.25">
      <c r="A40" s="1" t="s">
        <v>14</v>
      </c>
      <c r="B40" s="8">
        <v>54630.6</v>
      </c>
    </row>
    <row r="41" spans="1:2" x14ac:dyDescent="0.25">
      <c r="A41" s="1" t="s">
        <v>15</v>
      </c>
      <c r="B41" s="8">
        <v>211193.42</v>
      </c>
    </row>
    <row r="42" spans="1:2" x14ac:dyDescent="0.25">
      <c r="A42" s="1" t="s">
        <v>16</v>
      </c>
      <c r="B42" s="8">
        <v>30119.42</v>
      </c>
    </row>
    <row r="43" spans="1:2" x14ac:dyDescent="0.25">
      <c r="A43" s="1" t="s">
        <v>17</v>
      </c>
      <c r="B43" s="8">
        <v>933452.07</v>
      </c>
    </row>
    <row r="44" spans="1:2" x14ac:dyDescent="0.25">
      <c r="A44" s="1" t="s">
        <v>18</v>
      </c>
      <c r="B44" s="8">
        <v>46822.96</v>
      </c>
    </row>
    <row r="45" spans="1:2" x14ac:dyDescent="0.25">
      <c r="A45" s="1" t="s">
        <v>19</v>
      </c>
      <c r="B45" s="8">
        <v>1056832.44</v>
      </c>
    </row>
    <row r="46" spans="1:2" x14ac:dyDescent="0.25">
      <c r="A46" s="1" t="s">
        <v>20</v>
      </c>
      <c r="B46" s="8">
        <v>9993.66</v>
      </c>
    </row>
    <row r="47" spans="1:2" x14ac:dyDescent="0.25">
      <c r="A47" s="1" t="s">
        <v>21</v>
      </c>
      <c r="B47" s="8">
        <v>8142.45</v>
      </c>
    </row>
    <row r="48" spans="1:2" x14ac:dyDescent="0.25">
      <c r="A48" s="1" t="s">
        <v>22</v>
      </c>
      <c r="B48" s="8">
        <v>232865.32</v>
      </c>
    </row>
    <row r="49" spans="1:2" x14ac:dyDescent="0.25">
      <c r="A49" s="1" t="s">
        <v>23</v>
      </c>
      <c r="B49" s="8">
        <v>76</v>
      </c>
    </row>
    <row r="50" spans="1:2" x14ac:dyDescent="0.25">
      <c r="A50" s="1" t="s">
        <v>24</v>
      </c>
      <c r="B50" s="8">
        <v>1705.72</v>
      </c>
    </row>
    <row r="51" spans="1:2" x14ac:dyDescent="0.25">
      <c r="A51" s="1" t="s">
        <v>25</v>
      </c>
      <c r="B51" s="8">
        <v>216285.59</v>
      </c>
    </row>
    <row r="52" spans="1:2" x14ac:dyDescent="0.25">
      <c r="A52" s="1" t="s">
        <v>26</v>
      </c>
      <c r="B52" s="8">
        <v>501703.57</v>
      </c>
    </row>
    <row r="53" spans="1:2" x14ac:dyDescent="0.25">
      <c r="A53" s="1" t="s">
        <v>27</v>
      </c>
      <c r="B53" s="8">
        <v>430318.81</v>
      </c>
    </row>
    <row r="54" spans="1:2" x14ac:dyDescent="0.25">
      <c r="A54" s="1" t="s">
        <v>2</v>
      </c>
      <c r="B54" s="8">
        <v>15475</v>
      </c>
    </row>
    <row r="55" spans="1:2" x14ac:dyDescent="0.25">
      <c r="A55" s="1" t="s">
        <v>3</v>
      </c>
      <c r="B55" s="8">
        <v>286140.86</v>
      </c>
    </row>
    <row r="56" spans="1:2" x14ac:dyDescent="0.25">
      <c r="A56" s="1" t="s">
        <v>4</v>
      </c>
      <c r="B56" s="8">
        <v>119661.79</v>
      </c>
    </row>
    <row r="57" spans="1:2" x14ac:dyDescent="0.25">
      <c r="A57" s="1" t="s">
        <v>5</v>
      </c>
      <c r="B57" s="8">
        <v>5045</v>
      </c>
    </row>
    <row r="58" spans="1:2" x14ac:dyDescent="0.25">
      <c r="A58" s="1" t="s">
        <v>6</v>
      </c>
      <c r="B58" s="8">
        <v>3654</v>
      </c>
    </row>
    <row r="59" spans="1:2" x14ac:dyDescent="0.25">
      <c r="A59" s="1" t="s">
        <v>7</v>
      </c>
      <c r="B59" s="8">
        <v>239213.68</v>
      </c>
    </row>
    <row r="60" spans="1:2" x14ac:dyDescent="0.25">
      <c r="A60" s="1" t="s">
        <v>8</v>
      </c>
      <c r="B60" s="8">
        <v>624136.11</v>
      </c>
    </row>
    <row r="61" spans="1:2" x14ac:dyDescent="0.25">
      <c r="A61" s="1" t="s">
        <v>9</v>
      </c>
      <c r="B61" s="8">
        <v>152311.51</v>
      </c>
    </row>
    <row r="62" spans="1:2" x14ac:dyDescent="0.25">
      <c r="A62" s="1" t="s">
        <v>10</v>
      </c>
      <c r="B62" s="8">
        <v>344656.89</v>
      </c>
    </row>
    <row r="63" spans="1:2" x14ac:dyDescent="0.25">
      <c r="A63" s="1" t="s">
        <v>11</v>
      </c>
      <c r="B63" s="8">
        <v>495989.49</v>
      </c>
    </row>
    <row r="64" spans="1:2" x14ac:dyDescent="0.25">
      <c r="A64" s="1" t="s">
        <v>12</v>
      </c>
      <c r="B64" s="8">
        <v>195960.3</v>
      </c>
    </row>
    <row r="65" spans="1:2" x14ac:dyDescent="0.25">
      <c r="A65" s="1" t="s">
        <v>13</v>
      </c>
      <c r="B65" s="8">
        <v>206041.74</v>
      </c>
    </row>
    <row r="66" spans="1:2" x14ac:dyDescent="0.25">
      <c r="A66" s="1" t="s">
        <v>14</v>
      </c>
      <c r="B66" s="8">
        <v>32340</v>
      </c>
    </row>
    <row r="67" spans="1:2" x14ac:dyDescent="0.25">
      <c r="A67" s="1" t="s">
        <v>15</v>
      </c>
      <c r="B67" s="8">
        <v>194684.49</v>
      </c>
    </row>
    <row r="68" spans="1:2" x14ac:dyDescent="0.25">
      <c r="A68" s="1" t="s">
        <v>16</v>
      </c>
      <c r="B68" s="8">
        <v>40317.519999999997</v>
      </c>
    </row>
    <row r="69" spans="1:2" x14ac:dyDescent="0.25">
      <c r="A69" s="1" t="s">
        <v>17</v>
      </c>
      <c r="B69" s="8">
        <v>885869.19</v>
      </c>
    </row>
    <row r="70" spans="1:2" x14ac:dyDescent="0.25">
      <c r="A70" s="1" t="s">
        <v>18</v>
      </c>
      <c r="B70" s="8">
        <v>121041.9</v>
      </c>
    </row>
    <row r="71" spans="1:2" x14ac:dyDescent="0.25">
      <c r="A71" s="1" t="s">
        <v>19</v>
      </c>
      <c r="B71" s="8">
        <v>1015632.52</v>
      </c>
    </row>
    <row r="72" spans="1:2" x14ac:dyDescent="0.25">
      <c r="A72" s="1" t="s">
        <v>20</v>
      </c>
      <c r="B72" s="8">
        <v>12750.03</v>
      </c>
    </row>
    <row r="73" spans="1:2" x14ac:dyDescent="0.25">
      <c r="A73" s="1" t="s">
        <v>21</v>
      </c>
      <c r="B73" s="8">
        <v>11761.46</v>
      </c>
    </row>
    <row r="74" spans="1:2" x14ac:dyDescent="0.25">
      <c r="A74" s="1" t="s">
        <v>22</v>
      </c>
      <c r="B74" s="8">
        <v>215740.93</v>
      </c>
    </row>
    <row r="75" spans="1:2" x14ac:dyDescent="0.25">
      <c r="A75" s="1" t="s">
        <v>23</v>
      </c>
      <c r="B75" s="8">
        <v>361</v>
      </c>
    </row>
    <row r="76" spans="1:2" x14ac:dyDescent="0.25">
      <c r="A76" s="1" t="s">
        <v>24</v>
      </c>
      <c r="B76" s="8">
        <v>2133.96</v>
      </c>
    </row>
    <row r="77" spans="1:2" x14ac:dyDescent="0.25">
      <c r="A77" s="1" t="s">
        <v>25</v>
      </c>
      <c r="B77" s="8">
        <v>211687.49</v>
      </c>
    </row>
    <row r="78" spans="1:2" x14ac:dyDescent="0.25">
      <c r="A78" s="1" t="s">
        <v>26</v>
      </c>
      <c r="B78" s="8">
        <v>528975.64</v>
      </c>
    </row>
    <row r="79" spans="1:2" x14ac:dyDescent="0.25">
      <c r="A79" s="1" t="s">
        <v>27</v>
      </c>
      <c r="B79" s="8">
        <v>398531.34</v>
      </c>
    </row>
    <row r="80" spans="1:2" x14ac:dyDescent="0.25">
      <c r="A80" s="1" t="s">
        <v>2</v>
      </c>
      <c r="B80" s="8">
        <v>14470</v>
      </c>
    </row>
    <row r="81" spans="1:2" x14ac:dyDescent="0.25">
      <c r="A81" s="1" t="s">
        <v>3</v>
      </c>
      <c r="B81" s="8">
        <v>373657.92</v>
      </c>
    </row>
    <row r="82" spans="1:2" x14ac:dyDescent="0.25">
      <c r="A82" s="1" t="s">
        <v>4</v>
      </c>
      <c r="B82" s="8">
        <v>117557.83</v>
      </c>
    </row>
    <row r="83" spans="1:2" x14ac:dyDescent="0.25">
      <c r="A83" s="1" t="s">
        <v>5</v>
      </c>
      <c r="B83" s="8">
        <v>4531</v>
      </c>
    </row>
    <row r="84" spans="1:2" x14ac:dyDescent="0.25">
      <c r="A84" s="1" t="s">
        <v>6</v>
      </c>
      <c r="B84" s="8">
        <v>2314</v>
      </c>
    </row>
    <row r="85" spans="1:2" x14ac:dyDescent="0.25">
      <c r="A85" s="1" t="s">
        <v>7</v>
      </c>
      <c r="B85" s="8">
        <v>256245.69</v>
      </c>
    </row>
    <row r="86" spans="1:2" x14ac:dyDescent="0.25">
      <c r="A86" s="1" t="s">
        <v>8</v>
      </c>
      <c r="B86" s="8">
        <v>827350.94</v>
      </c>
    </row>
    <row r="87" spans="1:2" x14ac:dyDescent="0.25">
      <c r="A87" s="1" t="s">
        <v>9</v>
      </c>
      <c r="B87" s="8">
        <v>165404.28</v>
      </c>
    </row>
    <row r="88" spans="1:2" x14ac:dyDescent="0.25">
      <c r="A88" s="1" t="s">
        <v>10</v>
      </c>
      <c r="B88" s="8">
        <v>409805.45</v>
      </c>
    </row>
    <row r="89" spans="1:2" x14ac:dyDescent="0.25">
      <c r="A89" s="1" t="s">
        <v>11</v>
      </c>
      <c r="B89" s="8">
        <v>566883.78</v>
      </c>
    </row>
    <row r="90" spans="1:2" x14ac:dyDescent="0.25">
      <c r="A90" s="1" t="s">
        <v>12</v>
      </c>
      <c r="B90" s="8">
        <v>245222.89</v>
      </c>
    </row>
    <row r="91" spans="1:2" x14ac:dyDescent="0.25">
      <c r="A91" s="1" t="s">
        <v>13</v>
      </c>
      <c r="B91" s="8">
        <v>235750</v>
      </c>
    </row>
    <row r="92" spans="1:2" x14ac:dyDescent="0.25">
      <c r="A92" s="1" t="s">
        <v>14</v>
      </c>
      <c r="B92" s="8">
        <v>20418.400000000001</v>
      </c>
    </row>
    <row r="93" spans="1:2" x14ac:dyDescent="0.25">
      <c r="A93" s="1" t="s">
        <v>15</v>
      </c>
      <c r="B93" s="8">
        <v>284351.31</v>
      </c>
    </row>
    <row r="94" spans="1:2" x14ac:dyDescent="0.25">
      <c r="A94" s="1" t="s">
        <v>16</v>
      </c>
      <c r="B94" s="8">
        <v>104427.6</v>
      </c>
    </row>
    <row r="95" spans="1:2" x14ac:dyDescent="0.25">
      <c r="A95" s="1" t="s">
        <v>17</v>
      </c>
      <c r="B95" s="8">
        <v>969901.63</v>
      </c>
    </row>
    <row r="96" spans="1:2" x14ac:dyDescent="0.25">
      <c r="A96" s="1" t="s">
        <v>18</v>
      </c>
      <c r="B96" s="8">
        <v>140090.94</v>
      </c>
    </row>
    <row r="97" spans="1:2" x14ac:dyDescent="0.25">
      <c r="A97" s="1" t="s">
        <v>19</v>
      </c>
      <c r="B97" s="8">
        <v>1120393.94</v>
      </c>
    </row>
    <row r="98" spans="1:2" x14ac:dyDescent="0.25">
      <c r="A98" s="1" t="s">
        <v>20</v>
      </c>
      <c r="B98" s="8">
        <v>11058.12</v>
      </c>
    </row>
    <row r="99" spans="1:2" x14ac:dyDescent="0.25">
      <c r="A99" s="1" t="s">
        <v>21</v>
      </c>
      <c r="B99" s="8">
        <v>17365.95</v>
      </c>
    </row>
    <row r="100" spans="1:2" x14ac:dyDescent="0.25">
      <c r="A100" s="1" t="s">
        <v>22</v>
      </c>
      <c r="B100" s="8">
        <v>200239.28</v>
      </c>
    </row>
    <row r="101" spans="1:2" x14ac:dyDescent="0.25">
      <c r="A101" s="1" t="s">
        <v>23</v>
      </c>
      <c r="B101" s="8">
        <v>133</v>
      </c>
    </row>
    <row r="102" spans="1:2" x14ac:dyDescent="0.25">
      <c r="A102" s="1" t="s">
        <v>24</v>
      </c>
      <c r="B102" s="8">
        <v>711.6</v>
      </c>
    </row>
    <row r="103" spans="1:2" x14ac:dyDescent="0.25">
      <c r="A103" s="1" t="s">
        <v>25</v>
      </c>
      <c r="B103" s="8">
        <v>216388.36</v>
      </c>
    </row>
    <row r="104" spans="1:2" x14ac:dyDescent="0.25">
      <c r="A104" s="1" t="s">
        <v>26</v>
      </c>
      <c r="B104" s="8">
        <v>504392.34</v>
      </c>
    </row>
    <row r="105" spans="1:2" x14ac:dyDescent="0.25">
      <c r="A105" s="1" t="s">
        <v>27</v>
      </c>
      <c r="B105" s="8">
        <v>381272.21</v>
      </c>
    </row>
    <row r="106" spans="1:2" x14ac:dyDescent="0.25">
      <c r="A106" s="1" t="s">
        <v>2</v>
      </c>
      <c r="B106" s="8">
        <v>10881</v>
      </c>
    </row>
    <row r="107" spans="1:2" x14ac:dyDescent="0.25">
      <c r="A107" s="1" t="s">
        <v>3</v>
      </c>
      <c r="B107" s="8">
        <v>453554.61</v>
      </c>
    </row>
    <row r="108" spans="1:2" x14ac:dyDescent="0.25">
      <c r="A108" s="1" t="s">
        <v>4</v>
      </c>
      <c r="B108" s="8">
        <v>135409.35</v>
      </c>
    </row>
    <row r="109" spans="1:2" x14ac:dyDescent="0.25">
      <c r="A109" s="1" t="s">
        <v>5</v>
      </c>
      <c r="B109" s="8">
        <v>4591</v>
      </c>
    </row>
    <row r="110" spans="1:2" x14ac:dyDescent="0.25">
      <c r="A110" s="1" t="s">
        <v>6</v>
      </c>
      <c r="B110" s="8">
        <v>4550</v>
      </c>
    </row>
    <row r="111" spans="1:2" x14ac:dyDescent="0.25">
      <c r="A111" s="1" t="s">
        <v>7</v>
      </c>
      <c r="B111" s="8">
        <v>250739.52</v>
      </c>
    </row>
    <row r="112" spans="1:2" x14ac:dyDescent="0.25">
      <c r="A112" s="1" t="s">
        <v>8</v>
      </c>
      <c r="B112" s="8">
        <v>745928.41</v>
      </c>
    </row>
    <row r="113" spans="1:2" x14ac:dyDescent="0.25">
      <c r="A113" s="1" t="s">
        <v>9</v>
      </c>
      <c r="B113" s="8">
        <v>175935.22</v>
      </c>
    </row>
    <row r="114" spans="1:2" x14ac:dyDescent="0.25">
      <c r="A114" s="1" t="s">
        <v>10</v>
      </c>
      <c r="B114" s="8">
        <v>372338.91</v>
      </c>
    </row>
    <row r="115" spans="1:2" x14ac:dyDescent="0.25">
      <c r="A115" s="1" t="s">
        <v>11</v>
      </c>
      <c r="B115" s="8">
        <v>946750.28</v>
      </c>
    </row>
    <row r="116" spans="1:2" x14ac:dyDescent="0.25">
      <c r="A116" s="1" t="s">
        <v>12</v>
      </c>
      <c r="B116" s="8">
        <v>238323.69</v>
      </c>
    </row>
    <row r="117" spans="1:2" x14ac:dyDescent="0.25">
      <c r="A117" s="1" t="s">
        <v>13</v>
      </c>
      <c r="B117" s="8">
        <v>277017.25</v>
      </c>
    </row>
    <row r="118" spans="1:2" x14ac:dyDescent="0.25">
      <c r="A118" s="1" t="s">
        <v>14</v>
      </c>
      <c r="B118" s="8">
        <v>16249.6</v>
      </c>
    </row>
    <row r="119" spans="1:2" x14ac:dyDescent="0.25">
      <c r="A119" s="1" t="s">
        <v>28</v>
      </c>
      <c r="B119" s="8">
        <v>9675</v>
      </c>
    </row>
    <row r="120" spans="1:2" x14ac:dyDescent="0.25">
      <c r="A120" s="1" t="s">
        <v>15</v>
      </c>
      <c r="B120" s="8">
        <v>303395.88</v>
      </c>
    </row>
    <row r="121" spans="1:2" x14ac:dyDescent="0.25">
      <c r="A121" s="1" t="s">
        <v>16</v>
      </c>
      <c r="B121" s="8">
        <v>156748.41</v>
      </c>
    </row>
    <row r="122" spans="1:2" x14ac:dyDescent="0.25">
      <c r="A122" s="1" t="s">
        <v>17</v>
      </c>
      <c r="B122" s="8">
        <v>904585.96</v>
      </c>
    </row>
    <row r="123" spans="1:2" x14ac:dyDescent="0.25">
      <c r="A123" s="1" t="s">
        <v>18</v>
      </c>
      <c r="B123" s="8">
        <v>155647.66</v>
      </c>
    </row>
    <row r="124" spans="1:2" x14ac:dyDescent="0.25">
      <c r="A124" s="1" t="s">
        <v>19</v>
      </c>
      <c r="B124" s="8">
        <v>1241720.55</v>
      </c>
    </row>
    <row r="125" spans="1:2" x14ac:dyDescent="0.25">
      <c r="A125" s="1" t="s">
        <v>20</v>
      </c>
      <c r="B125" s="8">
        <v>12188.16</v>
      </c>
    </row>
    <row r="126" spans="1:2" x14ac:dyDescent="0.25">
      <c r="A126" s="1" t="s">
        <v>21</v>
      </c>
      <c r="B126" s="8">
        <v>8478.31</v>
      </c>
    </row>
    <row r="127" spans="1:2" x14ac:dyDescent="0.25">
      <c r="A127" s="1" t="s">
        <v>22</v>
      </c>
      <c r="B127" s="8">
        <v>239982.77</v>
      </c>
    </row>
    <row r="128" spans="1:2" x14ac:dyDescent="0.25">
      <c r="A128" s="1" t="s">
        <v>23</v>
      </c>
      <c r="B128" s="8">
        <v>247</v>
      </c>
    </row>
    <row r="129" spans="1:2" x14ac:dyDescent="0.25">
      <c r="A129" s="1" t="s">
        <v>24</v>
      </c>
      <c r="B129" s="8">
        <v>1437.44</v>
      </c>
    </row>
    <row r="130" spans="1:2" x14ac:dyDescent="0.25">
      <c r="A130" s="1" t="s">
        <v>25</v>
      </c>
      <c r="B130" s="8">
        <v>228994.39</v>
      </c>
    </row>
    <row r="131" spans="1:2" x14ac:dyDescent="0.25">
      <c r="A131" s="1" t="s">
        <v>26</v>
      </c>
      <c r="B131" s="8">
        <v>596715.32999999996</v>
      </c>
    </row>
    <row r="132" spans="1:2" x14ac:dyDescent="0.25">
      <c r="A132" s="1" t="s">
        <v>27</v>
      </c>
      <c r="B132" s="8">
        <v>447875.21</v>
      </c>
    </row>
    <row r="133" spans="1:2" x14ac:dyDescent="0.25">
      <c r="A133" s="1" t="s">
        <v>2</v>
      </c>
      <c r="B133" s="8">
        <v>17343</v>
      </c>
    </row>
    <row r="134" spans="1:2" x14ac:dyDescent="0.25">
      <c r="A134" s="1" t="s">
        <v>3</v>
      </c>
      <c r="B134" s="8">
        <v>553352.85</v>
      </c>
    </row>
    <row r="135" spans="1:2" x14ac:dyDescent="0.25">
      <c r="A135" s="1" t="s">
        <v>4</v>
      </c>
      <c r="B135" s="8">
        <v>187334.15</v>
      </c>
    </row>
    <row r="136" spans="1:2" x14ac:dyDescent="0.25">
      <c r="A136" s="1" t="s">
        <v>5</v>
      </c>
      <c r="B136" s="8">
        <v>12141</v>
      </c>
    </row>
    <row r="137" spans="1:2" x14ac:dyDescent="0.25">
      <c r="A137" s="1" t="s">
        <v>6</v>
      </c>
      <c r="B137" s="8">
        <v>176</v>
      </c>
    </row>
    <row r="138" spans="1:2" x14ac:dyDescent="0.25">
      <c r="A138" s="1" t="s">
        <v>7</v>
      </c>
      <c r="B138" s="8">
        <v>259594.01</v>
      </c>
    </row>
    <row r="139" spans="1:2" x14ac:dyDescent="0.25">
      <c r="A139" s="1" t="s">
        <v>8</v>
      </c>
      <c r="B139" s="8">
        <v>1048995.3899999999</v>
      </c>
    </row>
    <row r="140" spans="1:2" x14ac:dyDescent="0.25">
      <c r="A140" s="1" t="s">
        <v>9</v>
      </c>
      <c r="B140" s="8">
        <v>237267.79</v>
      </c>
    </row>
    <row r="141" spans="1:2" x14ac:dyDescent="0.25">
      <c r="A141" s="1" t="s">
        <v>10</v>
      </c>
      <c r="B141" s="8">
        <v>474253.91</v>
      </c>
    </row>
    <row r="142" spans="1:2" x14ac:dyDescent="0.25">
      <c r="A142" s="1" t="s">
        <v>11</v>
      </c>
      <c r="B142" s="8">
        <v>895284.99</v>
      </c>
    </row>
    <row r="143" spans="1:2" x14ac:dyDescent="0.25">
      <c r="A143" s="1" t="s">
        <v>12</v>
      </c>
      <c r="B143" s="8">
        <v>290216.53999999998</v>
      </c>
    </row>
    <row r="144" spans="1:2" x14ac:dyDescent="0.25">
      <c r="A144" s="1" t="s">
        <v>13</v>
      </c>
      <c r="B144" s="8">
        <v>308782.5</v>
      </c>
    </row>
    <row r="145" spans="1:2" x14ac:dyDescent="0.25">
      <c r="A145" s="1" t="s">
        <v>14</v>
      </c>
      <c r="B145" s="8">
        <v>21282.799999999999</v>
      </c>
    </row>
    <row r="146" spans="1:2" x14ac:dyDescent="0.25">
      <c r="A146" s="1" t="s">
        <v>28</v>
      </c>
      <c r="B146" s="8">
        <v>30788</v>
      </c>
    </row>
    <row r="147" spans="1:2" x14ac:dyDescent="0.25">
      <c r="A147" s="1" t="s">
        <v>15</v>
      </c>
      <c r="B147" s="8">
        <v>368217.84</v>
      </c>
    </row>
    <row r="148" spans="1:2" x14ac:dyDescent="0.25">
      <c r="A148" s="1" t="s">
        <v>16</v>
      </c>
      <c r="B148" s="8">
        <v>196499.23</v>
      </c>
    </row>
    <row r="149" spans="1:2" x14ac:dyDescent="0.25">
      <c r="A149" s="1" t="s">
        <v>17</v>
      </c>
      <c r="B149" s="8">
        <v>1110807.0900000001</v>
      </c>
    </row>
    <row r="150" spans="1:2" x14ac:dyDescent="0.25">
      <c r="A150" s="1" t="s">
        <v>18</v>
      </c>
      <c r="B150" s="8">
        <v>186971.36</v>
      </c>
    </row>
    <row r="151" spans="1:2" x14ac:dyDescent="0.25">
      <c r="A151" s="1" t="s">
        <v>19</v>
      </c>
      <c r="B151" s="8">
        <v>1383643.01</v>
      </c>
    </row>
    <row r="152" spans="1:2" x14ac:dyDescent="0.25">
      <c r="A152" s="1" t="s">
        <v>20</v>
      </c>
      <c r="B152" s="8">
        <v>18600.900000000001</v>
      </c>
    </row>
    <row r="153" spans="1:2" x14ac:dyDescent="0.25">
      <c r="A153" s="1" t="s">
        <v>21</v>
      </c>
      <c r="B153" s="8">
        <v>21411.75</v>
      </c>
    </row>
    <row r="154" spans="1:2" x14ac:dyDescent="0.25">
      <c r="A154" s="1" t="s">
        <v>22</v>
      </c>
      <c r="B154" s="8">
        <v>274278.21999999997</v>
      </c>
    </row>
    <row r="155" spans="1:2" x14ac:dyDescent="0.25">
      <c r="A155" s="1" t="s">
        <v>23</v>
      </c>
      <c r="B155" s="8">
        <v>76</v>
      </c>
    </row>
    <row r="156" spans="1:2" x14ac:dyDescent="0.25">
      <c r="A156" s="1" t="s">
        <v>24</v>
      </c>
      <c r="B156" s="8">
        <v>3181.12</v>
      </c>
    </row>
    <row r="157" spans="1:2" x14ac:dyDescent="0.25">
      <c r="A157" s="1" t="s">
        <v>25</v>
      </c>
      <c r="B157" s="8">
        <v>320100.44</v>
      </c>
    </row>
    <row r="158" spans="1:2" x14ac:dyDescent="0.25">
      <c r="A158" s="1" t="s">
        <v>26</v>
      </c>
      <c r="B158" s="8">
        <v>691964.79</v>
      </c>
    </row>
    <row r="159" spans="1:2" x14ac:dyDescent="0.25">
      <c r="A159" s="1" t="s">
        <v>27</v>
      </c>
      <c r="B159" s="8">
        <v>650148.07999999996</v>
      </c>
    </row>
    <row r="160" spans="1:2" x14ac:dyDescent="0.25">
      <c r="A160" s="1" t="s">
        <v>2</v>
      </c>
      <c r="B160" s="8">
        <v>15420</v>
      </c>
    </row>
    <row r="161" spans="1:2" x14ac:dyDescent="0.25">
      <c r="A161" s="1" t="s">
        <v>3</v>
      </c>
      <c r="B161" s="8">
        <v>322703.37</v>
      </c>
    </row>
    <row r="162" spans="1:2" x14ac:dyDescent="0.25">
      <c r="A162" s="1" t="s">
        <v>4</v>
      </c>
      <c r="B162" s="8">
        <v>120249.21</v>
      </c>
    </row>
    <row r="163" spans="1:2" x14ac:dyDescent="0.25">
      <c r="A163" s="1" t="s">
        <v>5</v>
      </c>
      <c r="B163" s="8">
        <v>3186</v>
      </c>
    </row>
    <row r="164" spans="1:2" x14ac:dyDescent="0.25">
      <c r="A164" s="1" t="s">
        <v>7</v>
      </c>
      <c r="B164" s="8">
        <v>272594.28999999998</v>
      </c>
    </row>
    <row r="165" spans="1:2" x14ac:dyDescent="0.25">
      <c r="A165" s="1" t="s">
        <v>8</v>
      </c>
      <c r="B165" s="8">
        <v>859080.94</v>
      </c>
    </row>
    <row r="166" spans="1:2" x14ac:dyDescent="0.25">
      <c r="A166" s="1" t="s">
        <v>9</v>
      </c>
      <c r="B166" s="8">
        <v>168928.99</v>
      </c>
    </row>
    <row r="167" spans="1:2" x14ac:dyDescent="0.25">
      <c r="A167" s="1" t="s">
        <v>10</v>
      </c>
      <c r="B167" s="8">
        <v>415616.13</v>
      </c>
    </row>
    <row r="168" spans="1:2" x14ac:dyDescent="0.25">
      <c r="A168" s="1" t="s">
        <v>11</v>
      </c>
      <c r="B168" s="8">
        <v>571208.71</v>
      </c>
    </row>
    <row r="169" spans="1:2" x14ac:dyDescent="0.25">
      <c r="A169" s="1" t="s">
        <v>12</v>
      </c>
      <c r="B169" s="8">
        <v>232243.01</v>
      </c>
    </row>
    <row r="170" spans="1:2" x14ac:dyDescent="0.25">
      <c r="A170" s="1" t="s">
        <v>13</v>
      </c>
      <c r="B170" s="8">
        <v>253457</v>
      </c>
    </row>
    <row r="171" spans="1:2" x14ac:dyDescent="0.25">
      <c r="A171" s="1" t="s">
        <v>14</v>
      </c>
      <c r="B171" s="8">
        <v>20477.2</v>
      </c>
    </row>
    <row r="172" spans="1:2" x14ac:dyDescent="0.25">
      <c r="A172" s="1" t="s">
        <v>28</v>
      </c>
      <c r="B172" s="8">
        <v>17892</v>
      </c>
    </row>
    <row r="173" spans="1:2" x14ac:dyDescent="0.25">
      <c r="A173" s="1" t="s">
        <v>15</v>
      </c>
      <c r="B173" s="8">
        <v>291470.21000000002</v>
      </c>
    </row>
    <row r="174" spans="1:2" x14ac:dyDescent="0.25">
      <c r="A174" s="1" t="s">
        <v>16</v>
      </c>
      <c r="B174" s="8">
        <v>140762.75</v>
      </c>
    </row>
    <row r="175" spans="1:2" x14ac:dyDescent="0.25">
      <c r="A175" s="1" t="s">
        <v>17</v>
      </c>
      <c r="B175" s="8">
        <v>950500.19</v>
      </c>
    </row>
    <row r="176" spans="1:2" x14ac:dyDescent="0.25">
      <c r="A176" s="1" t="s">
        <v>18</v>
      </c>
      <c r="B176" s="8">
        <v>137408.07999999999</v>
      </c>
    </row>
    <row r="177" spans="1:2" x14ac:dyDescent="0.25">
      <c r="A177" s="1" t="s">
        <v>19</v>
      </c>
      <c r="B177" s="8">
        <v>910731.55</v>
      </c>
    </row>
    <row r="178" spans="1:2" x14ac:dyDescent="0.25">
      <c r="A178" s="1" t="s">
        <v>20</v>
      </c>
      <c r="B178" s="8">
        <v>9677.2000000000007</v>
      </c>
    </row>
    <row r="179" spans="1:2" x14ac:dyDescent="0.25">
      <c r="A179" s="1" t="s">
        <v>21</v>
      </c>
      <c r="B179" s="8">
        <v>16997.080000000002</v>
      </c>
    </row>
    <row r="180" spans="1:2" x14ac:dyDescent="0.25">
      <c r="A180" s="1" t="s">
        <v>22</v>
      </c>
      <c r="B180" s="8">
        <v>225704.91</v>
      </c>
    </row>
    <row r="181" spans="1:2" x14ac:dyDescent="0.25">
      <c r="A181" s="1" t="s">
        <v>23</v>
      </c>
      <c r="B181" s="8">
        <v>247</v>
      </c>
    </row>
    <row r="182" spans="1:2" x14ac:dyDescent="0.25">
      <c r="A182" s="1" t="s">
        <v>24</v>
      </c>
      <c r="B182" s="8">
        <v>4100.92</v>
      </c>
    </row>
    <row r="183" spans="1:2" x14ac:dyDescent="0.25">
      <c r="A183" s="1" t="s">
        <v>25</v>
      </c>
      <c r="B183" s="8">
        <v>283245.84000000003</v>
      </c>
    </row>
    <row r="184" spans="1:2" x14ac:dyDescent="0.25">
      <c r="A184" s="1" t="s">
        <v>26</v>
      </c>
      <c r="B184" s="8">
        <v>634052.31999999995</v>
      </c>
    </row>
    <row r="185" spans="1:2" x14ac:dyDescent="0.25">
      <c r="A185" s="1" t="s">
        <v>27</v>
      </c>
      <c r="B185" s="8">
        <v>479999.58</v>
      </c>
    </row>
    <row r="186" spans="1:2" x14ac:dyDescent="0.25">
      <c r="A186" s="1" t="s">
        <v>2</v>
      </c>
      <c r="B186" s="8">
        <v>10522</v>
      </c>
    </row>
    <row r="187" spans="1:2" x14ac:dyDescent="0.25">
      <c r="A187" s="1" t="s">
        <v>3</v>
      </c>
      <c r="B187" s="8">
        <v>392228.47</v>
      </c>
    </row>
    <row r="188" spans="1:2" x14ac:dyDescent="0.25">
      <c r="A188" s="1" t="s">
        <v>4</v>
      </c>
      <c r="B188" s="8">
        <v>111761.42</v>
      </c>
    </row>
    <row r="189" spans="1:2" x14ac:dyDescent="0.25">
      <c r="A189" s="1" t="s">
        <v>5</v>
      </c>
      <c r="B189" s="8">
        <v>1612</v>
      </c>
    </row>
    <row r="190" spans="1:2" x14ac:dyDescent="0.25">
      <c r="A190" s="1" t="s">
        <v>7</v>
      </c>
      <c r="B190" s="8">
        <v>189069.35</v>
      </c>
    </row>
    <row r="191" spans="1:2" x14ac:dyDescent="0.25">
      <c r="A191" s="1" t="s">
        <v>8</v>
      </c>
      <c r="B191" s="8">
        <v>876524.68</v>
      </c>
    </row>
    <row r="192" spans="1:2" x14ac:dyDescent="0.25">
      <c r="A192" s="1" t="s">
        <v>9</v>
      </c>
      <c r="B192" s="8">
        <v>149540.37</v>
      </c>
    </row>
    <row r="193" spans="1:2" x14ac:dyDescent="0.25">
      <c r="A193" s="1" t="s">
        <v>10</v>
      </c>
      <c r="B193" s="8">
        <v>329764.09999999998</v>
      </c>
    </row>
    <row r="194" spans="1:2" x14ac:dyDescent="0.25">
      <c r="A194" s="1" t="s">
        <v>11</v>
      </c>
      <c r="B194" s="8">
        <v>887055.34</v>
      </c>
    </row>
    <row r="195" spans="1:2" x14ac:dyDescent="0.25">
      <c r="A195" s="1" t="s">
        <v>12</v>
      </c>
      <c r="B195" s="8">
        <v>194078.29</v>
      </c>
    </row>
    <row r="196" spans="1:2" x14ac:dyDescent="0.25">
      <c r="A196" s="1" t="s">
        <v>13</v>
      </c>
      <c r="B196" s="8">
        <v>206769</v>
      </c>
    </row>
    <row r="197" spans="1:2" x14ac:dyDescent="0.25">
      <c r="A197" s="1" t="s">
        <v>14</v>
      </c>
      <c r="B197" s="8">
        <v>16978.400000000001</v>
      </c>
    </row>
    <row r="198" spans="1:2" x14ac:dyDescent="0.25">
      <c r="A198" s="1" t="s">
        <v>28</v>
      </c>
      <c r="B198" s="8">
        <v>18224</v>
      </c>
    </row>
    <row r="199" spans="1:2" x14ac:dyDescent="0.25">
      <c r="A199" s="1" t="s">
        <v>15</v>
      </c>
      <c r="B199" s="8">
        <v>236336.13</v>
      </c>
    </row>
    <row r="200" spans="1:2" x14ac:dyDescent="0.25">
      <c r="A200" s="1" t="s">
        <v>16</v>
      </c>
      <c r="B200" s="8">
        <v>127016.73</v>
      </c>
    </row>
    <row r="201" spans="1:2" x14ac:dyDescent="0.25">
      <c r="A201" s="1" t="s">
        <v>17</v>
      </c>
      <c r="B201" s="8">
        <v>915303.52</v>
      </c>
    </row>
    <row r="202" spans="1:2" x14ac:dyDescent="0.25">
      <c r="A202" s="1" t="s">
        <v>18</v>
      </c>
      <c r="B202" s="8">
        <v>134627.26</v>
      </c>
    </row>
    <row r="203" spans="1:2" x14ac:dyDescent="0.25">
      <c r="A203" s="1" t="s">
        <v>19</v>
      </c>
      <c r="B203" s="8">
        <v>728454.52</v>
      </c>
    </row>
    <row r="204" spans="1:2" x14ac:dyDescent="0.25">
      <c r="A204" s="1" t="s">
        <v>20</v>
      </c>
      <c r="B204" s="8">
        <v>12510.1</v>
      </c>
    </row>
    <row r="205" spans="1:2" x14ac:dyDescent="0.25">
      <c r="A205" s="1" t="s">
        <v>21</v>
      </c>
      <c r="B205" s="8">
        <v>24471.8</v>
      </c>
    </row>
    <row r="206" spans="1:2" x14ac:dyDescent="0.25">
      <c r="A206" s="1" t="s">
        <v>22</v>
      </c>
      <c r="B206" s="8">
        <v>218939.83</v>
      </c>
    </row>
    <row r="207" spans="1:2" x14ac:dyDescent="0.25">
      <c r="A207" s="1" t="s">
        <v>23</v>
      </c>
      <c r="B207" s="8">
        <v>114</v>
      </c>
    </row>
    <row r="208" spans="1:2" x14ac:dyDescent="0.25">
      <c r="A208" s="1" t="s">
        <v>24</v>
      </c>
      <c r="B208" s="8">
        <v>3247.72</v>
      </c>
    </row>
    <row r="209" spans="1:2" x14ac:dyDescent="0.25">
      <c r="A209" s="1" t="s">
        <v>25</v>
      </c>
      <c r="B209" s="8">
        <v>219850.83</v>
      </c>
    </row>
    <row r="210" spans="1:2" x14ac:dyDescent="0.25">
      <c r="A210" s="1" t="s">
        <v>26</v>
      </c>
      <c r="B210" s="8">
        <v>561850.92000000004</v>
      </c>
    </row>
    <row r="211" spans="1:2" x14ac:dyDescent="0.25">
      <c r="A211" s="1" t="s">
        <v>27</v>
      </c>
      <c r="B211" s="8">
        <v>474667.3</v>
      </c>
    </row>
    <row r="212" spans="1:2" x14ac:dyDescent="0.25">
      <c r="A212" s="1" t="s">
        <v>2</v>
      </c>
      <c r="B212" s="8">
        <v>12621</v>
      </c>
    </row>
    <row r="213" spans="1:2" x14ac:dyDescent="0.25">
      <c r="A213" s="1" t="s">
        <v>3</v>
      </c>
      <c r="B213" s="8">
        <v>407225.14</v>
      </c>
    </row>
    <row r="214" spans="1:2" x14ac:dyDescent="0.25">
      <c r="A214" s="1" t="s">
        <v>4</v>
      </c>
      <c r="B214" s="8">
        <v>138949.54999999999</v>
      </c>
    </row>
    <row r="215" spans="1:2" x14ac:dyDescent="0.25">
      <c r="A215" s="1" t="s">
        <v>5</v>
      </c>
      <c r="B215" s="8">
        <v>3156</v>
      </c>
    </row>
    <row r="216" spans="1:2" x14ac:dyDescent="0.25">
      <c r="A216" s="1" t="s">
        <v>7</v>
      </c>
      <c r="B216" s="8">
        <v>142190.32</v>
      </c>
    </row>
    <row r="217" spans="1:2" x14ac:dyDescent="0.25">
      <c r="A217" s="1" t="s">
        <v>8</v>
      </c>
      <c r="B217" s="8">
        <v>745202.73</v>
      </c>
    </row>
    <row r="218" spans="1:2" x14ac:dyDescent="0.25">
      <c r="A218" s="1" t="s">
        <v>9</v>
      </c>
      <c r="B218" s="8">
        <v>95463.98</v>
      </c>
    </row>
    <row r="219" spans="1:2" x14ac:dyDescent="0.25">
      <c r="A219" s="1" t="s">
        <v>10</v>
      </c>
      <c r="B219" s="8">
        <v>276111.99</v>
      </c>
    </row>
    <row r="220" spans="1:2" x14ac:dyDescent="0.25">
      <c r="A220" s="1" t="s">
        <v>11</v>
      </c>
      <c r="B220" s="8">
        <v>631649.68999999994</v>
      </c>
    </row>
    <row r="221" spans="1:2" x14ac:dyDescent="0.25">
      <c r="A221" s="1" t="s">
        <v>12</v>
      </c>
      <c r="B221" s="8">
        <v>209240.9</v>
      </c>
    </row>
    <row r="222" spans="1:2" x14ac:dyDescent="0.25">
      <c r="A222" s="1" t="s">
        <v>13</v>
      </c>
      <c r="B222" s="8">
        <v>191582</v>
      </c>
    </row>
    <row r="223" spans="1:2" x14ac:dyDescent="0.25">
      <c r="A223" s="1" t="s">
        <v>14</v>
      </c>
      <c r="B223" s="8">
        <v>7830.8</v>
      </c>
    </row>
    <row r="224" spans="1:2" x14ac:dyDescent="0.25">
      <c r="A224" s="1" t="s">
        <v>28</v>
      </c>
      <c r="B224" s="8">
        <v>14543</v>
      </c>
    </row>
    <row r="225" spans="1:2" x14ac:dyDescent="0.25">
      <c r="A225" s="1" t="s">
        <v>15</v>
      </c>
      <c r="B225" s="8">
        <v>212585.87</v>
      </c>
    </row>
    <row r="226" spans="1:2" x14ac:dyDescent="0.25">
      <c r="A226" s="1" t="s">
        <v>16</v>
      </c>
      <c r="B226" s="8">
        <v>54263.66</v>
      </c>
    </row>
    <row r="227" spans="1:2" x14ac:dyDescent="0.25">
      <c r="A227" s="1" t="s">
        <v>17</v>
      </c>
      <c r="B227" s="8">
        <v>626836.66</v>
      </c>
    </row>
    <row r="228" spans="1:2" x14ac:dyDescent="0.25">
      <c r="A228" s="1" t="s">
        <v>18</v>
      </c>
      <c r="B228" s="8">
        <v>99099.6</v>
      </c>
    </row>
    <row r="229" spans="1:2" x14ac:dyDescent="0.25">
      <c r="A229" s="1" t="s">
        <v>19</v>
      </c>
      <c r="B229" s="8">
        <v>784023.65</v>
      </c>
    </row>
    <row r="230" spans="1:2" x14ac:dyDescent="0.25">
      <c r="A230" s="1" t="s">
        <v>20</v>
      </c>
      <c r="B230" s="8">
        <v>11367.86</v>
      </c>
    </row>
    <row r="231" spans="1:2" x14ac:dyDescent="0.25">
      <c r="A231" s="1" t="s">
        <v>21</v>
      </c>
      <c r="B231" s="8">
        <v>9428.77</v>
      </c>
    </row>
    <row r="232" spans="1:2" x14ac:dyDescent="0.25">
      <c r="A232" s="1" t="s">
        <v>22</v>
      </c>
      <c r="B232" s="8">
        <v>232231.89</v>
      </c>
    </row>
    <row r="233" spans="1:2" x14ac:dyDescent="0.25">
      <c r="A233" s="1" t="s">
        <v>23</v>
      </c>
      <c r="B233" s="8">
        <v>133</v>
      </c>
    </row>
    <row r="234" spans="1:2" x14ac:dyDescent="0.25">
      <c r="A234" s="1" t="s">
        <v>24</v>
      </c>
      <c r="B234" s="8">
        <v>2740.72</v>
      </c>
    </row>
    <row r="235" spans="1:2" x14ac:dyDescent="0.25">
      <c r="A235" s="1" t="s">
        <v>25</v>
      </c>
      <c r="B235" s="8">
        <v>199352.67</v>
      </c>
    </row>
    <row r="236" spans="1:2" x14ac:dyDescent="0.25">
      <c r="A236" s="1" t="s">
        <v>26</v>
      </c>
      <c r="B236" s="8">
        <v>422931.65</v>
      </c>
    </row>
    <row r="237" spans="1:2" x14ac:dyDescent="0.25">
      <c r="A237" s="1" t="s">
        <v>27</v>
      </c>
      <c r="B237" s="8">
        <v>335197.64</v>
      </c>
    </row>
    <row r="238" spans="1:2" x14ac:dyDescent="0.25">
      <c r="A238" s="1" t="s">
        <v>2</v>
      </c>
      <c r="B238" s="8">
        <v>10299</v>
      </c>
    </row>
    <row r="239" spans="1:2" x14ac:dyDescent="0.25">
      <c r="A239" s="1" t="s">
        <v>3</v>
      </c>
      <c r="B239" s="8">
        <v>265835.34000000003</v>
      </c>
    </row>
    <row r="240" spans="1:2" x14ac:dyDescent="0.25">
      <c r="A240" s="1" t="s">
        <v>4</v>
      </c>
      <c r="B240" s="8">
        <v>86174.43</v>
      </c>
    </row>
    <row r="241" spans="1:2" x14ac:dyDescent="0.25">
      <c r="A241" s="1" t="s">
        <v>5</v>
      </c>
      <c r="B241" s="8">
        <v>4234</v>
      </c>
    </row>
    <row r="242" spans="1:2" x14ac:dyDescent="0.25">
      <c r="A242" s="1" t="s">
        <v>6</v>
      </c>
      <c r="B242" s="8">
        <v>1422</v>
      </c>
    </row>
    <row r="243" spans="1:2" x14ac:dyDescent="0.25">
      <c r="A243" s="1" t="s">
        <v>7</v>
      </c>
      <c r="B243" s="8">
        <v>155948.17000000001</v>
      </c>
    </row>
    <row r="244" spans="1:2" x14ac:dyDescent="0.25">
      <c r="A244" s="1" t="s">
        <v>8</v>
      </c>
      <c r="B244" s="8">
        <v>660077.09</v>
      </c>
    </row>
    <row r="245" spans="1:2" x14ac:dyDescent="0.25">
      <c r="A245" s="1" t="s">
        <v>9</v>
      </c>
      <c r="B245" s="8">
        <v>137820.67000000001</v>
      </c>
    </row>
    <row r="246" spans="1:2" x14ac:dyDescent="0.25">
      <c r="A246" s="1" t="s">
        <v>10</v>
      </c>
      <c r="B246" s="8">
        <v>278578.14</v>
      </c>
    </row>
    <row r="247" spans="1:2" x14ac:dyDescent="0.25">
      <c r="A247" s="1" t="s">
        <v>11</v>
      </c>
      <c r="B247" s="8">
        <v>458429.94</v>
      </c>
    </row>
    <row r="248" spans="1:2" x14ac:dyDescent="0.25">
      <c r="A248" s="1" t="s">
        <v>12</v>
      </c>
      <c r="B248" s="8">
        <v>180457.89</v>
      </c>
    </row>
    <row r="249" spans="1:2" x14ac:dyDescent="0.25">
      <c r="A249" s="1" t="s">
        <v>13</v>
      </c>
      <c r="B249" s="8">
        <v>173752.99</v>
      </c>
    </row>
    <row r="250" spans="1:2" x14ac:dyDescent="0.25">
      <c r="A250" s="1" t="s">
        <v>14</v>
      </c>
      <c r="B250" s="8">
        <v>11204.2</v>
      </c>
    </row>
    <row r="251" spans="1:2" x14ac:dyDescent="0.25">
      <c r="A251" s="1" t="s">
        <v>28</v>
      </c>
      <c r="B251" s="8">
        <v>9402</v>
      </c>
    </row>
    <row r="252" spans="1:2" x14ac:dyDescent="0.25">
      <c r="A252" s="1" t="s">
        <v>15</v>
      </c>
      <c r="B252" s="8">
        <v>175229.51</v>
      </c>
    </row>
    <row r="253" spans="1:2" x14ac:dyDescent="0.25">
      <c r="A253" s="1" t="s">
        <v>16</v>
      </c>
      <c r="B253" s="8">
        <v>123858.26</v>
      </c>
    </row>
    <row r="254" spans="1:2" x14ac:dyDescent="0.25">
      <c r="A254" s="1" t="s">
        <v>17</v>
      </c>
      <c r="B254" s="8">
        <v>794108.24</v>
      </c>
    </row>
    <row r="255" spans="1:2" x14ac:dyDescent="0.25">
      <c r="A255" s="1" t="s">
        <v>18</v>
      </c>
      <c r="B255" s="8">
        <v>89895</v>
      </c>
    </row>
    <row r="256" spans="1:2" x14ac:dyDescent="0.25">
      <c r="A256" s="1" t="s">
        <v>19</v>
      </c>
      <c r="B256" s="8">
        <v>741810.34</v>
      </c>
    </row>
    <row r="257" spans="1:2" x14ac:dyDescent="0.25">
      <c r="A257" s="1" t="s">
        <v>20</v>
      </c>
      <c r="B257" s="8">
        <v>11037.35</v>
      </c>
    </row>
    <row r="258" spans="1:2" x14ac:dyDescent="0.25">
      <c r="A258" s="1" t="s">
        <v>21</v>
      </c>
      <c r="B258" s="8">
        <v>8652</v>
      </c>
    </row>
    <row r="259" spans="1:2" x14ac:dyDescent="0.25">
      <c r="A259" s="1" t="s">
        <v>22</v>
      </c>
      <c r="B259" s="8">
        <v>188259.46</v>
      </c>
    </row>
    <row r="260" spans="1:2" x14ac:dyDescent="0.25">
      <c r="A260" s="1" t="s">
        <v>23</v>
      </c>
      <c r="B260" s="8">
        <v>76</v>
      </c>
    </row>
    <row r="261" spans="1:2" x14ac:dyDescent="0.25">
      <c r="A261" s="1" t="s">
        <v>24</v>
      </c>
      <c r="B261" s="8">
        <v>2148.64</v>
      </c>
    </row>
    <row r="262" spans="1:2" x14ac:dyDescent="0.25">
      <c r="A262" s="1" t="s">
        <v>25</v>
      </c>
      <c r="B262" s="8">
        <v>141382.29999999999</v>
      </c>
    </row>
    <row r="263" spans="1:2" x14ac:dyDescent="0.25">
      <c r="A263" s="1" t="s">
        <v>26</v>
      </c>
      <c r="B263" s="8">
        <v>392714.46</v>
      </c>
    </row>
    <row r="264" spans="1:2" x14ac:dyDescent="0.25">
      <c r="A264" s="1" t="s">
        <v>27</v>
      </c>
      <c r="B264" s="8">
        <v>306469.40999999997</v>
      </c>
    </row>
    <row r="265" spans="1:2" x14ac:dyDescent="0.25">
      <c r="A265" s="1" t="s">
        <v>2</v>
      </c>
      <c r="B265" s="8">
        <v>10607</v>
      </c>
    </row>
    <row r="266" spans="1:2" x14ac:dyDescent="0.25">
      <c r="A266" s="1" t="s">
        <v>3</v>
      </c>
      <c r="B266" s="8">
        <v>284122.39</v>
      </c>
    </row>
    <row r="267" spans="1:2" x14ac:dyDescent="0.25">
      <c r="A267" s="1" t="s">
        <v>4</v>
      </c>
      <c r="B267" s="8">
        <v>128450.94</v>
      </c>
    </row>
    <row r="268" spans="1:2" x14ac:dyDescent="0.25">
      <c r="A268" s="1" t="s">
        <v>5</v>
      </c>
      <c r="B268" s="8">
        <v>2245</v>
      </c>
    </row>
    <row r="269" spans="1:2" x14ac:dyDescent="0.25">
      <c r="A269" s="1" t="s">
        <v>7</v>
      </c>
      <c r="B269" s="8">
        <v>139197.93</v>
      </c>
    </row>
    <row r="270" spans="1:2" x14ac:dyDescent="0.25">
      <c r="A270" s="1" t="s">
        <v>8</v>
      </c>
      <c r="B270" s="8">
        <v>731962.54</v>
      </c>
    </row>
    <row r="271" spans="1:2" x14ac:dyDescent="0.25">
      <c r="A271" s="1" t="s">
        <v>9</v>
      </c>
      <c r="B271" s="8">
        <v>131298.91</v>
      </c>
    </row>
    <row r="272" spans="1:2" x14ac:dyDescent="0.25">
      <c r="A272" s="1" t="s">
        <v>10</v>
      </c>
      <c r="B272" s="8">
        <v>273562.40999999997</v>
      </c>
    </row>
    <row r="273" spans="1:2" x14ac:dyDescent="0.25">
      <c r="A273" s="1" t="s">
        <v>11</v>
      </c>
      <c r="B273" s="8">
        <v>556262.94999999995</v>
      </c>
    </row>
    <row r="274" spans="1:2" x14ac:dyDescent="0.25">
      <c r="A274" s="1" t="s">
        <v>12</v>
      </c>
      <c r="B274" s="8">
        <v>185506.28</v>
      </c>
    </row>
    <row r="275" spans="1:2" x14ac:dyDescent="0.25">
      <c r="A275" s="1" t="s">
        <v>13</v>
      </c>
      <c r="B275" s="8">
        <v>163691</v>
      </c>
    </row>
    <row r="276" spans="1:2" x14ac:dyDescent="0.25">
      <c r="A276" s="1" t="s">
        <v>14</v>
      </c>
      <c r="B276" s="8">
        <v>15134.4</v>
      </c>
    </row>
    <row r="277" spans="1:2" x14ac:dyDescent="0.25">
      <c r="A277" s="1" t="s">
        <v>28</v>
      </c>
      <c r="B277" s="8">
        <v>20006</v>
      </c>
    </row>
    <row r="278" spans="1:2" x14ac:dyDescent="0.25">
      <c r="A278" s="1" t="s">
        <v>15</v>
      </c>
      <c r="B278" s="8">
        <v>192461.89</v>
      </c>
    </row>
    <row r="279" spans="1:2" x14ac:dyDescent="0.25">
      <c r="A279" s="1" t="s">
        <v>16</v>
      </c>
      <c r="B279" s="8">
        <v>97786.36</v>
      </c>
    </row>
    <row r="280" spans="1:2" x14ac:dyDescent="0.25">
      <c r="A280" s="1" t="s">
        <v>17</v>
      </c>
      <c r="B280" s="8">
        <v>744603.9</v>
      </c>
    </row>
    <row r="281" spans="1:2" x14ac:dyDescent="0.25">
      <c r="A281" s="1" t="s">
        <v>18</v>
      </c>
      <c r="B281" s="8">
        <v>90469.54</v>
      </c>
    </row>
    <row r="282" spans="1:2" x14ac:dyDescent="0.25">
      <c r="A282" s="1" t="s">
        <v>19</v>
      </c>
      <c r="B282" s="8">
        <v>720360.39</v>
      </c>
    </row>
    <row r="283" spans="1:2" x14ac:dyDescent="0.25">
      <c r="A283" s="1" t="s">
        <v>20</v>
      </c>
      <c r="B283" s="8">
        <v>17073.98</v>
      </c>
    </row>
    <row r="284" spans="1:2" x14ac:dyDescent="0.25">
      <c r="A284" s="1" t="s">
        <v>21</v>
      </c>
      <c r="B284" s="8">
        <v>5578.3</v>
      </c>
    </row>
    <row r="285" spans="1:2" x14ac:dyDescent="0.25">
      <c r="A285" s="1" t="s">
        <v>22</v>
      </c>
      <c r="B285" s="8">
        <v>192006.52</v>
      </c>
    </row>
    <row r="286" spans="1:2" x14ac:dyDescent="0.25">
      <c r="A286" s="1" t="s">
        <v>23</v>
      </c>
      <c r="B286" s="8">
        <v>152</v>
      </c>
    </row>
    <row r="287" spans="1:2" x14ac:dyDescent="0.25">
      <c r="A287" s="1" t="s">
        <v>24</v>
      </c>
      <c r="B287" s="8">
        <v>4563.92</v>
      </c>
    </row>
    <row r="288" spans="1:2" x14ac:dyDescent="0.25">
      <c r="A288" s="1" t="s">
        <v>25</v>
      </c>
      <c r="B288" s="8">
        <v>161464.59</v>
      </c>
    </row>
    <row r="289" spans="1:2" x14ac:dyDescent="0.25">
      <c r="A289" s="1" t="s">
        <v>26</v>
      </c>
      <c r="B289" s="8">
        <v>399187.35</v>
      </c>
    </row>
    <row r="290" spans="1:2" x14ac:dyDescent="0.25">
      <c r="A290" s="1" t="s">
        <v>27</v>
      </c>
      <c r="B290" s="8">
        <v>303607.75</v>
      </c>
    </row>
    <row r="291" spans="1:2" x14ac:dyDescent="0.25">
      <c r="A291" s="1" t="s">
        <v>2</v>
      </c>
      <c r="B291" s="8">
        <v>16610</v>
      </c>
    </row>
    <row r="292" spans="1:2" x14ac:dyDescent="0.25">
      <c r="A292" s="1" t="s">
        <v>3</v>
      </c>
      <c r="B292" s="8">
        <v>379990.91</v>
      </c>
    </row>
    <row r="293" spans="1:2" x14ac:dyDescent="0.25">
      <c r="A293" s="1" t="s">
        <v>4</v>
      </c>
      <c r="B293" s="8">
        <v>171432.56</v>
      </c>
    </row>
    <row r="294" spans="1:2" x14ac:dyDescent="0.25">
      <c r="A294" s="1" t="s">
        <v>5</v>
      </c>
      <c r="B294" s="8">
        <v>1793</v>
      </c>
    </row>
    <row r="295" spans="1:2" x14ac:dyDescent="0.25">
      <c r="A295" s="1" t="s">
        <v>7</v>
      </c>
      <c r="B295" s="8">
        <v>231030.34</v>
      </c>
    </row>
    <row r="296" spans="1:2" x14ac:dyDescent="0.25">
      <c r="A296" s="1" t="s">
        <v>8</v>
      </c>
      <c r="B296" s="8">
        <v>875078.31</v>
      </c>
    </row>
    <row r="297" spans="1:2" x14ac:dyDescent="0.25">
      <c r="A297" s="1" t="s">
        <v>9</v>
      </c>
      <c r="B297" s="8">
        <v>183271.75</v>
      </c>
    </row>
    <row r="298" spans="1:2" x14ac:dyDescent="0.25">
      <c r="A298" s="1" t="s">
        <v>10</v>
      </c>
      <c r="B298" s="8">
        <v>346553.17</v>
      </c>
    </row>
    <row r="299" spans="1:2" x14ac:dyDescent="0.25">
      <c r="A299" s="1" t="s">
        <v>11</v>
      </c>
      <c r="B299" s="8">
        <v>761982.41</v>
      </c>
    </row>
    <row r="300" spans="1:2" x14ac:dyDescent="0.25">
      <c r="A300" s="1" t="s">
        <v>12</v>
      </c>
      <c r="B300" s="8">
        <v>356954</v>
      </c>
    </row>
    <row r="301" spans="1:2" x14ac:dyDescent="0.25">
      <c r="A301" s="1" t="s">
        <v>13</v>
      </c>
      <c r="B301" s="8">
        <v>223403.99</v>
      </c>
    </row>
    <row r="302" spans="1:2" x14ac:dyDescent="0.25">
      <c r="A302" s="1" t="s">
        <v>14</v>
      </c>
      <c r="B302" s="8">
        <v>62433.2</v>
      </c>
    </row>
    <row r="303" spans="1:2" x14ac:dyDescent="0.25">
      <c r="A303" s="1" t="s">
        <v>28</v>
      </c>
      <c r="B303" s="8">
        <v>17191</v>
      </c>
    </row>
    <row r="304" spans="1:2" x14ac:dyDescent="0.25">
      <c r="A304" s="1" t="s">
        <v>15</v>
      </c>
      <c r="B304" s="8">
        <v>272519.43</v>
      </c>
    </row>
    <row r="305" spans="1:2" x14ac:dyDescent="0.25">
      <c r="A305" s="1" t="s">
        <v>16</v>
      </c>
      <c r="B305" s="8">
        <v>97920.41</v>
      </c>
    </row>
    <row r="306" spans="1:2" x14ac:dyDescent="0.25">
      <c r="A306" s="1" t="s">
        <v>17</v>
      </c>
      <c r="B306" s="8">
        <v>1027577.89</v>
      </c>
    </row>
    <row r="307" spans="1:2" x14ac:dyDescent="0.25">
      <c r="A307" s="1" t="s">
        <v>18</v>
      </c>
      <c r="B307" s="8">
        <v>147779.1</v>
      </c>
    </row>
    <row r="308" spans="1:2" x14ac:dyDescent="0.25">
      <c r="A308" s="1" t="s">
        <v>19</v>
      </c>
      <c r="B308" s="8">
        <v>1052790.9099999999</v>
      </c>
    </row>
    <row r="309" spans="1:2" x14ac:dyDescent="0.25">
      <c r="A309" s="1" t="s">
        <v>20</v>
      </c>
      <c r="B309" s="8">
        <v>19954.71</v>
      </c>
    </row>
    <row r="310" spans="1:2" x14ac:dyDescent="0.25">
      <c r="A310" s="1" t="s">
        <v>21</v>
      </c>
      <c r="B310" s="8">
        <v>9678.9</v>
      </c>
    </row>
    <row r="311" spans="1:2" x14ac:dyDescent="0.25">
      <c r="A311" s="1" t="s">
        <v>22</v>
      </c>
      <c r="B311" s="8">
        <v>202521.66</v>
      </c>
    </row>
    <row r="312" spans="1:2" x14ac:dyDescent="0.25">
      <c r="A312" s="1" t="s">
        <v>23</v>
      </c>
      <c r="B312" s="8">
        <v>209</v>
      </c>
    </row>
    <row r="313" spans="1:2" x14ac:dyDescent="0.25">
      <c r="A313" s="1" t="s">
        <v>24</v>
      </c>
      <c r="B313" s="8">
        <v>4828.32</v>
      </c>
    </row>
    <row r="314" spans="1:2" x14ac:dyDescent="0.25">
      <c r="A314" s="1" t="s">
        <v>25</v>
      </c>
      <c r="B314" s="8">
        <v>227563.67</v>
      </c>
    </row>
    <row r="315" spans="1:2" x14ac:dyDescent="0.25">
      <c r="A315" s="1" t="s">
        <v>26</v>
      </c>
      <c r="B315" s="8">
        <v>561308.91</v>
      </c>
    </row>
    <row r="316" spans="1:2" x14ac:dyDescent="0.25">
      <c r="A316" s="1" t="s">
        <v>27</v>
      </c>
      <c r="B316" s="8">
        <v>426845.68</v>
      </c>
    </row>
    <row r="317" spans="1:2" x14ac:dyDescent="0.25">
      <c r="A317" s="1" t="s">
        <v>2</v>
      </c>
      <c r="B317" s="8">
        <v>13833</v>
      </c>
    </row>
    <row r="318" spans="1:2" x14ac:dyDescent="0.25">
      <c r="A318" s="1" t="s">
        <v>3</v>
      </c>
      <c r="B318" s="8">
        <v>521829.37</v>
      </c>
    </row>
    <row r="319" spans="1:2" x14ac:dyDescent="0.25">
      <c r="A319" s="1" t="s">
        <v>4</v>
      </c>
      <c r="B319" s="8">
        <v>186159.65</v>
      </c>
    </row>
    <row r="320" spans="1:2" x14ac:dyDescent="0.25">
      <c r="A320" s="1" t="s">
        <v>5</v>
      </c>
      <c r="B320" s="8">
        <v>1871</v>
      </c>
    </row>
    <row r="321" spans="1:2" x14ac:dyDescent="0.25">
      <c r="A321" s="1" t="s">
        <v>7</v>
      </c>
      <c r="B321" s="8">
        <v>347203.69</v>
      </c>
    </row>
    <row r="322" spans="1:2" x14ac:dyDescent="0.25">
      <c r="A322" s="1" t="s">
        <v>8</v>
      </c>
      <c r="B322" s="8">
        <v>1020902.61</v>
      </c>
    </row>
    <row r="323" spans="1:2" x14ac:dyDescent="0.25">
      <c r="A323" s="1" t="s">
        <v>9</v>
      </c>
      <c r="B323" s="8">
        <v>180597.07</v>
      </c>
    </row>
    <row r="324" spans="1:2" x14ac:dyDescent="0.25">
      <c r="A324" s="1" t="s">
        <v>10</v>
      </c>
      <c r="B324" s="8">
        <v>445883.46</v>
      </c>
    </row>
    <row r="325" spans="1:2" x14ac:dyDescent="0.25">
      <c r="A325" s="1" t="s">
        <v>11</v>
      </c>
      <c r="B325" s="8">
        <v>770041.4</v>
      </c>
    </row>
    <row r="326" spans="1:2" x14ac:dyDescent="0.25">
      <c r="A326" s="1" t="s">
        <v>12</v>
      </c>
      <c r="B326" s="8">
        <v>330115.84000000003</v>
      </c>
    </row>
    <row r="327" spans="1:2" x14ac:dyDescent="0.25">
      <c r="A327" s="1" t="s">
        <v>13</v>
      </c>
      <c r="B327" s="8">
        <v>274616.99</v>
      </c>
    </row>
    <row r="328" spans="1:2" x14ac:dyDescent="0.25">
      <c r="A328" s="1" t="s">
        <v>14</v>
      </c>
      <c r="B328" s="8">
        <v>24993.200000000001</v>
      </c>
    </row>
    <row r="329" spans="1:2" x14ac:dyDescent="0.25">
      <c r="A329" s="1" t="s">
        <v>28</v>
      </c>
      <c r="B329" s="8">
        <v>30251</v>
      </c>
    </row>
    <row r="330" spans="1:2" x14ac:dyDescent="0.25">
      <c r="A330" s="1" t="s">
        <v>15</v>
      </c>
      <c r="B330" s="8">
        <v>417673.89</v>
      </c>
    </row>
    <row r="331" spans="1:2" x14ac:dyDescent="0.25">
      <c r="A331" s="1" t="s">
        <v>16</v>
      </c>
      <c r="B331" s="8">
        <v>275586.89</v>
      </c>
    </row>
    <row r="332" spans="1:2" x14ac:dyDescent="0.25">
      <c r="A332" s="1" t="s">
        <v>17</v>
      </c>
      <c r="B332" s="8">
        <v>1169548.9099999999</v>
      </c>
    </row>
    <row r="333" spans="1:2" x14ac:dyDescent="0.25">
      <c r="A333" s="1" t="s">
        <v>18</v>
      </c>
      <c r="B333" s="8">
        <v>204069.04</v>
      </c>
    </row>
    <row r="334" spans="1:2" x14ac:dyDescent="0.25">
      <c r="A334" s="1" t="s">
        <v>19</v>
      </c>
      <c r="B334" s="8">
        <v>1017193.7</v>
      </c>
    </row>
    <row r="335" spans="1:2" x14ac:dyDescent="0.25">
      <c r="A335" s="1" t="s">
        <v>20</v>
      </c>
      <c r="B335" s="8">
        <v>17522.990000000002</v>
      </c>
    </row>
    <row r="336" spans="1:2" x14ac:dyDescent="0.25">
      <c r="A336" s="1" t="s">
        <v>21</v>
      </c>
      <c r="B336" s="8">
        <v>7866.6</v>
      </c>
    </row>
    <row r="337" spans="1:2" x14ac:dyDescent="0.25">
      <c r="A337" s="1" t="s">
        <v>22</v>
      </c>
      <c r="B337" s="8">
        <v>261118.86</v>
      </c>
    </row>
    <row r="338" spans="1:2" x14ac:dyDescent="0.25">
      <c r="A338" s="1" t="s">
        <v>23</v>
      </c>
      <c r="B338" s="8">
        <v>152</v>
      </c>
    </row>
    <row r="339" spans="1:2" x14ac:dyDescent="0.25">
      <c r="A339" s="1" t="s">
        <v>24</v>
      </c>
      <c r="B339" s="8">
        <v>5754.16</v>
      </c>
    </row>
    <row r="340" spans="1:2" x14ac:dyDescent="0.25">
      <c r="A340" s="1" t="s">
        <v>25</v>
      </c>
      <c r="B340" s="8">
        <v>315371.5</v>
      </c>
    </row>
    <row r="341" spans="1:2" x14ac:dyDescent="0.25">
      <c r="A341" s="1" t="s">
        <v>26</v>
      </c>
      <c r="B341" s="8">
        <v>630647.32999999996</v>
      </c>
    </row>
    <row r="342" spans="1:2" x14ac:dyDescent="0.25">
      <c r="A342" s="1" t="s">
        <v>27</v>
      </c>
      <c r="B342" s="8">
        <v>567505.80000000005</v>
      </c>
    </row>
    <row r="343" spans="1:2" x14ac:dyDescent="0.25">
      <c r="A343" s="1" t="s">
        <v>2</v>
      </c>
      <c r="B343" s="8">
        <v>13628</v>
      </c>
    </row>
    <row r="344" spans="1:2" x14ac:dyDescent="0.25">
      <c r="A344" s="1" t="s">
        <v>3</v>
      </c>
      <c r="B344" s="8">
        <v>384121.62</v>
      </c>
    </row>
    <row r="345" spans="1:2" x14ac:dyDescent="0.25">
      <c r="A345" s="1" t="s">
        <v>4</v>
      </c>
      <c r="B345" s="8">
        <v>170422.8</v>
      </c>
    </row>
    <row r="346" spans="1:2" x14ac:dyDescent="0.25">
      <c r="A346" s="1" t="s">
        <v>5</v>
      </c>
      <c r="B346" s="8">
        <v>3316</v>
      </c>
    </row>
    <row r="347" spans="1:2" x14ac:dyDescent="0.25">
      <c r="A347" s="1" t="s">
        <v>7</v>
      </c>
      <c r="B347" s="8">
        <v>271932.99</v>
      </c>
    </row>
    <row r="348" spans="1:2" x14ac:dyDescent="0.25">
      <c r="A348" s="1" t="s">
        <v>8</v>
      </c>
      <c r="B348" s="8">
        <v>886450</v>
      </c>
    </row>
    <row r="349" spans="1:2" x14ac:dyDescent="0.25">
      <c r="A349" s="1" t="s">
        <v>9</v>
      </c>
      <c r="B349" s="8">
        <v>138097</v>
      </c>
    </row>
    <row r="350" spans="1:2" x14ac:dyDescent="0.25">
      <c r="A350" s="1" t="s">
        <v>10</v>
      </c>
      <c r="B350" s="8">
        <v>395878</v>
      </c>
    </row>
    <row r="351" spans="1:2" x14ac:dyDescent="0.25">
      <c r="A351" s="1" t="s">
        <v>11</v>
      </c>
      <c r="B351" s="8">
        <v>498169.42</v>
      </c>
    </row>
    <row r="352" spans="1:2" x14ac:dyDescent="0.25">
      <c r="A352" s="1" t="s">
        <v>12</v>
      </c>
      <c r="B352" s="8">
        <v>226196.59</v>
      </c>
    </row>
    <row r="353" spans="1:2" x14ac:dyDescent="0.25">
      <c r="A353" s="1" t="s">
        <v>13</v>
      </c>
      <c r="B353" s="8">
        <v>201623.99</v>
      </c>
    </row>
    <row r="354" spans="1:2" x14ac:dyDescent="0.25">
      <c r="A354" s="1" t="s">
        <v>14</v>
      </c>
      <c r="B354" s="8">
        <v>16439.8</v>
      </c>
    </row>
    <row r="355" spans="1:2" x14ac:dyDescent="0.25">
      <c r="A355" s="1" t="s">
        <v>28</v>
      </c>
      <c r="B355" s="8">
        <v>17875</v>
      </c>
    </row>
    <row r="356" spans="1:2" x14ac:dyDescent="0.25">
      <c r="A356" s="1" t="s">
        <v>15</v>
      </c>
      <c r="B356" s="8">
        <v>268971.65000000002</v>
      </c>
    </row>
    <row r="357" spans="1:2" x14ac:dyDescent="0.25">
      <c r="A357" s="1" t="s">
        <v>16</v>
      </c>
      <c r="B357" s="8">
        <v>126422.78</v>
      </c>
    </row>
    <row r="358" spans="1:2" x14ac:dyDescent="0.25">
      <c r="A358" s="1" t="s">
        <v>17</v>
      </c>
      <c r="B358" s="8">
        <v>893624.03</v>
      </c>
    </row>
    <row r="359" spans="1:2" x14ac:dyDescent="0.25">
      <c r="A359" s="1" t="s">
        <v>18</v>
      </c>
      <c r="B359" s="8">
        <v>148000.48000000001</v>
      </c>
    </row>
    <row r="360" spans="1:2" x14ac:dyDescent="0.25">
      <c r="A360" s="1" t="s">
        <v>19</v>
      </c>
      <c r="B360" s="8">
        <v>732357.92</v>
      </c>
    </row>
    <row r="361" spans="1:2" x14ac:dyDescent="0.25">
      <c r="A361" s="1" t="s">
        <v>20</v>
      </c>
      <c r="B361" s="8">
        <v>10304.700000000001</v>
      </c>
    </row>
    <row r="362" spans="1:2" x14ac:dyDescent="0.25">
      <c r="A362" s="1" t="s">
        <v>21</v>
      </c>
      <c r="B362" s="8">
        <v>5517.4</v>
      </c>
    </row>
    <row r="363" spans="1:2" x14ac:dyDescent="0.25">
      <c r="A363" s="1" t="s">
        <v>22</v>
      </c>
      <c r="B363" s="8">
        <v>230156.25</v>
      </c>
    </row>
    <row r="364" spans="1:2" x14ac:dyDescent="0.25">
      <c r="A364" s="1" t="s">
        <v>23</v>
      </c>
      <c r="B364" s="8">
        <v>38</v>
      </c>
    </row>
    <row r="365" spans="1:2" x14ac:dyDescent="0.25">
      <c r="A365" s="1" t="s">
        <v>24</v>
      </c>
      <c r="B365" s="8">
        <v>5485.6</v>
      </c>
    </row>
    <row r="366" spans="1:2" x14ac:dyDescent="0.25">
      <c r="A366" s="1" t="s">
        <v>25</v>
      </c>
      <c r="B366" s="8">
        <v>297810.48</v>
      </c>
    </row>
    <row r="367" spans="1:2" x14ac:dyDescent="0.25">
      <c r="A367" s="1" t="s">
        <v>26</v>
      </c>
      <c r="B367" s="8">
        <v>546210.89</v>
      </c>
    </row>
    <row r="368" spans="1:2" x14ac:dyDescent="0.25">
      <c r="A368" s="1" t="s">
        <v>27</v>
      </c>
      <c r="B368" s="8">
        <v>531187.43000000005</v>
      </c>
    </row>
    <row r="369" spans="1:2" x14ac:dyDescent="0.25">
      <c r="A369" s="1" t="s">
        <v>2</v>
      </c>
      <c r="B369" s="8">
        <v>8316</v>
      </c>
    </row>
    <row r="370" spans="1:2" x14ac:dyDescent="0.25">
      <c r="A370" s="1" t="s">
        <v>3</v>
      </c>
      <c r="B370" s="8">
        <v>320200.55</v>
      </c>
    </row>
    <row r="371" spans="1:2" x14ac:dyDescent="0.25">
      <c r="A371" s="1" t="s">
        <v>4</v>
      </c>
      <c r="B371" s="8">
        <v>131559.66</v>
      </c>
    </row>
    <row r="372" spans="1:2" x14ac:dyDescent="0.25">
      <c r="A372" s="1" t="s">
        <v>5</v>
      </c>
      <c r="B372" s="8">
        <v>2149</v>
      </c>
    </row>
    <row r="373" spans="1:2" x14ac:dyDescent="0.25">
      <c r="A373" s="1" t="s">
        <v>6</v>
      </c>
      <c r="B373" s="8">
        <v>1512</v>
      </c>
    </row>
    <row r="374" spans="1:2" x14ac:dyDescent="0.25">
      <c r="A374" s="1" t="s">
        <v>7</v>
      </c>
      <c r="B374" s="8">
        <v>436341.51</v>
      </c>
    </row>
    <row r="375" spans="1:2" x14ac:dyDescent="0.25">
      <c r="A375" s="1" t="s">
        <v>8</v>
      </c>
      <c r="B375" s="8">
        <v>778942.91</v>
      </c>
    </row>
    <row r="376" spans="1:2" x14ac:dyDescent="0.25">
      <c r="A376" s="1" t="s">
        <v>9</v>
      </c>
      <c r="B376" s="8">
        <v>110758.45</v>
      </c>
    </row>
    <row r="377" spans="1:2" x14ac:dyDescent="0.25">
      <c r="A377" s="1" t="s">
        <v>10</v>
      </c>
      <c r="B377" s="8">
        <v>301966.59000000003</v>
      </c>
    </row>
    <row r="378" spans="1:2" x14ac:dyDescent="0.25">
      <c r="A378" s="1" t="s">
        <v>11</v>
      </c>
      <c r="B378" s="8">
        <v>407780.47</v>
      </c>
    </row>
    <row r="379" spans="1:2" x14ac:dyDescent="0.25">
      <c r="A379" s="1" t="s">
        <v>12</v>
      </c>
      <c r="B379" s="8">
        <v>198548.5</v>
      </c>
    </row>
    <row r="380" spans="1:2" x14ac:dyDescent="0.25">
      <c r="A380" s="1" t="s">
        <v>13</v>
      </c>
      <c r="B380" s="8">
        <v>176819</v>
      </c>
    </row>
    <row r="381" spans="1:2" x14ac:dyDescent="0.25">
      <c r="A381" s="1" t="s">
        <v>14</v>
      </c>
      <c r="B381" s="8">
        <v>12335</v>
      </c>
    </row>
    <row r="382" spans="1:2" x14ac:dyDescent="0.25">
      <c r="A382" s="1" t="s">
        <v>28</v>
      </c>
      <c r="B382" s="8">
        <v>17996</v>
      </c>
    </row>
    <row r="383" spans="1:2" x14ac:dyDescent="0.25">
      <c r="A383" s="1" t="s">
        <v>15</v>
      </c>
      <c r="B383" s="8">
        <v>238156.37</v>
      </c>
    </row>
    <row r="384" spans="1:2" x14ac:dyDescent="0.25">
      <c r="A384" s="1" t="s">
        <v>16</v>
      </c>
      <c r="B384" s="8">
        <v>150617.34</v>
      </c>
    </row>
    <row r="385" spans="1:2" x14ac:dyDescent="0.25">
      <c r="A385" s="1" t="s">
        <v>17</v>
      </c>
      <c r="B385" s="8">
        <v>721656.6</v>
      </c>
    </row>
    <row r="386" spans="1:2" x14ac:dyDescent="0.25">
      <c r="A386" s="1" t="s">
        <v>18</v>
      </c>
      <c r="B386" s="8">
        <v>127359.48</v>
      </c>
    </row>
    <row r="387" spans="1:2" x14ac:dyDescent="0.25">
      <c r="A387" s="1" t="s">
        <v>19</v>
      </c>
      <c r="B387" s="8">
        <v>698705.27</v>
      </c>
    </row>
    <row r="388" spans="1:2" x14ac:dyDescent="0.25">
      <c r="A388" s="1" t="s">
        <v>20</v>
      </c>
      <c r="B388" s="8">
        <v>6577.92</v>
      </c>
    </row>
    <row r="389" spans="1:2" x14ac:dyDescent="0.25">
      <c r="A389" s="1" t="s">
        <v>21</v>
      </c>
      <c r="B389" s="8">
        <v>1881.6</v>
      </c>
    </row>
    <row r="390" spans="1:2" x14ac:dyDescent="0.25">
      <c r="A390" s="1" t="s">
        <v>22</v>
      </c>
      <c r="B390" s="8">
        <v>193535.6</v>
      </c>
    </row>
    <row r="391" spans="1:2" x14ac:dyDescent="0.25">
      <c r="A391" s="1" t="s">
        <v>23</v>
      </c>
      <c r="B391" s="8">
        <v>114</v>
      </c>
    </row>
    <row r="392" spans="1:2" x14ac:dyDescent="0.25">
      <c r="A392" s="1" t="s">
        <v>24</v>
      </c>
      <c r="B392" s="8">
        <v>4468.2</v>
      </c>
    </row>
    <row r="393" spans="1:2" x14ac:dyDescent="0.25">
      <c r="A393" s="1" t="s">
        <v>25</v>
      </c>
      <c r="B393" s="8">
        <v>207416.08</v>
      </c>
    </row>
    <row r="394" spans="1:2" x14ac:dyDescent="0.25">
      <c r="A394" s="1" t="s">
        <v>26</v>
      </c>
      <c r="B394" s="8">
        <v>424705.39</v>
      </c>
    </row>
    <row r="395" spans="1:2" x14ac:dyDescent="0.25">
      <c r="A395" s="1" t="s">
        <v>27</v>
      </c>
      <c r="B395" s="8">
        <v>363894.68</v>
      </c>
    </row>
    <row r="396" spans="1:2" x14ac:dyDescent="0.25">
      <c r="A396" s="1" t="s">
        <v>2</v>
      </c>
      <c r="B396" s="8">
        <v>9156.36</v>
      </c>
    </row>
    <row r="397" spans="1:2" x14ac:dyDescent="0.25">
      <c r="A397" s="1" t="s">
        <v>3</v>
      </c>
      <c r="B397" s="8">
        <v>316567.18</v>
      </c>
    </row>
    <row r="398" spans="1:2" x14ac:dyDescent="0.25">
      <c r="A398" s="1" t="s">
        <v>4</v>
      </c>
      <c r="B398" s="8">
        <v>166826.54</v>
      </c>
    </row>
    <row r="399" spans="1:2" x14ac:dyDescent="0.25">
      <c r="A399" s="1" t="s">
        <v>5</v>
      </c>
      <c r="B399" s="8">
        <v>309</v>
      </c>
    </row>
    <row r="400" spans="1:2" x14ac:dyDescent="0.25">
      <c r="A400" s="1" t="s">
        <v>7</v>
      </c>
      <c r="B400" s="8">
        <v>216064.82</v>
      </c>
    </row>
    <row r="401" spans="1:2" x14ac:dyDescent="0.25">
      <c r="A401" s="1" t="s">
        <v>8</v>
      </c>
      <c r="B401" s="8">
        <v>792596.97</v>
      </c>
    </row>
    <row r="402" spans="1:2" x14ac:dyDescent="0.25">
      <c r="A402" s="1" t="s">
        <v>9</v>
      </c>
      <c r="B402" s="8">
        <v>144933.9</v>
      </c>
    </row>
    <row r="403" spans="1:2" x14ac:dyDescent="0.25">
      <c r="A403" s="1" t="s">
        <v>10</v>
      </c>
      <c r="B403" s="8">
        <v>337763.82</v>
      </c>
    </row>
    <row r="404" spans="1:2" x14ac:dyDescent="0.25">
      <c r="A404" s="1" t="s">
        <v>11</v>
      </c>
      <c r="B404" s="8">
        <v>427832.47</v>
      </c>
    </row>
    <row r="405" spans="1:2" x14ac:dyDescent="0.25">
      <c r="A405" s="1" t="s">
        <v>12</v>
      </c>
      <c r="B405" s="8">
        <v>195618.3</v>
      </c>
    </row>
    <row r="406" spans="1:2" x14ac:dyDescent="0.25">
      <c r="A406" s="1" t="s">
        <v>13</v>
      </c>
      <c r="B406" s="8">
        <v>170376</v>
      </c>
    </row>
    <row r="407" spans="1:2" x14ac:dyDescent="0.25">
      <c r="A407" s="1" t="s">
        <v>14</v>
      </c>
      <c r="B407" s="8">
        <v>14643.6</v>
      </c>
    </row>
    <row r="408" spans="1:2" x14ac:dyDescent="0.25">
      <c r="A408" s="1" t="s">
        <v>28</v>
      </c>
      <c r="B408" s="8">
        <v>15590</v>
      </c>
    </row>
    <row r="409" spans="1:2" x14ac:dyDescent="0.25">
      <c r="A409" s="1" t="s">
        <v>15</v>
      </c>
      <c r="B409" s="8">
        <v>223876.28</v>
      </c>
    </row>
    <row r="410" spans="1:2" x14ac:dyDescent="0.25">
      <c r="A410" s="1" t="s">
        <v>16</v>
      </c>
      <c r="B410" s="8">
        <v>118410.5</v>
      </c>
    </row>
    <row r="411" spans="1:2" x14ac:dyDescent="0.25">
      <c r="A411" s="1" t="s">
        <v>17</v>
      </c>
      <c r="B411" s="8">
        <v>895232.6</v>
      </c>
    </row>
    <row r="412" spans="1:2" x14ac:dyDescent="0.25">
      <c r="A412" s="1" t="s">
        <v>18</v>
      </c>
      <c r="B412" s="8">
        <v>182187.88</v>
      </c>
    </row>
    <row r="413" spans="1:2" x14ac:dyDescent="0.25">
      <c r="A413" s="1" t="s">
        <v>19</v>
      </c>
      <c r="B413" s="8">
        <v>938882.49</v>
      </c>
    </row>
    <row r="414" spans="1:2" x14ac:dyDescent="0.25">
      <c r="A414" s="1" t="s">
        <v>20</v>
      </c>
      <c r="B414" s="8">
        <v>12004.36</v>
      </c>
    </row>
    <row r="415" spans="1:2" x14ac:dyDescent="0.25">
      <c r="A415" s="1" t="s">
        <v>21</v>
      </c>
      <c r="B415" s="8">
        <v>4442.8999999999996</v>
      </c>
    </row>
    <row r="416" spans="1:2" x14ac:dyDescent="0.25">
      <c r="A416" s="1" t="s">
        <v>22</v>
      </c>
      <c r="B416" s="8">
        <v>192673.31</v>
      </c>
    </row>
    <row r="417" spans="1:2" x14ac:dyDescent="0.25">
      <c r="A417" s="1" t="s">
        <v>23</v>
      </c>
      <c r="B417" s="8">
        <v>171</v>
      </c>
    </row>
    <row r="418" spans="1:2" x14ac:dyDescent="0.25">
      <c r="A418" s="1" t="s">
        <v>24</v>
      </c>
      <c r="B418" s="8">
        <v>4003.72</v>
      </c>
    </row>
    <row r="419" spans="1:2" x14ac:dyDescent="0.25">
      <c r="A419" s="1" t="s">
        <v>25</v>
      </c>
      <c r="B419" s="8">
        <v>185523.78</v>
      </c>
    </row>
    <row r="420" spans="1:2" x14ac:dyDescent="0.25">
      <c r="A420" s="1" t="s">
        <v>26</v>
      </c>
      <c r="B420" s="8">
        <v>494779.37</v>
      </c>
    </row>
    <row r="421" spans="1:2" x14ac:dyDescent="0.25">
      <c r="A421" s="1" t="s">
        <v>27</v>
      </c>
      <c r="B421" s="8">
        <v>415778.08</v>
      </c>
    </row>
    <row r="422" spans="1:2" x14ac:dyDescent="0.25">
      <c r="A422" s="1" t="s">
        <v>2</v>
      </c>
      <c r="B422" s="8">
        <v>12194.75</v>
      </c>
    </row>
    <row r="423" spans="1:2" x14ac:dyDescent="0.25">
      <c r="A423" s="1" t="s">
        <v>3</v>
      </c>
      <c r="B423" s="8">
        <v>343114.38</v>
      </c>
    </row>
    <row r="424" spans="1:2" x14ac:dyDescent="0.25">
      <c r="A424" s="1" t="s">
        <v>4</v>
      </c>
      <c r="B424" s="8">
        <v>185118.94</v>
      </c>
    </row>
    <row r="425" spans="1:2" x14ac:dyDescent="0.25">
      <c r="A425" s="1" t="s">
        <v>5</v>
      </c>
      <c r="B425" s="8">
        <v>944</v>
      </c>
    </row>
    <row r="426" spans="1:2" x14ac:dyDescent="0.25">
      <c r="A426" s="1" t="s">
        <v>7</v>
      </c>
      <c r="B426" s="8">
        <v>204872.76</v>
      </c>
    </row>
    <row r="427" spans="1:2" x14ac:dyDescent="0.25">
      <c r="A427" s="1" t="s">
        <v>8</v>
      </c>
      <c r="B427" s="8">
        <v>1033466.7</v>
      </c>
    </row>
    <row r="428" spans="1:2" x14ac:dyDescent="0.25">
      <c r="A428" s="1" t="s">
        <v>9</v>
      </c>
      <c r="B428" s="8">
        <v>136715.56</v>
      </c>
    </row>
    <row r="429" spans="1:2" x14ac:dyDescent="0.25">
      <c r="A429" s="1" t="s">
        <v>10</v>
      </c>
      <c r="B429" s="8">
        <v>278397.03999999998</v>
      </c>
    </row>
    <row r="430" spans="1:2" x14ac:dyDescent="0.25">
      <c r="A430" s="1" t="s">
        <v>11</v>
      </c>
      <c r="B430" s="8">
        <v>606967.91</v>
      </c>
    </row>
    <row r="431" spans="1:2" x14ac:dyDescent="0.25">
      <c r="A431" s="1" t="s">
        <v>12</v>
      </c>
      <c r="B431" s="8">
        <v>272978.40000000002</v>
      </c>
    </row>
    <row r="432" spans="1:2" x14ac:dyDescent="0.25">
      <c r="A432" s="1" t="s">
        <v>13</v>
      </c>
      <c r="B432" s="8">
        <v>230473</v>
      </c>
    </row>
    <row r="433" spans="1:2" x14ac:dyDescent="0.25">
      <c r="A433" s="1" t="s">
        <v>14</v>
      </c>
      <c r="B433" s="8">
        <v>12756.8</v>
      </c>
    </row>
    <row r="434" spans="1:2" x14ac:dyDescent="0.25">
      <c r="A434" s="1" t="s">
        <v>28</v>
      </c>
      <c r="B434" s="8">
        <v>13114</v>
      </c>
    </row>
    <row r="435" spans="1:2" x14ac:dyDescent="0.25">
      <c r="A435" s="1" t="s">
        <v>15</v>
      </c>
      <c r="B435" s="8">
        <v>173195.48</v>
      </c>
    </row>
    <row r="436" spans="1:2" x14ac:dyDescent="0.25">
      <c r="A436" s="1" t="s">
        <v>16</v>
      </c>
      <c r="B436" s="8">
        <v>429398.65</v>
      </c>
    </row>
    <row r="437" spans="1:2" x14ac:dyDescent="0.25">
      <c r="A437" s="1" t="s">
        <v>17</v>
      </c>
      <c r="B437" s="8">
        <v>931616.79</v>
      </c>
    </row>
    <row r="438" spans="1:2" x14ac:dyDescent="0.25">
      <c r="A438" s="1" t="s">
        <v>18</v>
      </c>
      <c r="B438" s="8">
        <v>135498.78</v>
      </c>
    </row>
    <row r="439" spans="1:2" x14ac:dyDescent="0.25">
      <c r="A439" s="1" t="s">
        <v>19</v>
      </c>
      <c r="B439" s="8">
        <v>971682.3</v>
      </c>
    </row>
    <row r="440" spans="1:2" x14ac:dyDescent="0.25">
      <c r="A440" s="1" t="s">
        <v>20</v>
      </c>
      <c r="B440" s="8">
        <v>9552.25</v>
      </c>
    </row>
    <row r="441" spans="1:2" x14ac:dyDescent="0.25">
      <c r="A441" s="1" t="s">
        <v>22</v>
      </c>
      <c r="B441" s="8">
        <v>205397.37</v>
      </c>
    </row>
    <row r="442" spans="1:2" x14ac:dyDescent="0.25">
      <c r="A442" s="1" t="s">
        <v>23</v>
      </c>
      <c r="B442" s="8">
        <v>76</v>
      </c>
    </row>
    <row r="443" spans="1:2" x14ac:dyDescent="0.25">
      <c r="A443" s="1" t="s">
        <v>24</v>
      </c>
      <c r="B443" s="8">
        <v>1855.52</v>
      </c>
    </row>
    <row r="444" spans="1:2" x14ac:dyDescent="0.25">
      <c r="A444" s="1" t="s">
        <v>25</v>
      </c>
      <c r="B444" s="8">
        <v>248880.43</v>
      </c>
    </row>
    <row r="445" spans="1:2" x14ac:dyDescent="0.25">
      <c r="A445" s="1" t="s">
        <v>26</v>
      </c>
      <c r="B445" s="8">
        <v>511141.32</v>
      </c>
    </row>
    <row r="446" spans="1:2" x14ac:dyDescent="0.25">
      <c r="A446" s="1" t="s">
        <v>27</v>
      </c>
      <c r="B446" s="8">
        <v>452115.68</v>
      </c>
    </row>
    <row r="447" spans="1:2" x14ac:dyDescent="0.25">
      <c r="A447" s="1" t="s">
        <v>2</v>
      </c>
      <c r="B447" s="8">
        <v>11282.79</v>
      </c>
    </row>
    <row r="448" spans="1:2" x14ac:dyDescent="0.25">
      <c r="A448" s="1" t="s">
        <v>3</v>
      </c>
      <c r="B448" s="8">
        <v>497739.66</v>
      </c>
    </row>
    <row r="449" spans="1:2" x14ac:dyDescent="0.25">
      <c r="A449" s="1" t="s">
        <v>4</v>
      </c>
      <c r="B449" s="8">
        <v>289477.38</v>
      </c>
    </row>
    <row r="450" spans="1:2" x14ac:dyDescent="0.25">
      <c r="A450" s="1" t="s">
        <v>5</v>
      </c>
      <c r="B450" s="8">
        <v>2828</v>
      </c>
    </row>
    <row r="451" spans="1:2" x14ac:dyDescent="0.25">
      <c r="A451" s="1" t="s">
        <v>7</v>
      </c>
      <c r="B451" s="8">
        <v>233307.21</v>
      </c>
    </row>
    <row r="452" spans="1:2" x14ac:dyDescent="0.25">
      <c r="A452" s="1" t="s">
        <v>8</v>
      </c>
      <c r="B452" s="8">
        <v>872963.45</v>
      </c>
    </row>
    <row r="453" spans="1:2" x14ac:dyDescent="0.25">
      <c r="A453" s="1" t="s">
        <v>9</v>
      </c>
      <c r="B453" s="8">
        <v>203929.73</v>
      </c>
    </row>
    <row r="454" spans="1:2" x14ac:dyDescent="0.25">
      <c r="A454" s="1" t="s">
        <v>10</v>
      </c>
      <c r="B454" s="8">
        <v>277148.81</v>
      </c>
    </row>
    <row r="455" spans="1:2" x14ac:dyDescent="0.25">
      <c r="A455" s="1" t="s">
        <v>11</v>
      </c>
      <c r="B455" s="8">
        <v>1127346.18</v>
      </c>
    </row>
    <row r="456" spans="1:2" x14ac:dyDescent="0.25">
      <c r="A456" s="1" t="s">
        <v>12</v>
      </c>
      <c r="B456" s="8">
        <v>258119</v>
      </c>
    </row>
    <row r="457" spans="1:2" x14ac:dyDescent="0.25">
      <c r="A457" s="1" t="s">
        <v>13</v>
      </c>
      <c r="B457" s="8">
        <v>288686.99</v>
      </c>
    </row>
    <row r="458" spans="1:2" x14ac:dyDescent="0.25">
      <c r="A458" s="1" t="s">
        <v>14</v>
      </c>
      <c r="B458" s="8">
        <v>12744.2</v>
      </c>
    </row>
    <row r="459" spans="1:2" x14ac:dyDescent="0.25">
      <c r="A459" s="1" t="s">
        <v>28</v>
      </c>
      <c r="B459" s="8">
        <v>23767</v>
      </c>
    </row>
    <row r="460" spans="1:2" x14ac:dyDescent="0.25">
      <c r="A460" s="1" t="s">
        <v>15</v>
      </c>
      <c r="B460" s="8">
        <v>182498.01</v>
      </c>
    </row>
    <row r="461" spans="1:2" x14ac:dyDescent="0.25">
      <c r="A461" s="1" t="s">
        <v>16</v>
      </c>
      <c r="B461" s="8">
        <v>179471.63</v>
      </c>
    </row>
    <row r="462" spans="1:2" x14ac:dyDescent="0.25">
      <c r="A462" s="1" t="s">
        <v>17</v>
      </c>
      <c r="B462" s="8">
        <v>1079538.23</v>
      </c>
    </row>
    <row r="463" spans="1:2" x14ac:dyDescent="0.25">
      <c r="A463" s="1" t="s">
        <v>18</v>
      </c>
      <c r="B463" s="8">
        <v>161436.32</v>
      </c>
    </row>
    <row r="464" spans="1:2" x14ac:dyDescent="0.25">
      <c r="A464" s="1" t="s">
        <v>19</v>
      </c>
      <c r="B464" s="8">
        <v>1189403.76</v>
      </c>
    </row>
    <row r="465" spans="1:2" x14ac:dyDescent="0.25">
      <c r="A465" s="1" t="s">
        <v>20</v>
      </c>
      <c r="B465" s="8">
        <v>12711.82</v>
      </c>
    </row>
    <row r="466" spans="1:2" x14ac:dyDescent="0.25">
      <c r="A466" s="1" t="s">
        <v>22</v>
      </c>
      <c r="B466" s="8">
        <v>230239.51</v>
      </c>
    </row>
    <row r="467" spans="1:2" x14ac:dyDescent="0.25">
      <c r="A467" s="1" t="s">
        <v>23</v>
      </c>
      <c r="B467" s="8">
        <v>57</v>
      </c>
    </row>
    <row r="468" spans="1:2" x14ac:dyDescent="0.25">
      <c r="A468" s="1" t="s">
        <v>24</v>
      </c>
      <c r="B468" s="8">
        <v>4426.96</v>
      </c>
    </row>
    <row r="469" spans="1:2" x14ac:dyDescent="0.25">
      <c r="A469" s="1" t="s">
        <v>25</v>
      </c>
      <c r="B469" s="8">
        <v>658028.68000000005</v>
      </c>
    </row>
    <row r="470" spans="1:2" x14ac:dyDescent="0.25">
      <c r="A470" s="1" t="s">
        <v>26</v>
      </c>
      <c r="B470" s="8">
        <v>665707.81000000006</v>
      </c>
    </row>
    <row r="471" spans="1:2" x14ac:dyDescent="0.25">
      <c r="A471" s="1" t="s">
        <v>27</v>
      </c>
      <c r="B471" s="8">
        <v>742660.17</v>
      </c>
    </row>
    <row r="472" spans="1:2" x14ac:dyDescent="0.25">
      <c r="A472" s="1" t="s">
        <v>2</v>
      </c>
      <c r="B472" s="8">
        <v>7597.54</v>
      </c>
    </row>
    <row r="473" spans="1:2" x14ac:dyDescent="0.25">
      <c r="A473" s="1" t="s">
        <v>3</v>
      </c>
      <c r="B473" s="8">
        <v>759887.52</v>
      </c>
    </row>
    <row r="474" spans="1:2" x14ac:dyDescent="0.25">
      <c r="A474" s="1" t="s">
        <v>4</v>
      </c>
      <c r="B474" s="8">
        <v>367371.79</v>
      </c>
    </row>
    <row r="475" spans="1:2" x14ac:dyDescent="0.25">
      <c r="A475" s="1" t="s">
        <v>5</v>
      </c>
      <c r="B475" s="8">
        <v>810</v>
      </c>
    </row>
    <row r="476" spans="1:2" x14ac:dyDescent="0.25">
      <c r="A476" s="1" t="s">
        <v>6</v>
      </c>
      <c r="B476" s="8">
        <v>3146</v>
      </c>
    </row>
    <row r="477" spans="1:2" x14ac:dyDescent="0.25">
      <c r="A477" s="1" t="s">
        <v>7</v>
      </c>
      <c r="B477" s="8">
        <v>260793.32</v>
      </c>
    </row>
    <row r="478" spans="1:2" x14ac:dyDescent="0.25">
      <c r="A478" s="1" t="s">
        <v>8</v>
      </c>
      <c r="B478" s="8">
        <v>1020691.45</v>
      </c>
    </row>
    <row r="479" spans="1:2" x14ac:dyDescent="0.25">
      <c r="A479" s="1" t="s">
        <v>9</v>
      </c>
      <c r="B479" s="8">
        <v>252487.49</v>
      </c>
    </row>
    <row r="480" spans="1:2" x14ac:dyDescent="0.25">
      <c r="A480" s="1" t="s">
        <v>10</v>
      </c>
      <c r="B480" s="8">
        <v>308180.07</v>
      </c>
    </row>
    <row r="481" spans="1:2" x14ac:dyDescent="0.25">
      <c r="A481" s="1" t="s">
        <v>11</v>
      </c>
      <c r="B481" s="8">
        <v>1225095.8899999999</v>
      </c>
    </row>
    <row r="482" spans="1:2" x14ac:dyDescent="0.25">
      <c r="A482" s="1" t="s">
        <v>12</v>
      </c>
      <c r="B482" s="8">
        <v>362933.6</v>
      </c>
    </row>
    <row r="483" spans="1:2" x14ac:dyDescent="0.25">
      <c r="A483" s="1" t="s">
        <v>13</v>
      </c>
      <c r="B483" s="8">
        <v>360076.99</v>
      </c>
    </row>
    <row r="484" spans="1:2" x14ac:dyDescent="0.25">
      <c r="A484" s="1" t="s">
        <v>14</v>
      </c>
      <c r="B484" s="8">
        <v>28312.400000000001</v>
      </c>
    </row>
    <row r="485" spans="1:2" x14ac:dyDescent="0.25">
      <c r="A485" s="1" t="s">
        <v>28</v>
      </c>
      <c r="B485" s="8">
        <v>24727</v>
      </c>
    </row>
    <row r="486" spans="1:2" x14ac:dyDescent="0.25">
      <c r="A486" s="1" t="s">
        <v>15</v>
      </c>
      <c r="B486" s="8">
        <v>340516.19</v>
      </c>
    </row>
    <row r="487" spans="1:2" x14ac:dyDescent="0.25">
      <c r="A487" s="1" t="s">
        <v>16</v>
      </c>
      <c r="B487" s="8">
        <v>294214.40000000002</v>
      </c>
    </row>
    <row r="488" spans="1:2" x14ac:dyDescent="0.25">
      <c r="A488" s="1" t="s">
        <v>17</v>
      </c>
      <c r="B488" s="8">
        <v>1335561.72</v>
      </c>
    </row>
    <row r="489" spans="1:2" x14ac:dyDescent="0.25">
      <c r="A489" s="1" t="s">
        <v>18</v>
      </c>
      <c r="B489" s="8">
        <v>243986.62</v>
      </c>
    </row>
    <row r="490" spans="1:2" x14ac:dyDescent="0.25">
      <c r="A490" s="1" t="s">
        <v>19</v>
      </c>
      <c r="B490" s="8">
        <v>1530877.08</v>
      </c>
    </row>
    <row r="491" spans="1:2" x14ac:dyDescent="0.25">
      <c r="A491" s="1" t="s">
        <v>20</v>
      </c>
      <c r="B491" s="8">
        <v>16379.07</v>
      </c>
    </row>
    <row r="492" spans="1:2" x14ac:dyDescent="0.25">
      <c r="A492" s="1" t="s">
        <v>22</v>
      </c>
      <c r="B492" s="8">
        <v>263232.17</v>
      </c>
    </row>
    <row r="493" spans="1:2" x14ac:dyDescent="0.25">
      <c r="A493" s="1" t="s">
        <v>23</v>
      </c>
      <c r="B493" s="8">
        <v>76</v>
      </c>
    </row>
    <row r="494" spans="1:2" x14ac:dyDescent="0.25">
      <c r="A494" s="1" t="s">
        <v>24</v>
      </c>
      <c r="B494" s="8">
        <v>5509.84</v>
      </c>
    </row>
    <row r="495" spans="1:2" x14ac:dyDescent="0.25">
      <c r="A495" s="1" t="s">
        <v>25</v>
      </c>
      <c r="B495" s="8">
        <v>511439.23</v>
      </c>
    </row>
    <row r="496" spans="1:2" x14ac:dyDescent="0.25">
      <c r="A496" s="1" t="s">
        <v>26</v>
      </c>
      <c r="B496" s="8">
        <v>673269.74</v>
      </c>
    </row>
    <row r="497" spans="1:2" x14ac:dyDescent="0.25">
      <c r="A497" s="1" t="s">
        <v>27</v>
      </c>
      <c r="B497" s="8">
        <v>518354.72</v>
      </c>
    </row>
    <row r="498" spans="1:2" x14ac:dyDescent="0.25">
      <c r="A498" s="1" t="s">
        <v>2</v>
      </c>
      <c r="B498" s="8">
        <v>18839.04</v>
      </c>
    </row>
    <row r="499" spans="1:2" x14ac:dyDescent="0.25">
      <c r="A499" s="1" t="s">
        <v>3</v>
      </c>
      <c r="B499" s="8">
        <v>893727.88</v>
      </c>
    </row>
    <row r="500" spans="1:2" x14ac:dyDescent="0.25">
      <c r="A500" s="1" t="s">
        <v>4</v>
      </c>
      <c r="B500" s="8">
        <v>279100.08</v>
      </c>
    </row>
    <row r="501" spans="1:2" x14ac:dyDescent="0.25">
      <c r="A501" s="1" t="s">
        <v>5</v>
      </c>
      <c r="B501" s="8">
        <v>6321</v>
      </c>
    </row>
    <row r="502" spans="1:2" x14ac:dyDescent="0.25">
      <c r="A502" s="1" t="s">
        <v>7</v>
      </c>
      <c r="B502" s="8">
        <v>308606.53999999998</v>
      </c>
    </row>
    <row r="503" spans="1:2" x14ac:dyDescent="0.25">
      <c r="A503" s="1" t="s">
        <v>8</v>
      </c>
      <c r="B503" s="8">
        <v>1031960.57</v>
      </c>
    </row>
    <row r="504" spans="1:2" x14ac:dyDescent="0.25">
      <c r="A504" s="1" t="s">
        <v>9</v>
      </c>
      <c r="B504" s="8">
        <v>298713.46999999997</v>
      </c>
    </row>
    <row r="505" spans="1:2" x14ac:dyDescent="0.25">
      <c r="A505" s="1" t="s">
        <v>10</v>
      </c>
      <c r="B505" s="8">
        <v>373267.19</v>
      </c>
    </row>
    <row r="506" spans="1:2" x14ac:dyDescent="0.25">
      <c r="A506" s="1" t="s">
        <v>11</v>
      </c>
      <c r="B506" s="8">
        <v>944689.98</v>
      </c>
    </row>
    <row r="507" spans="1:2" x14ac:dyDescent="0.25">
      <c r="A507" s="1" t="s">
        <v>12</v>
      </c>
      <c r="B507" s="8">
        <v>453565.72</v>
      </c>
    </row>
    <row r="508" spans="1:2" x14ac:dyDescent="0.25">
      <c r="A508" s="1" t="s">
        <v>13</v>
      </c>
      <c r="B508" s="8">
        <v>346911.93</v>
      </c>
    </row>
    <row r="509" spans="1:2" x14ac:dyDescent="0.25">
      <c r="A509" s="1" t="s">
        <v>14</v>
      </c>
      <c r="B509" s="8">
        <v>7532.2</v>
      </c>
    </row>
    <row r="510" spans="1:2" x14ac:dyDescent="0.25">
      <c r="A510" s="1" t="s">
        <v>28</v>
      </c>
      <c r="B510" s="8">
        <v>34328</v>
      </c>
    </row>
    <row r="511" spans="1:2" x14ac:dyDescent="0.25">
      <c r="A511" s="1" t="s">
        <v>15</v>
      </c>
      <c r="B511" s="8">
        <v>402317</v>
      </c>
    </row>
    <row r="512" spans="1:2" x14ac:dyDescent="0.25">
      <c r="A512" s="1" t="s">
        <v>16</v>
      </c>
      <c r="B512" s="8">
        <v>272899.59000000003</v>
      </c>
    </row>
    <row r="513" spans="1:2" x14ac:dyDescent="0.25">
      <c r="A513" s="1" t="s">
        <v>17</v>
      </c>
      <c r="B513" s="8">
        <v>1420366.08</v>
      </c>
    </row>
    <row r="514" spans="1:2" x14ac:dyDescent="0.25">
      <c r="A514" s="1" t="s">
        <v>18</v>
      </c>
      <c r="B514" s="8">
        <v>235634.62</v>
      </c>
    </row>
    <row r="515" spans="1:2" x14ac:dyDescent="0.25">
      <c r="A515" s="1" t="s">
        <v>19</v>
      </c>
      <c r="B515" s="8">
        <v>1768747.25</v>
      </c>
    </row>
    <row r="516" spans="1:2" x14ac:dyDescent="0.25">
      <c r="A516" s="1" t="s">
        <v>20</v>
      </c>
      <c r="B516" s="8">
        <v>21924.91</v>
      </c>
    </row>
    <row r="517" spans="1:2" x14ac:dyDescent="0.25">
      <c r="A517" s="1" t="s">
        <v>22</v>
      </c>
      <c r="B517" s="8">
        <v>292852.88</v>
      </c>
    </row>
    <row r="518" spans="1:2" x14ac:dyDescent="0.25">
      <c r="A518" s="1" t="s">
        <v>23</v>
      </c>
      <c r="B518" s="8">
        <v>247</v>
      </c>
    </row>
    <row r="519" spans="1:2" x14ac:dyDescent="0.25">
      <c r="A519" s="1" t="s">
        <v>24</v>
      </c>
      <c r="B519" s="8">
        <v>4738.2</v>
      </c>
    </row>
    <row r="520" spans="1:2" x14ac:dyDescent="0.25">
      <c r="A520" s="1" t="s">
        <v>25</v>
      </c>
      <c r="B520" s="8">
        <v>665856.37</v>
      </c>
    </row>
    <row r="521" spans="1:2" x14ac:dyDescent="0.25">
      <c r="A521" s="1" t="s">
        <v>26</v>
      </c>
      <c r="B521" s="8">
        <v>755946.89</v>
      </c>
    </row>
    <row r="522" spans="1:2" x14ac:dyDescent="0.25">
      <c r="A522" s="1" t="s">
        <v>27</v>
      </c>
      <c r="B522" s="8">
        <v>703370.01</v>
      </c>
    </row>
    <row r="523" spans="1:2" x14ac:dyDescent="0.25">
      <c r="A523" s="1" t="s">
        <v>2</v>
      </c>
      <c r="B523" s="8">
        <v>10591.54</v>
      </c>
    </row>
    <row r="524" spans="1:2" x14ac:dyDescent="0.25">
      <c r="A524" s="1" t="s">
        <v>3</v>
      </c>
      <c r="B524" s="8">
        <v>884177.57</v>
      </c>
    </row>
    <row r="525" spans="1:2" x14ac:dyDescent="0.25">
      <c r="A525" s="1" t="s">
        <v>4</v>
      </c>
      <c r="B525" s="8">
        <v>239654.75</v>
      </c>
    </row>
    <row r="526" spans="1:2" x14ac:dyDescent="0.25">
      <c r="A526" s="1" t="s">
        <v>5</v>
      </c>
      <c r="B526" s="8">
        <v>1130</v>
      </c>
    </row>
    <row r="527" spans="1:2" x14ac:dyDescent="0.25">
      <c r="A527" s="1" t="s">
        <v>7</v>
      </c>
      <c r="B527" s="8">
        <v>266129.27</v>
      </c>
    </row>
    <row r="528" spans="1:2" x14ac:dyDescent="0.25">
      <c r="A528" s="1" t="s">
        <v>8</v>
      </c>
      <c r="B528" s="8">
        <v>908353.92</v>
      </c>
    </row>
    <row r="529" spans="1:2" x14ac:dyDescent="0.25">
      <c r="A529" s="1" t="s">
        <v>9</v>
      </c>
      <c r="B529" s="8">
        <v>221327.7</v>
      </c>
    </row>
    <row r="530" spans="1:2" x14ac:dyDescent="0.25">
      <c r="A530" s="1" t="s">
        <v>10</v>
      </c>
      <c r="B530" s="8">
        <v>307370.32</v>
      </c>
    </row>
    <row r="531" spans="1:2" x14ac:dyDescent="0.25">
      <c r="A531" s="1" t="s">
        <v>11</v>
      </c>
      <c r="B531" s="8">
        <v>984477.5</v>
      </c>
    </row>
    <row r="532" spans="1:2" x14ac:dyDescent="0.25">
      <c r="A532" s="1" t="s">
        <v>12</v>
      </c>
      <c r="B532" s="8">
        <v>395637.34</v>
      </c>
    </row>
    <row r="533" spans="1:2" x14ac:dyDescent="0.25">
      <c r="A533" s="1" t="s">
        <v>13</v>
      </c>
      <c r="B533" s="8">
        <v>339083.05</v>
      </c>
    </row>
    <row r="534" spans="1:2" x14ac:dyDescent="0.25">
      <c r="A534" s="1" t="s">
        <v>14</v>
      </c>
      <c r="B534" s="8">
        <v>36595.4</v>
      </c>
    </row>
    <row r="535" spans="1:2" x14ac:dyDescent="0.25">
      <c r="A535" s="1" t="s">
        <v>28</v>
      </c>
      <c r="B535" s="8">
        <v>15100</v>
      </c>
    </row>
    <row r="536" spans="1:2" x14ac:dyDescent="0.25">
      <c r="A536" s="1" t="s">
        <v>15</v>
      </c>
      <c r="B536" s="8">
        <v>238100.77</v>
      </c>
    </row>
    <row r="537" spans="1:2" x14ac:dyDescent="0.25">
      <c r="A537" s="1" t="s">
        <v>16</v>
      </c>
      <c r="B537" s="8">
        <v>262879.93</v>
      </c>
    </row>
    <row r="538" spans="1:2" x14ac:dyDescent="0.25">
      <c r="A538" s="1" t="s">
        <v>17</v>
      </c>
      <c r="B538" s="8">
        <v>1191606.2</v>
      </c>
    </row>
    <row r="539" spans="1:2" x14ac:dyDescent="0.25">
      <c r="A539" s="1" t="s">
        <v>18</v>
      </c>
      <c r="B539" s="8">
        <v>178304.62</v>
      </c>
    </row>
    <row r="540" spans="1:2" x14ac:dyDescent="0.25">
      <c r="A540" s="1" t="s">
        <v>19</v>
      </c>
      <c r="B540" s="8">
        <v>1491153.16</v>
      </c>
    </row>
    <row r="541" spans="1:2" x14ac:dyDescent="0.25">
      <c r="A541" s="1" t="s">
        <v>20</v>
      </c>
      <c r="B541" s="8">
        <v>11291.36</v>
      </c>
    </row>
    <row r="542" spans="1:2" x14ac:dyDescent="0.25">
      <c r="A542" s="1" t="s">
        <v>22</v>
      </c>
      <c r="B542" s="8">
        <v>283782.40999999997</v>
      </c>
    </row>
    <row r="543" spans="1:2" x14ac:dyDescent="0.25">
      <c r="A543" s="1" t="s">
        <v>23</v>
      </c>
      <c r="B543" s="8">
        <v>418</v>
      </c>
    </row>
    <row r="544" spans="1:2" x14ac:dyDescent="0.25">
      <c r="A544" s="1" t="s">
        <v>24</v>
      </c>
      <c r="B544" s="8">
        <v>10092.6</v>
      </c>
    </row>
    <row r="545" spans="1:2" x14ac:dyDescent="0.25">
      <c r="A545" s="1" t="s">
        <v>25</v>
      </c>
      <c r="B545" s="8">
        <v>567165.23</v>
      </c>
    </row>
    <row r="546" spans="1:2" x14ac:dyDescent="0.25">
      <c r="A546" s="1" t="s">
        <v>26</v>
      </c>
      <c r="B546" s="8">
        <v>580202.93999999994</v>
      </c>
    </row>
    <row r="547" spans="1:2" x14ac:dyDescent="0.25">
      <c r="A547" s="1" t="s">
        <v>27</v>
      </c>
      <c r="B547" s="8">
        <v>651129.53</v>
      </c>
    </row>
    <row r="548" spans="1:2" x14ac:dyDescent="0.25">
      <c r="A548" s="1" t="s">
        <v>2</v>
      </c>
      <c r="B548" s="8">
        <v>8426</v>
      </c>
    </row>
    <row r="549" spans="1:2" x14ac:dyDescent="0.25">
      <c r="A549" s="1" t="s">
        <v>3</v>
      </c>
      <c r="B549" s="8">
        <v>823759.51</v>
      </c>
    </row>
    <row r="550" spans="1:2" x14ac:dyDescent="0.25">
      <c r="A550" s="1" t="s">
        <v>4</v>
      </c>
      <c r="B550" s="8">
        <v>248279.18</v>
      </c>
    </row>
    <row r="551" spans="1:2" x14ac:dyDescent="0.25">
      <c r="A551" s="1" t="s">
        <v>5</v>
      </c>
      <c r="B551" s="8">
        <v>944</v>
      </c>
    </row>
    <row r="552" spans="1:2" x14ac:dyDescent="0.25">
      <c r="A552" s="1" t="s">
        <v>7</v>
      </c>
      <c r="B552" s="8">
        <v>131850.44</v>
      </c>
    </row>
    <row r="553" spans="1:2" x14ac:dyDescent="0.25">
      <c r="A553" s="1" t="s">
        <v>8</v>
      </c>
      <c r="B553" s="8">
        <v>486847.37</v>
      </c>
    </row>
    <row r="554" spans="1:2" x14ac:dyDescent="0.25">
      <c r="A554" s="1" t="s">
        <v>9</v>
      </c>
      <c r="B554" s="8">
        <v>138057.42000000001</v>
      </c>
    </row>
    <row r="555" spans="1:2" x14ac:dyDescent="0.25">
      <c r="A555" s="1" t="s">
        <v>10</v>
      </c>
      <c r="B555" s="8">
        <v>197673.04</v>
      </c>
    </row>
    <row r="556" spans="1:2" x14ac:dyDescent="0.25">
      <c r="A556" s="1" t="s">
        <v>11</v>
      </c>
      <c r="B556" s="8">
        <v>769295.95</v>
      </c>
    </row>
    <row r="557" spans="1:2" x14ac:dyDescent="0.25">
      <c r="A557" s="1" t="s">
        <v>12</v>
      </c>
      <c r="B557" s="8">
        <v>321835.76</v>
      </c>
    </row>
    <row r="558" spans="1:2" x14ac:dyDescent="0.25">
      <c r="A558" s="1" t="s">
        <v>13</v>
      </c>
      <c r="B558" s="8">
        <v>309525.01</v>
      </c>
    </row>
    <row r="559" spans="1:2" x14ac:dyDescent="0.25">
      <c r="A559" s="1" t="s">
        <v>14</v>
      </c>
      <c r="B559" s="8">
        <v>29137</v>
      </c>
    </row>
    <row r="560" spans="1:2" x14ac:dyDescent="0.25">
      <c r="A560" s="1" t="s">
        <v>28</v>
      </c>
      <c r="B560" s="8">
        <v>10199</v>
      </c>
    </row>
    <row r="561" spans="1:2" x14ac:dyDescent="0.25">
      <c r="A561" s="1" t="s">
        <v>15</v>
      </c>
      <c r="B561" s="8">
        <v>113050.34</v>
      </c>
    </row>
    <row r="562" spans="1:2" x14ac:dyDescent="0.25">
      <c r="A562" s="1" t="s">
        <v>16</v>
      </c>
      <c r="B562" s="8">
        <v>169167.22</v>
      </c>
    </row>
    <row r="563" spans="1:2" x14ac:dyDescent="0.25">
      <c r="A563" s="1" t="s">
        <v>17</v>
      </c>
      <c r="B563" s="8">
        <v>790987.71</v>
      </c>
    </row>
    <row r="564" spans="1:2" x14ac:dyDescent="0.25">
      <c r="A564" s="1" t="s">
        <v>18</v>
      </c>
      <c r="B564" s="8">
        <v>78253.98</v>
      </c>
    </row>
    <row r="565" spans="1:2" x14ac:dyDescent="0.25">
      <c r="A565" s="1" t="s">
        <v>19</v>
      </c>
      <c r="B565" s="8">
        <v>911380.59</v>
      </c>
    </row>
    <row r="566" spans="1:2" x14ac:dyDescent="0.25">
      <c r="A566" s="1" t="s">
        <v>20</v>
      </c>
      <c r="B566" s="8">
        <v>7715.41</v>
      </c>
    </row>
    <row r="567" spans="1:2" x14ac:dyDescent="0.25">
      <c r="A567" s="1" t="s">
        <v>22</v>
      </c>
      <c r="B567" s="8">
        <v>235649.36</v>
      </c>
    </row>
    <row r="568" spans="1:2" x14ac:dyDescent="0.25">
      <c r="A568" s="1" t="s">
        <v>24</v>
      </c>
      <c r="B568" s="8">
        <v>2140</v>
      </c>
    </row>
    <row r="569" spans="1:2" x14ac:dyDescent="0.25">
      <c r="A569" s="1" t="s">
        <v>25</v>
      </c>
      <c r="B569" s="8">
        <v>433151.35</v>
      </c>
    </row>
    <row r="570" spans="1:2" x14ac:dyDescent="0.25">
      <c r="A570" s="1" t="s">
        <v>26</v>
      </c>
      <c r="B570" s="8">
        <v>402300.75</v>
      </c>
    </row>
    <row r="571" spans="1:2" x14ac:dyDescent="0.25">
      <c r="A571" s="1" t="s">
        <v>27</v>
      </c>
      <c r="B571" s="8">
        <v>365403.97</v>
      </c>
    </row>
    <row r="572" spans="1:2" x14ac:dyDescent="0.25">
      <c r="A572" s="1" t="s">
        <v>2</v>
      </c>
      <c r="B572" s="8">
        <v>5242.43</v>
      </c>
    </row>
    <row r="573" spans="1:2" x14ac:dyDescent="0.25">
      <c r="A573" s="1" t="s">
        <v>3</v>
      </c>
      <c r="B573" s="8">
        <v>165226.70000000001</v>
      </c>
    </row>
    <row r="574" spans="1:2" x14ac:dyDescent="0.25">
      <c r="A574" s="1" t="s">
        <v>4</v>
      </c>
      <c r="B574" s="8">
        <v>78546.89</v>
      </c>
    </row>
    <row r="575" spans="1:2" x14ac:dyDescent="0.25">
      <c r="A575" s="1" t="s">
        <v>5</v>
      </c>
      <c r="B575" s="8">
        <v>1766</v>
      </c>
    </row>
    <row r="576" spans="1:2" x14ac:dyDescent="0.25">
      <c r="A576" s="1" t="s">
        <v>6</v>
      </c>
      <c r="B576" s="8">
        <v>1760</v>
      </c>
    </row>
    <row r="577" spans="1:2" x14ac:dyDescent="0.25">
      <c r="A577" s="1" t="s">
        <v>7</v>
      </c>
      <c r="B577" s="8">
        <v>118110.27</v>
      </c>
    </row>
    <row r="578" spans="1:2" x14ac:dyDescent="0.25">
      <c r="A578" s="1" t="s">
        <v>8</v>
      </c>
      <c r="B578" s="8">
        <v>507303.73</v>
      </c>
    </row>
    <row r="579" spans="1:2" x14ac:dyDescent="0.25">
      <c r="A579" s="1" t="s">
        <v>9</v>
      </c>
      <c r="B579" s="8">
        <v>89732.800000000003</v>
      </c>
    </row>
    <row r="580" spans="1:2" x14ac:dyDescent="0.25">
      <c r="A580" s="1" t="s">
        <v>10</v>
      </c>
      <c r="B580" s="8">
        <v>166634.54999999999</v>
      </c>
    </row>
    <row r="581" spans="1:2" x14ac:dyDescent="0.25">
      <c r="A581" s="1" t="s">
        <v>11</v>
      </c>
      <c r="B581" s="8">
        <v>224477</v>
      </c>
    </row>
    <row r="582" spans="1:2" x14ac:dyDescent="0.25">
      <c r="A582" s="1" t="s">
        <v>12</v>
      </c>
      <c r="B582" s="8">
        <v>165012.18</v>
      </c>
    </row>
    <row r="583" spans="1:2" x14ac:dyDescent="0.25">
      <c r="A583" s="1" t="s">
        <v>13</v>
      </c>
      <c r="B583" s="8">
        <v>130803.98</v>
      </c>
    </row>
    <row r="584" spans="1:2" x14ac:dyDescent="0.25">
      <c r="A584" s="1" t="s">
        <v>14</v>
      </c>
      <c r="B584" s="8">
        <v>12133.8</v>
      </c>
    </row>
    <row r="585" spans="1:2" x14ac:dyDescent="0.25">
      <c r="A585" s="1" t="s">
        <v>28</v>
      </c>
      <c r="B585" s="8">
        <v>5663.53</v>
      </c>
    </row>
    <row r="586" spans="1:2" x14ac:dyDescent="0.25">
      <c r="A586" s="1" t="s">
        <v>15</v>
      </c>
      <c r="B586" s="8">
        <v>91886.61</v>
      </c>
    </row>
    <row r="587" spans="1:2" x14ac:dyDescent="0.25">
      <c r="A587" s="1" t="s">
        <v>16</v>
      </c>
      <c r="B587" s="8">
        <v>61025.31</v>
      </c>
    </row>
    <row r="588" spans="1:2" x14ac:dyDescent="0.25">
      <c r="A588" s="1" t="s">
        <v>17</v>
      </c>
      <c r="B588" s="8">
        <v>633274.31999999995</v>
      </c>
    </row>
    <row r="589" spans="1:2" x14ac:dyDescent="0.25">
      <c r="A589" s="1" t="s">
        <v>18</v>
      </c>
      <c r="B589" s="8">
        <v>46700.07</v>
      </c>
    </row>
    <row r="590" spans="1:2" x14ac:dyDescent="0.25">
      <c r="A590" s="1" t="s">
        <v>19</v>
      </c>
      <c r="B590" s="8">
        <v>550172.62</v>
      </c>
    </row>
    <row r="591" spans="1:2" x14ac:dyDescent="0.25">
      <c r="A591" s="1" t="s">
        <v>20</v>
      </c>
      <c r="B591" s="8">
        <v>10811.04</v>
      </c>
    </row>
    <row r="592" spans="1:2" x14ac:dyDescent="0.25">
      <c r="A592" s="1" t="s">
        <v>22</v>
      </c>
      <c r="B592" s="8">
        <v>161290.73000000001</v>
      </c>
    </row>
    <row r="593" spans="1:2" x14ac:dyDescent="0.25">
      <c r="A593" s="1" t="s">
        <v>23</v>
      </c>
      <c r="B593" s="8">
        <v>76</v>
      </c>
    </row>
    <row r="594" spans="1:2" x14ac:dyDescent="0.25">
      <c r="A594" s="1" t="s">
        <v>24</v>
      </c>
      <c r="B594" s="8">
        <v>3222.76</v>
      </c>
    </row>
    <row r="595" spans="1:2" x14ac:dyDescent="0.25">
      <c r="A595" s="1" t="s">
        <v>25</v>
      </c>
      <c r="B595" s="8">
        <v>164779.69</v>
      </c>
    </row>
    <row r="596" spans="1:2" x14ac:dyDescent="0.25">
      <c r="A596" s="1" t="s">
        <v>26</v>
      </c>
      <c r="B596" s="8">
        <v>342734.27</v>
      </c>
    </row>
    <row r="597" spans="1:2" x14ac:dyDescent="0.25">
      <c r="A597" s="1" t="s">
        <v>27</v>
      </c>
      <c r="B597" s="8">
        <v>278539.59999999998</v>
      </c>
    </row>
    <row r="598" spans="1:2" x14ac:dyDescent="0.25">
      <c r="A598" s="1" t="s">
        <v>2</v>
      </c>
      <c r="B598" s="8">
        <v>8424.9500000000007</v>
      </c>
    </row>
    <row r="599" spans="1:2" x14ac:dyDescent="0.25">
      <c r="A599" s="1" t="s">
        <v>3</v>
      </c>
      <c r="B599" s="8">
        <v>182760.27</v>
      </c>
    </row>
    <row r="600" spans="1:2" x14ac:dyDescent="0.25">
      <c r="A600" s="1" t="s">
        <v>4</v>
      </c>
      <c r="B600" s="8">
        <v>54611.24</v>
      </c>
    </row>
    <row r="601" spans="1:2" x14ac:dyDescent="0.25">
      <c r="A601" s="1" t="s">
        <v>7</v>
      </c>
      <c r="B601" s="8">
        <v>177154.64</v>
      </c>
    </row>
    <row r="602" spans="1:2" x14ac:dyDescent="0.25">
      <c r="A602" s="1" t="s">
        <v>8</v>
      </c>
      <c r="B602" s="8">
        <v>717239.49</v>
      </c>
    </row>
    <row r="603" spans="1:2" x14ac:dyDescent="0.25">
      <c r="A603" s="1" t="s">
        <v>9</v>
      </c>
      <c r="B603" s="8">
        <v>95300</v>
      </c>
    </row>
    <row r="604" spans="1:2" x14ac:dyDescent="0.25">
      <c r="A604" s="1" t="s">
        <v>10</v>
      </c>
      <c r="B604" s="8">
        <v>301641.39</v>
      </c>
    </row>
    <row r="605" spans="1:2" x14ac:dyDescent="0.25">
      <c r="A605" s="1" t="s">
        <v>11</v>
      </c>
      <c r="B605" s="8">
        <v>317141.46999999997</v>
      </c>
    </row>
    <row r="606" spans="1:2" x14ac:dyDescent="0.25">
      <c r="A606" s="1" t="s">
        <v>12</v>
      </c>
      <c r="B606" s="8">
        <v>150426</v>
      </c>
    </row>
    <row r="607" spans="1:2" x14ac:dyDescent="0.25">
      <c r="A607" s="1" t="s">
        <v>13</v>
      </c>
      <c r="B607" s="8">
        <v>154565.48000000001</v>
      </c>
    </row>
    <row r="608" spans="1:2" x14ac:dyDescent="0.25">
      <c r="A608" s="1" t="s">
        <v>14</v>
      </c>
      <c r="B608" s="8">
        <v>18797.8</v>
      </c>
    </row>
    <row r="609" spans="1:2" x14ac:dyDescent="0.25">
      <c r="A609" s="1" t="s">
        <v>28</v>
      </c>
      <c r="B609" s="8">
        <v>12254</v>
      </c>
    </row>
    <row r="610" spans="1:2" x14ac:dyDescent="0.25">
      <c r="A610" s="1" t="s">
        <v>15</v>
      </c>
      <c r="B610" s="8">
        <v>205830.02</v>
      </c>
    </row>
    <row r="611" spans="1:2" x14ac:dyDescent="0.25">
      <c r="A611" s="1" t="s">
        <v>16</v>
      </c>
      <c r="B611" s="8">
        <v>95914.47</v>
      </c>
    </row>
    <row r="612" spans="1:2" x14ac:dyDescent="0.25">
      <c r="A612" s="1" t="s">
        <v>17</v>
      </c>
      <c r="B612" s="8">
        <v>696036.38</v>
      </c>
    </row>
    <row r="613" spans="1:2" x14ac:dyDescent="0.25">
      <c r="A613" s="1" t="s">
        <v>18</v>
      </c>
      <c r="B613" s="8">
        <v>50702.879999999997</v>
      </c>
    </row>
    <row r="614" spans="1:2" x14ac:dyDescent="0.25">
      <c r="A614" s="1" t="s">
        <v>19</v>
      </c>
      <c r="B614" s="8">
        <v>719956.8</v>
      </c>
    </row>
    <row r="615" spans="1:2" x14ac:dyDescent="0.25">
      <c r="A615" s="1" t="s">
        <v>20</v>
      </c>
      <c r="B615" s="8">
        <v>9596.2099999999991</v>
      </c>
    </row>
    <row r="616" spans="1:2" x14ac:dyDescent="0.25">
      <c r="A616" s="1" t="s">
        <v>22</v>
      </c>
      <c r="B616" s="8">
        <v>181572.47</v>
      </c>
    </row>
    <row r="617" spans="1:2" x14ac:dyDescent="0.25">
      <c r="A617" s="1" t="s">
        <v>23</v>
      </c>
      <c r="B617" s="8">
        <v>38</v>
      </c>
    </row>
    <row r="618" spans="1:2" x14ac:dyDescent="0.25">
      <c r="A618" s="1" t="s">
        <v>24</v>
      </c>
      <c r="B618" s="8">
        <v>3551.72</v>
      </c>
    </row>
    <row r="619" spans="1:2" x14ac:dyDescent="0.25">
      <c r="A619" s="1" t="s">
        <v>25</v>
      </c>
      <c r="B619" s="8">
        <v>160095.20000000001</v>
      </c>
    </row>
    <row r="620" spans="1:2" x14ac:dyDescent="0.25">
      <c r="A620" s="1" t="s">
        <v>26</v>
      </c>
      <c r="B620" s="8">
        <v>379995.82</v>
      </c>
    </row>
    <row r="621" spans="1:2" x14ac:dyDescent="0.25">
      <c r="A621" s="1" t="s">
        <v>27</v>
      </c>
      <c r="B621" s="8">
        <v>308977.14</v>
      </c>
    </row>
    <row r="622" spans="1:2" x14ac:dyDescent="0.25">
      <c r="A622" s="1" t="s">
        <v>2</v>
      </c>
      <c r="B622" s="8">
        <v>8435.98</v>
      </c>
    </row>
    <row r="623" spans="1:2" x14ac:dyDescent="0.25">
      <c r="A623" s="1" t="s">
        <v>3</v>
      </c>
      <c r="B623" s="8">
        <v>262633.76</v>
      </c>
    </row>
    <row r="624" spans="1:2" x14ac:dyDescent="0.25">
      <c r="A624" s="1" t="s">
        <v>4</v>
      </c>
      <c r="B624" s="8">
        <v>40776.44</v>
      </c>
    </row>
    <row r="625" spans="1:2" x14ac:dyDescent="0.25">
      <c r="A625" s="1" t="s">
        <v>5</v>
      </c>
      <c r="B625" s="8">
        <v>710</v>
      </c>
    </row>
    <row r="626" spans="1:2" x14ac:dyDescent="0.25">
      <c r="A626" s="1" t="s">
        <v>7</v>
      </c>
      <c r="B626" s="8">
        <v>168313.02</v>
      </c>
    </row>
    <row r="627" spans="1:2" x14ac:dyDescent="0.25">
      <c r="A627" s="1" t="s">
        <v>8</v>
      </c>
      <c r="B627" s="8">
        <v>524442.13</v>
      </c>
    </row>
    <row r="628" spans="1:2" x14ac:dyDescent="0.25">
      <c r="A628" s="1" t="s">
        <v>9</v>
      </c>
      <c r="B628" s="8">
        <v>130737.03</v>
      </c>
    </row>
    <row r="629" spans="1:2" x14ac:dyDescent="0.25">
      <c r="A629" s="1" t="s">
        <v>10</v>
      </c>
      <c r="B629" s="8">
        <v>333543.14</v>
      </c>
    </row>
    <row r="630" spans="1:2" x14ac:dyDescent="0.25">
      <c r="A630" s="1" t="s">
        <v>11</v>
      </c>
      <c r="B630" s="8">
        <v>461168.91</v>
      </c>
    </row>
    <row r="631" spans="1:2" x14ac:dyDescent="0.25">
      <c r="A631" s="1" t="s">
        <v>12</v>
      </c>
      <c r="B631" s="8">
        <v>212313.27</v>
      </c>
    </row>
    <row r="632" spans="1:2" x14ac:dyDescent="0.25">
      <c r="A632" s="1" t="s">
        <v>13</v>
      </c>
      <c r="B632" s="8">
        <v>140460</v>
      </c>
    </row>
    <row r="633" spans="1:2" x14ac:dyDescent="0.25">
      <c r="A633" s="1" t="s">
        <v>14</v>
      </c>
      <c r="B633" s="8">
        <v>14189.4</v>
      </c>
    </row>
    <row r="634" spans="1:2" x14ac:dyDescent="0.25">
      <c r="A634" s="1" t="s">
        <v>28</v>
      </c>
      <c r="B634" s="8">
        <v>15779</v>
      </c>
    </row>
    <row r="635" spans="1:2" x14ac:dyDescent="0.25">
      <c r="A635" s="1" t="s">
        <v>15</v>
      </c>
      <c r="B635" s="8">
        <v>177945.25</v>
      </c>
    </row>
    <row r="636" spans="1:2" x14ac:dyDescent="0.25">
      <c r="A636" s="1" t="s">
        <v>16</v>
      </c>
      <c r="B636" s="8">
        <v>120769.71</v>
      </c>
    </row>
    <row r="637" spans="1:2" x14ac:dyDescent="0.25">
      <c r="A637" s="1" t="s">
        <v>17</v>
      </c>
      <c r="B637" s="8">
        <v>704758.31</v>
      </c>
    </row>
    <row r="638" spans="1:2" x14ac:dyDescent="0.25">
      <c r="A638" s="1" t="s">
        <v>18</v>
      </c>
      <c r="B638" s="8">
        <v>80461.3</v>
      </c>
    </row>
    <row r="639" spans="1:2" x14ac:dyDescent="0.25">
      <c r="A639" s="1" t="s">
        <v>19</v>
      </c>
      <c r="B639" s="8">
        <v>757764.1</v>
      </c>
    </row>
    <row r="640" spans="1:2" x14ac:dyDescent="0.25">
      <c r="A640" s="1" t="s">
        <v>20</v>
      </c>
      <c r="B640" s="8">
        <v>10462.799999999999</v>
      </c>
    </row>
    <row r="641" spans="1:2" x14ac:dyDescent="0.25">
      <c r="A641" s="1" t="s">
        <v>22</v>
      </c>
      <c r="B641" s="8">
        <v>189071.05</v>
      </c>
    </row>
    <row r="642" spans="1:2" x14ac:dyDescent="0.25">
      <c r="A642" s="1" t="s">
        <v>23</v>
      </c>
      <c r="B642" s="8">
        <v>57</v>
      </c>
    </row>
    <row r="643" spans="1:2" x14ac:dyDescent="0.25">
      <c r="A643" s="1" t="s">
        <v>24</v>
      </c>
      <c r="B643" s="8">
        <v>1330.64</v>
      </c>
    </row>
    <row r="644" spans="1:2" x14ac:dyDescent="0.25">
      <c r="A644" s="1" t="s">
        <v>25</v>
      </c>
      <c r="B644" s="8">
        <v>164983.32</v>
      </c>
    </row>
    <row r="645" spans="1:2" x14ac:dyDescent="0.25">
      <c r="A645" s="1" t="s">
        <v>26</v>
      </c>
      <c r="B645" s="8">
        <v>459153.32</v>
      </c>
    </row>
    <row r="646" spans="1:2" x14ac:dyDescent="0.25">
      <c r="A646" s="1" t="s">
        <v>27</v>
      </c>
      <c r="B646" s="8">
        <v>449315.41</v>
      </c>
    </row>
    <row r="647" spans="1:2" x14ac:dyDescent="0.25">
      <c r="A647" s="1" t="s">
        <v>2</v>
      </c>
      <c r="B647" s="8">
        <v>13151.95</v>
      </c>
    </row>
    <row r="648" spans="1:2" x14ac:dyDescent="0.25">
      <c r="A648" s="1" t="s">
        <v>3</v>
      </c>
      <c r="B648" s="8">
        <v>306630.05</v>
      </c>
    </row>
    <row r="649" spans="1:2" x14ac:dyDescent="0.25">
      <c r="A649" s="1" t="s">
        <v>4</v>
      </c>
      <c r="B649" s="8">
        <v>46879.03</v>
      </c>
    </row>
    <row r="650" spans="1:2" x14ac:dyDescent="0.25">
      <c r="A650" s="1" t="s">
        <v>5</v>
      </c>
      <c r="B650" s="8">
        <v>382</v>
      </c>
    </row>
    <row r="651" spans="1:2" x14ac:dyDescent="0.25">
      <c r="A651" s="1" t="s">
        <v>7</v>
      </c>
      <c r="B651" s="8">
        <v>144467.89000000001</v>
      </c>
    </row>
    <row r="652" spans="1:2" x14ac:dyDescent="0.25">
      <c r="A652" s="1" t="s">
        <v>8</v>
      </c>
      <c r="B652" s="8">
        <v>843222.27</v>
      </c>
    </row>
    <row r="653" spans="1:2" x14ac:dyDescent="0.25">
      <c r="A653" s="1" t="s">
        <v>9</v>
      </c>
      <c r="B653" s="8">
        <v>150000.26999999999</v>
      </c>
    </row>
    <row r="654" spans="1:2" x14ac:dyDescent="0.25">
      <c r="A654" s="1" t="s">
        <v>10</v>
      </c>
      <c r="B654" s="8">
        <v>320041.17</v>
      </c>
    </row>
    <row r="655" spans="1:2" x14ac:dyDescent="0.25">
      <c r="A655" s="1" t="s">
        <v>11</v>
      </c>
      <c r="B655" s="8">
        <v>680297.2</v>
      </c>
    </row>
    <row r="656" spans="1:2" x14ac:dyDescent="0.25">
      <c r="A656" s="1" t="s">
        <v>12</v>
      </c>
      <c r="B656" s="8">
        <v>225952.4</v>
      </c>
    </row>
    <row r="657" spans="1:2" x14ac:dyDescent="0.25">
      <c r="A657" s="1" t="s">
        <v>13</v>
      </c>
      <c r="B657" s="8">
        <v>159694.99</v>
      </c>
    </row>
    <row r="658" spans="1:2" x14ac:dyDescent="0.25">
      <c r="A658" s="1" t="s">
        <v>14</v>
      </c>
      <c r="B658" s="8">
        <v>11876.2</v>
      </c>
    </row>
    <row r="659" spans="1:2" x14ac:dyDescent="0.25">
      <c r="A659" s="1" t="s">
        <v>28</v>
      </c>
      <c r="B659" s="8">
        <v>14333</v>
      </c>
    </row>
    <row r="660" spans="1:2" x14ac:dyDescent="0.25">
      <c r="A660" s="1" t="s">
        <v>15</v>
      </c>
      <c r="B660" s="8">
        <v>235648.82</v>
      </c>
    </row>
    <row r="661" spans="1:2" x14ac:dyDescent="0.25">
      <c r="A661" s="1" t="s">
        <v>16</v>
      </c>
      <c r="B661" s="8">
        <v>183558.85</v>
      </c>
    </row>
    <row r="662" spans="1:2" x14ac:dyDescent="0.25">
      <c r="A662" s="1" t="s">
        <v>17</v>
      </c>
      <c r="B662" s="8">
        <v>901618.68</v>
      </c>
    </row>
    <row r="663" spans="1:2" x14ac:dyDescent="0.25">
      <c r="A663" s="1" t="s">
        <v>18</v>
      </c>
      <c r="B663" s="8">
        <v>171650.36</v>
      </c>
    </row>
    <row r="664" spans="1:2" x14ac:dyDescent="0.25">
      <c r="A664" s="1" t="s">
        <v>19</v>
      </c>
      <c r="B664" s="8">
        <v>805989.64</v>
      </c>
    </row>
    <row r="665" spans="1:2" x14ac:dyDescent="0.25">
      <c r="A665" s="1" t="s">
        <v>20</v>
      </c>
      <c r="B665" s="8">
        <v>11703.23</v>
      </c>
    </row>
    <row r="666" spans="1:2" x14ac:dyDescent="0.25">
      <c r="A666" s="1" t="s">
        <v>22</v>
      </c>
      <c r="B666" s="8">
        <v>219967.24</v>
      </c>
    </row>
    <row r="667" spans="1:2" x14ac:dyDescent="0.25">
      <c r="A667" s="1" t="s">
        <v>23</v>
      </c>
      <c r="B667" s="8">
        <v>190</v>
      </c>
    </row>
    <row r="668" spans="1:2" x14ac:dyDescent="0.25">
      <c r="A668" s="1" t="s">
        <v>24</v>
      </c>
      <c r="B668" s="8">
        <v>3470.88</v>
      </c>
    </row>
    <row r="669" spans="1:2" x14ac:dyDescent="0.25">
      <c r="A669" s="1" t="s">
        <v>25</v>
      </c>
      <c r="B669" s="8">
        <v>149717.81</v>
      </c>
    </row>
    <row r="670" spans="1:2" x14ac:dyDescent="0.25">
      <c r="A670" s="1" t="s">
        <v>26</v>
      </c>
      <c r="B670" s="8">
        <v>416874.59</v>
      </c>
    </row>
    <row r="671" spans="1:2" x14ac:dyDescent="0.25">
      <c r="A671" s="1" t="s">
        <v>27</v>
      </c>
      <c r="B671" s="8">
        <v>593738.52</v>
      </c>
    </row>
    <row r="672" spans="1:2" x14ac:dyDescent="0.25">
      <c r="A672" s="1" t="s">
        <v>2</v>
      </c>
      <c r="B672" s="8">
        <v>16477.939999999999</v>
      </c>
    </row>
    <row r="673" spans="1:2" x14ac:dyDescent="0.25">
      <c r="A673" s="1" t="s">
        <v>3</v>
      </c>
      <c r="B673" s="8">
        <v>379801.51</v>
      </c>
    </row>
    <row r="674" spans="1:2" x14ac:dyDescent="0.25">
      <c r="A674" s="1" t="s">
        <v>4</v>
      </c>
      <c r="B674" s="8">
        <v>78207.83</v>
      </c>
    </row>
    <row r="675" spans="1:2" x14ac:dyDescent="0.25">
      <c r="A675" s="1" t="s">
        <v>5</v>
      </c>
      <c r="B675" s="8">
        <v>1583</v>
      </c>
    </row>
    <row r="676" spans="1:2" x14ac:dyDescent="0.25">
      <c r="A676" s="1" t="s">
        <v>7</v>
      </c>
      <c r="B676" s="8">
        <v>163962.23000000001</v>
      </c>
    </row>
    <row r="677" spans="1:2" x14ac:dyDescent="0.25">
      <c r="A677" s="1" t="s">
        <v>8</v>
      </c>
      <c r="B677" s="8">
        <v>951208.52</v>
      </c>
    </row>
    <row r="678" spans="1:2" x14ac:dyDescent="0.25">
      <c r="A678" s="1" t="s">
        <v>9</v>
      </c>
      <c r="B678" s="8">
        <v>161130.49</v>
      </c>
    </row>
    <row r="679" spans="1:2" x14ac:dyDescent="0.25">
      <c r="A679" s="1" t="s">
        <v>10</v>
      </c>
      <c r="B679" s="8">
        <v>386398.09</v>
      </c>
    </row>
    <row r="680" spans="1:2" x14ac:dyDescent="0.25">
      <c r="A680" s="1" t="s">
        <v>11</v>
      </c>
      <c r="B680" s="8">
        <v>813115.63</v>
      </c>
    </row>
    <row r="681" spans="1:2" x14ac:dyDescent="0.25">
      <c r="A681" s="1" t="s">
        <v>12</v>
      </c>
      <c r="B681" s="8">
        <v>310129.19</v>
      </c>
    </row>
    <row r="682" spans="1:2" x14ac:dyDescent="0.25">
      <c r="A682" s="1" t="s">
        <v>13</v>
      </c>
      <c r="B682" s="8">
        <v>212639.99</v>
      </c>
    </row>
    <row r="683" spans="1:2" x14ac:dyDescent="0.25">
      <c r="A683" s="1" t="s">
        <v>14</v>
      </c>
      <c r="B683" s="8">
        <v>21592.6</v>
      </c>
    </row>
    <row r="684" spans="1:2" x14ac:dyDescent="0.25">
      <c r="A684" s="1" t="s">
        <v>28</v>
      </c>
      <c r="B684" s="8">
        <v>19642</v>
      </c>
    </row>
    <row r="685" spans="1:2" x14ac:dyDescent="0.25">
      <c r="A685" s="1" t="s">
        <v>15</v>
      </c>
      <c r="B685" s="8">
        <v>233789.98</v>
      </c>
    </row>
    <row r="686" spans="1:2" x14ac:dyDescent="0.25">
      <c r="A686" s="1" t="s">
        <v>16</v>
      </c>
      <c r="B686" s="8">
        <v>161962.26</v>
      </c>
    </row>
    <row r="687" spans="1:2" x14ac:dyDescent="0.25">
      <c r="A687" s="1" t="s">
        <v>17</v>
      </c>
      <c r="B687" s="8">
        <v>1071763.78</v>
      </c>
    </row>
    <row r="688" spans="1:2" x14ac:dyDescent="0.25">
      <c r="A688" s="1" t="s">
        <v>18</v>
      </c>
      <c r="B688" s="8">
        <v>158534.76</v>
      </c>
    </row>
    <row r="689" spans="1:2" x14ac:dyDescent="0.25">
      <c r="A689" s="1" t="s">
        <v>19</v>
      </c>
      <c r="B689" s="8">
        <v>998986.46</v>
      </c>
    </row>
    <row r="690" spans="1:2" x14ac:dyDescent="0.25">
      <c r="A690" s="1" t="s">
        <v>20</v>
      </c>
      <c r="B690" s="8">
        <v>13517.37</v>
      </c>
    </row>
    <row r="691" spans="1:2" x14ac:dyDescent="0.25">
      <c r="A691" s="1" t="s">
        <v>22</v>
      </c>
      <c r="B691" s="8">
        <v>242866.09</v>
      </c>
    </row>
    <row r="692" spans="1:2" x14ac:dyDescent="0.25">
      <c r="A692" s="1" t="s">
        <v>23</v>
      </c>
      <c r="B692" s="8">
        <v>95</v>
      </c>
    </row>
    <row r="693" spans="1:2" x14ac:dyDescent="0.25">
      <c r="A693" s="1" t="s">
        <v>24</v>
      </c>
      <c r="B693" s="8">
        <v>1538.48</v>
      </c>
    </row>
    <row r="694" spans="1:2" x14ac:dyDescent="0.25">
      <c r="A694" s="1" t="s">
        <v>25</v>
      </c>
      <c r="B694" s="8">
        <v>255071.76</v>
      </c>
    </row>
    <row r="695" spans="1:2" x14ac:dyDescent="0.25">
      <c r="A695" s="1" t="s">
        <v>26</v>
      </c>
      <c r="B695" s="8">
        <v>589520.53</v>
      </c>
    </row>
    <row r="696" spans="1:2" x14ac:dyDescent="0.25">
      <c r="A696" s="1" t="s">
        <v>27</v>
      </c>
      <c r="B696" s="8">
        <v>552149.46</v>
      </c>
    </row>
    <row r="697" spans="1:2" x14ac:dyDescent="0.25">
      <c r="A697" s="1" t="s">
        <v>2</v>
      </c>
      <c r="B697" s="8">
        <v>3230.97</v>
      </c>
    </row>
    <row r="698" spans="1:2" x14ac:dyDescent="0.25">
      <c r="A698" s="1" t="s">
        <v>3</v>
      </c>
      <c r="B698" s="8">
        <v>254135.24</v>
      </c>
    </row>
    <row r="699" spans="1:2" x14ac:dyDescent="0.25">
      <c r="A699" s="1" t="s">
        <v>4</v>
      </c>
      <c r="B699" s="8">
        <v>48618.66</v>
      </c>
    </row>
    <row r="700" spans="1:2" x14ac:dyDescent="0.25">
      <c r="A700" s="1" t="s">
        <v>5</v>
      </c>
      <c r="B700" s="8">
        <v>1565</v>
      </c>
    </row>
    <row r="701" spans="1:2" x14ac:dyDescent="0.25">
      <c r="A701" s="1" t="s">
        <v>7</v>
      </c>
      <c r="B701" s="8">
        <v>134827.4</v>
      </c>
    </row>
    <row r="702" spans="1:2" x14ac:dyDescent="0.25">
      <c r="A702" s="1" t="s">
        <v>8</v>
      </c>
      <c r="B702" s="8">
        <v>780338.4</v>
      </c>
    </row>
    <row r="703" spans="1:2" x14ac:dyDescent="0.25">
      <c r="A703" s="1" t="s">
        <v>9</v>
      </c>
      <c r="B703" s="8">
        <v>131223.51</v>
      </c>
    </row>
    <row r="704" spans="1:2" x14ac:dyDescent="0.25">
      <c r="A704" s="1" t="s">
        <v>10</v>
      </c>
      <c r="B704" s="8">
        <v>328199.15999999997</v>
      </c>
    </row>
    <row r="705" spans="1:2" x14ac:dyDescent="0.25">
      <c r="A705" s="1" t="s">
        <v>11</v>
      </c>
      <c r="B705" s="8">
        <v>465034.93</v>
      </c>
    </row>
    <row r="706" spans="1:2" x14ac:dyDescent="0.25">
      <c r="A706" s="1" t="s">
        <v>12</v>
      </c>
      <c r="B706" s="8">
        <v>215121.2</v>
      </c>
    </row>
    <row r="707" spans="1:2" x14ac:dyDescent="0.25">
      <c r="A707" s="1" t="s">
        <v>13</v>
      </c>
      <c r="B707" s="8">
        <v>175689</v>
      </c>
    </row>
    <row r="708" spans="1:2" x14ac:dyDescent="0.25">
      <c r="A708" s="1" t="s">
        <v>14</v>
      </c>
      <c r="B708" s="8">
        <v>16963.2</v>
      </c>
    </row>
    <row r="709" spans="1:2" x14ac:dyDescent="0.25">
      <c r="A709" s="1" t="s">
        <v>28</v>
      </c>
      <c r="B709" s="8">
        <v>18822</v>
      </c>
    </row>
    <row r="710" spans="1:2" x14ac:dyDescent="0.25">
      <c r="A710" s="1" t="s">
        <v>15</v>
      </c>
      <c r="B710" s="8">
        <v>147236</v>
      </c>
    </row>
    <row r="711" spans="1:2" x14ac:dyDescent="0.25">
      <c r="A711" s="1" t="s">
        <v>16</v>
      </c>
      <c r="B711" s="8">
        <v>100061.02</v>
      </c>
    </row>
    <row r="712" spans="1:2" x14ac:dyDescent="0.25">
      <c r="A712" s="1" t="s">
        <v>17</v>
      </c>
      <c r="B712" s="8">
        <v>845040.91</v>
      </c>
    </row>
    <row r="713" spans="1:2" x14ac:dyDescent="0.25">
      <c r="A713" s="1" t="s">
        <v>18</v>
      </c>
      <c r="B713" s="8">
        <v>130232.82</v>
      </c>
    </row>
    <row r="714" spans="1:2" x14ac:dyDescent="0.25">
      <c r="A714" s="1" t="s">
        <v>19</v>
      </c>
      <c r="B714" s="8">
        <v>798496.2</v>
      </c>
    </row>
    <row r="715" spans="1:2" x14ac:dyDescent="0.25">
      <c r="A715" s="1" t="s">
        <v>20</v>
      </c>
      <c r="B715" s="8">
        <v>10412.68</v>
      </c>
    </row>
    <row r="716" spans="1:2" x14ac:dyDescent="0.25">
      <c r="A716" s="1" t="s">
        <v>21</v>
      </c>
      <c r="B716" s="8">
        <v>235.23</v>
      </c>
    </row>
    <row r="717" spans="1:2" x14ac:dyDescent="0.25">
      <c r="A717" s="1" t="s">
        <v>22</v>
      </c>
      <c r="B717" s="8">
        <v>198200.06</v>
      </c>
    </row>
    <row r="718" spans="1:2" x14ac:dyDescent="0.25">
      <c r="A718" s="1" t="s">
        <v>23</v>
      </c>
      <c r="B718" s="8">
        <v>76</v>
      </c>
    </row>
    <row r="719" spans="1:2" x14ac:dyDescent="0.25">
      <c r="A719" s="1" t="s">
        <v>24</v>
      </c>
      <c r="B719" s="8">
        <v>2743.84</v>
      </c>
    </row>
    <row r="720" spans="1:2" x14ac:dyDescent="0.25">
      <c r="A720" s="1" t="s">
        <v>25</v>
      </c>
      <c r="B720" s="8">
        <v>243861.44</v>
      </c>
    </row>
    <row r="721" spans="1:2" x14ac:dyDescent="0.25">
      <c r="A721" s="1" t="s">
        <v>26</v>
      </c>
      <c r="B721" s="8">
        <v>503900.07</v>
      </c>
    </row>
    <row r="722" spans="1:2" x14ac:dyDescent="0.25">
      <c r="A722" s="1" t="s">
        <v>27</v>
      </c>
      <c r="B722" s="8">
        <v>540760.86</v>
      </c>
    </row>
    <row r="723" spans="1:2" x14ac:dyDescent="0.25">
      <c r="A723" s="1" t="s">
        <v>2</v>
      </c>
      <c r="B723" s="8">
        <v>8339.94</v>
      </c>
    </row>
    <row r="724" spans="1:2" x14ac:dyDescent="0.25">
      <c r="A724" s="1" t="s">
        <v>3</v>
      </c>
      <c r="B724" s="8">
        <v>181816.12</v>
      </c>
    </row>
    <row r="725" spans="1:2" x14ac:dyDescent="0.25">
      <c r="A725" s="1" t="s">
        <v>4</v>
      </c>
      <c r="B725" s="8">
        <v>31647.07</v>
      </c>
    </row>
    <row r="726" spans="1:2" x14ac:dyDescent="0.25">
      <c r="A726" s="1" t="s">
        <v>7</v>
      </c>
      <c r="B726" s="8">
        <v>121051.87</v>
      </c>
    </row>
    <row r="727" spans="1:2" x14ac:dyDescent="0.25">
      <c r="A727" s="1" t="s">
        <v>8</v>
      </c>
      <c r="B727" s="8">
        <v>660629.15</v>
      </c>
    </row>
    <row r="728" spans="1:2" x14ac:dyDescent="0.25">
      <c r="A728" s="1" t="s">
        <v>9</v>
      </c>
      <c r="B728" s="8">
        <v>89927.58</v>
      </c>
    </row>
    <row r="729" spans="1:2" x14ac:dyDescent="0.25">
      <c r="A729" s="1" t="s">
        <v>10</v>
      </c>
      <c r="B729" s="8">
        <v>240167.76</v>
      </c>
    </row>
    <row r="730" spans="1:2" x14ac:dyDescent="0.25">
      <c r="A730" s="1" t="s">
        <v>11</v>
      </c>
      <c r="B730" s="8">
        <v>423272.41</v>
      </c>
    </row>
    <row r="731" spans="1:2" x14ac:dyDescent="0.25">
      <c r="A731" s="1" t="s">
        <v>12</v>
      </c>
      <c r="B731" s="8">
        <v>198058</v>
      </c>
    </row>
    <row r="732" spans="1:2" x14ac:dyDescent="0.25">
      <c r="A732" s="1" t="s">
        <v>13</v>
      </c>
      <c r="B732" s="8">
        <v>176642</v>
      </c>
    </row>
    <row r="733" spans="1:2" x14ac:dyDescent="0.25">
      <c r="A733" s="1" t="s">
        <v>14</v>
      </c>
      <c r="B733" s="8">
        <v>6385.2</v>
      </c>
    </row>
    <row r="734" spans="1:2" x14ac:dyDescent="0.25">
      <c r="A734" s="1" t="s">
        <v>28</v>
      </c>
      <c r="B734" s="8">
        <v>7623</v>
      </c>
    </row>
    <row r="735" spans="1:2" x14ac:dyDescent="0.25">
      <c r="A735" s="1" t="s">
        <v>15</v>
      </c>
      <c r="B735" s="8">
        <v>92796.75</v>
      </c>
    </row>
    <row r="736" spans="1:2" x14ac:dyDescent="0.25">
      <c r="A736" s="1" t="s">
        <v>16</v>
      </c>
      <c r="B736" s="8">
        <v>130679.63</v>
      </c>
    </row>
    <row r="737" spans="1:2" x14ac:dyDescent="0.25">
      <c r="A737" s="1" t="s">
        <v>17</v>
      </c>
      <c r="B737" s="8">
        <v>723546.31</v>
      </c>
    </row>
    <row r="738" spans="1:2" x14ac:dyDescent="0.25">
      <c r="A738" s="1" t="s">
        <v>18</v>
      </c>
      <c r="B738" s="8">
        <v>86314.44</v>
      </c>
    </row>
    <row r="739" spans="1:2" x14ac:dyDescent="0.25">
      <c r="A739" s="1" t="s">
        <v>19</v>
      </c>
      <c r="B739" s="8">
        <v>624240.79</v>
      </c>
    </row>
    <row r="740" spans="1:2" x14ac:dyDescent="0.25">
      <c r="A740" s="1" t="s">
        <v>20</v>
      </c>
      <c r="B740" s="8">
        <v>9765.4699999999993</v>
      </c>
    </row>
    <row r="741" spans="1:2" x14ac:dyDescent="0.25">
      <c r="A741" s="1" t="s">
        <v>22</v>
      </c>
      <c r="B741" s="8">
        <v>186802.1</v>
      </c>
    </row>
    <row r="742" spans="1:2" x14ac:dyDescent="0.25">
      <c r="A742" s="1" t="s">
        <v>24</v>
      </c>
      <c r="B742" s="8">
        <v>1683.32</v>
      </c>
    </row>
    <row r="743" spans="1:2" x14ac:dyDescent="0.25">
      <c r="A743" s="1" t="s">
        <v>25</v>
      </c>
      <c r="B743" s="8">
        <v>187559.46</v>
      </c>
    </row>
    <row r="744" spans="1:2" x14ac:dyDescent="0.25">
      <c r="A744" s="1" t="s">
        <v>26</v>
      </c>
      <c r="B744" s="8">
        <v>328581.21000000002</v>
      </c>
    </row>
    <row r="745" spans="1:2" x14ac:dyDescent="0.25">
      <c r="A745" s="1" t="s">
        <v>27</v>
      </c>
      <c r="B745" s="8">
        <v>355305.48</v>
      </c>
    </row>
    <row r="746" spans="1:2" x14ac:dyDescent="0.25">
      <c r="A746" s="1" t="s">
        <v>2</v>
      </c>
      <c r="B746" s="8">
        <v>7776.95</v>
      </c>
    </row>
    <row r="747" spans="1:2" x14ac:dyDescent="0.25">
      <c r="A747" s="1" t="s">
        <v>3</v>
      </c>
      <c r="B747" s="8">
        <v>182816.12</v>
      </c>
    </row>
    <row r="748" spans="1:2" x14ac:dyDescent="0.25">
      <c r="A748" s="1" t="s">
        <v>4</v>
      </c>
      <c r="B748" s="8">
        <v>35029.629999999997</v>
      </c>
    </row>
    <row r="749" spans="1:2" x14ac:dyDescent="0.25">
      <c r="A749" s="1" t="s">
        <v>5</v>
      </c>
      <c r="B749" s="8">
        <v>1172</v>
      </c>
    </row>
    <row r="750" spans="1:2" x14ac:dyDescent="0.25">
      <c r="A750" s="1" t="s">
        <v>6</v>
      </c>
      <c r="B750" s="8">
        <v>1760</v>
      </c>
    </row>
    <row r="751" spans="1:2" x14ac:dyDescent="0.25">
      <c r="A751" s="1" t="s">
        <v>7</v>
      </c>
      <c r="B751" s="8">
        <v>140602.1</v>
      </c>
    </row>
    <row r="752" spans="1:2" x14ac:dyDescent="0.25">
      <c r="A752" s="1" t="s">
        <v>8</v>
      </c>
      <c r="B752" s="8">
        <v>605040.81000000006</v>
      </c>
    </row>
    <row r="753" spans="1:2" x14ac:dyDescent="0.25">
      <c r="A753" s="1" t="s">
        <v>9</v>
      </c>
      <c r="B753" s="8">
        <v>116087.26</v>
      </c>
    </row>
    <row r="754" spans="1:2" x14ac:dyDescent="0.25">
      <c r="A754" s="1" t="s">
        <v>10</v>
      </c>
      <c r="B754" s="8">
        <v>237633.49</v>
      </c>
    </row>
    <row r="755" spans="1:2" x14ac:dyDescent="0.25">
      <c r="A755" s="1" t="s">
        <v>11</v>
      </c>
      <c r="B755" s="8">
        <v>405379.43</v>
      </c>
    </row>
    <row r="756" spans="1:2" x14ac:dyDescent="0.25">
      <c r="A756" s="1" t="s">
        <v>12</v>
      </c>
      <c r="B756" s="8">
        <v>181940.6</v>
      </c>
    </row>
    <row r="757" spans="1:2" x14ac:dyDescent="0.25">
      <c r="A757" s="1" t="s">
        <v>13</v>
      </c>
      <c r="B757" s="8">
        <v>131989</v>
      </c>
    </row>
    <row r="758" spans="1:2" x14ac:dyDescent="0.25">
      <c r="A758" s="1" t="s">
        <v>14</v>
      </c>
      <c r="B758" s="8">
        <v>14018.6</v>
      </c>
    </row>
    <row r="759" spans="1:2" x14ac:dyDescent="0.25">
      <c r="A759" s="1" t="s">
        <v>28</v>
      </c>
      <c r="B759" s="8">
        <v>15276.75</v>
      </c>
    </row>
    <row r="760" spans="1:2" x14ac:dyDescent="0.25">
      <c r="A760" s="1" t="s">
        <v>15</v>
      </c>
      <c r="B760" s="8">
        <v>69613.899999999994</v>
      </c>
    </row>
    <row r="761" spans="1:2" x14ac:dyDescent="0.25">
      <c r="A761" s="1" t="s">
        <v>16</v>
      </c>
      <c r="B761" s="8">
        <v>285502.03000000003</v>
      </c>
    </row>
    <row r="762" spans="1:2" x14ac:dyDescent="0.25">
      <c r="A762" s="1" t="s">
        <v>17</v>
      </c>
      <c r="B762" s="8">
        <v>637217.5</v>
      </c>
    </row>
    <row r="763" spans="1:2" x14ac:dyDescent="0.25">
      <c r="A763" s="1" t="s">
        <v>18</v>
      </c>
      <c r="B763" s="8">
        <v>101427.12</v>
      </c>
    </row>
    <row r="764" spans="1:2" x14ac:dyDescent="0.25">
      <c r="A764" s="1" t="s">
        <v>19</v>
      </c>
      <c r="B764" s="8">
        <v>735441.24</v>
      </c>
    </row>
    <row r="765" spans="1:2" x14ac:dyDescent="0.25">
      <c r="A765" s="1" t="s">
        <v>20</v>
      </c>
      <c r="B765" s="8">
        <v>6746.67</v>
      </c>
    </row>
    <row r="766" spans="1:2" x14ac:dyDescent="0.25">
      <c r="A766" s="1" t="s">
        <v>22</v>
      </c>
      <c r="B766" s="8">
        <v>179221.25</v>
      </c>
    </row>
    <row r="767" spans="1:2" x14ac:dyDescent="0.25">
      <c r="A767" s="1" t="s">
        <v>23</v>
      </c>
      <c r="B767" s="8">
        <v>76</v>
      </c>
    </row>
    <row r="768" spans="1:2" x14ac:dyDescent="0.25">
      <c r="A768" s="1" t="s">
        <v>24</v>
      </c>
      <c r="B768" s="8">
        <v>2981.44</v>
      </c>
    </row>
    <row r="769" spans="1:2" x14ac:dyDescent="0.25">
      <c r="A769" s="1" t="s">
        <v>25</v>
      </c>
      <c r="B769" s="8">
        <v>166699.57</v>
      </c>
    </row>
    <row r="770" spans="1:2" x14ac:dyDescent="0.25">
      <c r="A770" s="1" t="s">
        <v>26</v>
      </c>
      <c r="B770" s="8">
        <v>328356.65000000002</v>
      </c>
    </row>
    <row r="771" spans="1:2" x14ac:dyDescent="0.25">
      <c r="A771" s="1" t="s">
        <v>27</v>
      </c>
      <c r="B771" s="8">
        <v>370060.04</v>
      </c>
    </row>
    <row r="772" spans="1:2" x14ac:dyDescent="0.25">
      <c r="A772" s="1" t="s">
        <v>2</v>
      </c>
      <c r="B772" s="8">
        <v>9018</v>
      </c>
    </row>
    <row r="773" spans="1:2" x14ac:dyDescent="0.25">
      <c r="A773" s="1" t="s">
        <v>3</v>
      </c>
      <c r="B773" s="8">
        <v>204419.07</v>
      </c>
    </row>
    <row r="774" spans="1:2" x14ac:dyDescent="0.25">
      <c r="A774" s="1" t="s">
        <v>4</v>
      </c>
      <c r="B774" s="8">
        <v>13861.62</v>
      </c>
    </row>
    <row r="775" spans="1:2" x14ac:dyDescent="0.25">
      <c r="A775" s="1" t="s">
        <v>5</v>
      </c>
      <c r="B775" s="8">
        <v>1474</v>
      </c>
    </row>
    <row r="776" spans="1:2" x14ac:dyDescent="0.25">
      <c r="A776" s="1" t="s">
        <v>7</v>
      </c>
      <c r="B776" s="8">
        <v>125345.52</v>
      </c>
    </row>
    <row r="777" spans="1:2" x14ac:dyDescent="0.25">
      <c r="A777" s="1" t="s">
        <v>8</v>
      </c>
      <c r="B777" s="8">
        <v>526219.31000000006</v>
      </c>
    </row>
    <row r="778" spans="1:2" x14ac:dyDescent="0.25">
      <c r="A778" s="1" t="s">
        <v>9</v>
      </c>
      <c r="B778" s="8">
        <v>80017.919999999998</v>
      </c>
    </row>
    <row r="779" spans="1:2" x14ac:dyDescent="0.25">
      <c r="A779" s="1" t="s">
        <v>10</v>
      </c>
      <c r="B779" s="8">
        <v>176765.7</v>
      </c>
    </row>
    <row r="780" spans="1:2" x14ac:dyDescent="0.25">
      <c r="A780" s="1" t="s">
        <v>11</v>
      </c>
      <c r="B780" s="8">
        <v>634489.43000000005</v>
      </c>
    </row>
    <row r="781" spans="1:2" x14ac:dyDescent="0.25">
      <c r="A781" s="1" t="s">
        <v>12</v>
      </c>
      <c r="B781" s="8">
        <v>284257.8</v>
      </c>
    </row>
    <row r="782" spans="1:2" x14ac:dyDescent="0.25">
      <c r="A782" s="1" t="s">
        <v>13</v>
      </c>
      <c r="B782" s="8">
        <v>138783.99</v>
      </c>
    </row>
    <row r="783" spans="1:2" x14ac:dyDescent="0.25">
      <c r="A783" s="1" t="s">
        <v>14</v>
      </c>
      <c r="B783" s="8">
        <v>13294.8</v>
      </c>
    </row>
    <row r="784" spans="1:2" x14ac:dyDescent="0.25">
      <c r="A784" s="1" t="s">
        <v>28</v>
      </c>
      <c r="B784" s="8">
        <v>8174</v>
      </c>
    </row>
    <row r="785" spans="1:2" x14ac:dyDescent="0.25">
      <c r="A785" s="1" t="s">
        <v>15</v>
      </c>
      <c r="B785" s="8">
        <v>99492.46</v>
      </c>
    </row>
    <row r="786" spans="1:2" x14ac:dyDescent="0.25">
      <c r="A786" s="1" t="s">
        <v>16</v>
      </c>
      <c r="B786" s="8">
        <v>65948.17</v>
      </c>
    </row>
    <row r="787" spans="1:2" x14ac:dyDescent="0.25">
      <c r="A787" s="1" t="s">
        <v>17</v>
      </c>
      <c r="B787" s="8">
        <v>680529.84</v>
      </c>
    </row>
    <row r="788" spans="1:2" x14ac:dyDescent="0.25">
      <c r="A788" s="1" t="s">
        <v>18</v>
      </c>
      <c r="B788" s="8">
        <v>77593.039999999994</v>
      </c>
    </row>
    <row r="789" spans="1:2" x14ac:dyDescent="0.25">
      <c r="A789" s="1" t="s">
        <v>19</v>
      </c>
      <c r="B789" s="8">
        <v>574180.68000000005</v>
      </c>
    </row>
    <row r="790" spans="1:2" x14ac:dyDescent="0.25">
      <c r="A790" s="1" t="s">
        <v>20</v>
      </c>
      <c r="B790" s="8">
        <v>5388.66</v>
      </c>
    </row>
    <row r="791" spans="1:2" x14ac:dyDescent="0.25">
      <c r="A791" s="1" t="s">
        <v>22</v>
      </c>
      <c r="B791" s="8">
        <v>174536.27</v>
      </c>
    </row>
    <row r="792" spans="1:2" x14ac:dyDescent="0.25">
      <c r="A792" s="1" t="s">
        <v>25</v>
      </c>
      <c r="B792" s="8">
        <v>115187.56</v>
      </c>
    </row>
    <row r="793" spans="1:2" x14ac:dyDescent="0.25">
      <c r="A793" s="1" t="s">
        <v>26</v>
      </c>
      <c r="B793" s="8">
        <v>311518.67</v>
      </c>
    </row>
    <row r="794" spans="1:2" x14ac:dyDescent="0.25">
      <c r="A794" s="1" t="s">
        <v>27</v>
      </c>
      <c r="B794" s="8">
        <v>366831.33</v>
      </c>
    </row>
    <row r="795" spans="1:2" x14ac:dyDescent="0.25">
      <c r="A795" s="1" t="s">
        <v>2</v>
      </c>
      <c r="B795" s="8">
        <v>16160.98</v>
      </c>
    </row>
    <row r="796" spans="1:2" x14ac:dyDescent="0.25">
      <c r="A796" s="1" t="s">
        <v>3</v>
      </c>
      <c r="B796" s="8">
        <v>336826.45</v>
      </c>
    </row>
    <row r="797" spans="1:2" x14ac:dyDescent="0.25">
      <c r="A797" s="1" t="s">
        <v>4</v>
      </c>
      <c r="B797" s="8">
        <v>58657.96</v>
      </c>
    </row>
    <row r="798" spans="1:2" x14ac:dyDescent="0.25">
      <c r="A798" s="1" t="s">
        <v>5</v>
      </c>
      <c r="B798" s="8">
        <v>382</v>
      </c>
    </row>
    <row r="799" spans="1:2" x14ac:dyDescent="0.25">
      <c r="A799" s="1" t="s">
        <v>7</v>
      </c>
      <c r="B799" s="8">
        <v>139306.16</v>
      </c>
    </row>
    <row r="800" spans="1:2" x14ac:dyDescent="0.25">
      <c r="A800" s="1" t="s">
        <v>8</v>
      </c>
      <c r="B800" s="8">
        <v>773002.78</v>
      </c>
    </row>
    <row r="801" spans="1:2" x14ac:dyDescent="0.25">
      <c r="A801" s="1" t="s">
        <v>9</v>
      </c>
      <c r="B801" s="8">
        <v>201750.88</v>
      </c>
    </row>
    <row r="802" spans="1:2" x14ac:dyDescent="0.25">
      <c r="A802" s="1" t="s">
        <v>10</v>
      </c>
      <c r="B802" s="8">
        <v>206779.93</v>
      </c>
    </row>
    <row r="803" spans="1:2" x14ac:dyDescent="0.25">
      <c r="A803" s="1" t="s">
        <v>11</v>
      </c>
      <c r="B803" s="8">
        <v>368433.47</v>
      </c>
    </row>
    <row r="804" spans="1:2" x14ac:dyDescent="0.25">
      <c r="A804" s="1" t="s">
        <v>12</v>
      </c>
      <c r="B804" s="8">
        <v>302111.90000000002</v>
      </c>
    </row>
    <row r="805" spans="1:2" x14ac:dyDescent="0.25">
      <c r="A805" s="1" t="s">
        <v>13</v>
      </c>
      <c r="B805" s="8">
        <v>153286</v>
      </c>
    </row>
    <row r="806" spans="1:2" x14ac:dyDescent="0.25">
      <c r="A806" s="1" t="s">
        <v>14</v>
      </c>
      <c r="B806" s="8">
        <v>9482.2000000000007</v>
      </c>
    </row>
    <row r="807" spans="1:2" x14ac:dyDescent="0.25">
      <c r="A807" s="1" t="s">
        <v>28</v>
      </c>
      <c r="B807" s="8">
        <v>8514</v>
      </c>
    </row>
    <row r="808" spans="1:2" x14ac:dyDescent="0.25">
      <c r="A808" s="1" t="s">
        <v>15</v>
      </c>
      <c r="B808" s="8">
        <v>217789.48</v>
      </c>
    </row>
    <row r="809" spans="1:2" x14ac:dyDescent="0.25">
      <c r="A809" s="1" t="s">
        <v>16</v>
      </c>
      <c r="B809" s="8">
        <v>74185.08</v>
      </c>
    </row>
    <row r="810" spans="1:2" x14ac:dyDescent="0.25">
      <c r="A810" s="1" t="s">
        <v>17</v>
      </c>
      <c r="B810" s="8">
        <v>755801.69</v>
      </c>
    </row>
    <row r="811" spans="1:2" x14ac:dyDescent="0.25">
      <c r="A811" s="1" t="s">
        <v>18</v>
      </c>
      <c r="B811" s="8">
        <v>119998.32</v>
      </c>
    </row>
    <row r="812" spans="1:2" x14ac:dyDescent="0.25">
      <c r="A812" s="1" t="s">
        <v>19</v>
      </c>
      <c r="B812" s="8">
        <v>716673.97</v>
      </c>
    </row>
    <row r="813" spans="1:2" x14ac:dyDescent="0.25">
      <c r="A813" s="1" t="s">
        <v>20</v>
      </c>
      <c r="B813" s="8">
        <v>8011.52</v>
      </c>
    </row>
    <row r="814" spans="1:2" x14ac:dyDescent="0.25">
      <c r="A814" s="1" t="s">
        <v>22</v>
      </c>
      <c r="B814" s="8">
        <v>209839.09</v>
      </c>
    </row>
    <row r="815" spans="1:2" x14ac:dyDescent="0.25">
      <c r="A815" s="1" t="s">
        <v>23</v>
      </c>
      <c r="B815" s="8">
        <v>38</v>
      </c>
    </row>
    <row r="816" spans="1:2" x14ac:dyDescent="0.25">
      <c r="A816" s="1" t="s">
        <v>24</v>
      </c>
      <c r="B816" s="8">
        <v>3136.68</v>
      </c>
    </row>
    <row r="817" spans="1:2" x14ac:dyDescent="0.25">
      <c r="A817" s="1" t="s">
        <v>25</v>
      </c>
      <c r="B817" s="8">
        <v>181309.81</v>
      </c>
    </row>
    <row r="818" spans="1:2" x14ac:dyDescent="0.25">
      <c r="A818" s="1" t="s">
        <v>26</v>
      </c>
      <c r="B818" s="8">
        <v>329720.7</v>
      </c>
    </row>
    <row r="819" spans="1:2" x14ac:dyDescent="0.25">
      <c r="A819" s="1" t="s">
        <v>27</v>
      </c>
      <c r="B819" s="8">
        <v>308851.84000000003</v>
      </c>
    </row>
    <row r="820" spans="1:2" x14ac:dyDescent="0.25">
      <c r="A820" s="1" t="s">
        <v>2</v>
      </c>
      <c r="B820" s="8">
        <v>8384.99</v>
      </c>
    </row>
    <row r="821" spans="1:2" x14ac:dyDescent="0.25">
      <c r="A821" s="1" t="s">
        <v>3</v>
      </c>
      <c r="B821" s="8">
        <v>349582.44</v>
      </c>
    </row>
    <row r="822" spans="1:2" x14ac:dyDescent="0.25">
      <c r="A822" s="1" t="s">
        <v>4</v>
      </c>
      <c r="B822" s="8">
        <v>147729.26</v>
      </c>
    </row>
    <row r="823" spans="1:2" x14ac:dyDescent="0.25">
      <c r="A823" s="1" t="s">
        <v>7</v>
      </c>
      <c r="B823" s="8">
        <v>159343.32</v>
      </c>
    </row>
    <row r="824" spans="1:2" x14ac:dyDescent="0.25">
      <c r="A824" s="1" t="s">
        <v>8</v>
      </c>
      <c r="B824" s="8">
        <v>749075.58</v>
      </c>
    </row>
    <row r="825" spans="1:2" x14ac:dyDescent="0.25">
      <c r="A825" s="1" t="s">
        <v>9</v>
      </c>
      <c r="B825" s="8">
        <v>172293.81</v>
      </c>
    </row>
    <row r="826" spans="1:2" x14ac:dyDescent="0.25">
      <c r="A826" s="1" t="s">
        <v>10</v>
      </c>
      <c r="B826" s="8">
        <v>329216.82</v>
      </c>
    </row>
    <row r="827" spans="1:2" x14ac:dyDescent="0.25">
      <c r="A827" s="1" t="s">
        <v>11</v>
      </c>
      <c r="B827" s="8">
        <v>822868.76</v>
      </c>
    </row>
    <row r="828" spans="1:2" x14ac:dyDescent="0.25">
      <c r="A828" s="1" t="s">
        <v>12</v>
      </c>
      <c r="B828" s="8">
        <v>362080.56</v>
      </c>
    </row>
    <row r="829" spans="1:2" x14ac:dyDescent="0.25">
      <c r="A829" s="1" t="s">
        <v>13</v>
      </c>
      <c r="B829" s="8">
        <v>199781.99</v>
      </c>
    </row>
    <row r="830" spans="1:2" x14ac:dyDescent="0.25">
      <c r="A830" s="1" t="s">
        <v>14</v>
      </c>
      <c r="B830" s="8">
        <v>21075.4</v>
      </c>
    </row>
    <row r="831" spans="1:2" x14ac:dyDescent="0.25">
      <c r="A831" s="1" t="s">
        <v>28</v>
      </c>
      <c r="B831" s="8">
        <v>14420</v>
      </c>
    </row>
    <row r="832" spans="1:2" x14ac:dyDescent="0.25">
      <c r="A832" s="1" t="s">
        <v>15</v>
      </c>
      <c r="B832" s="8">
        <v>212982.92</v>
      </c>
    </row>
    <row r="833" spans="1:2" x14ac:dyDescent="0.25">
      <c r="A833" s="1" t="s">
        <v>16</v>
      </c>
      <c r="B833" s="8">
        <v>162608.87</v>
      </c>
    </row>
    <row r="834" spans="1:2" x14ac:dyDescent="0.25">
      <c r="A834" s="1" t="s">
        <v>17</v>
      </c>
      <c r="B834" s="8">
        <v>877474.87</v>
      </c>
    </row>
    <row r="835" spans="1:2" x14ac:dyDescent="0.25">
      <c r="A835" s="1" t="s">
        <v>18</v>
      </c>
      <c r="B835" s="8">
        <v>123616.38</v>
      </c>
    </row>
    <row r="836" spans="1:2" x14ac:dyDescent="0.25">
      <c r="A836" s="1" t="s">
        <v>19</v>
      </c>
      <c r="B836" s="8">
        <v>825799.38</v>
      </c>
    </row>
    <row r="837" spans="1:2" x14ac:dyDescent="0.25">
      <c r="A837" s="1" t="s">
        <v>20</v>
      </c>
      <c r="B837" s="8">
        <v>15066.82</v>
      </c>
    </row>
    <row r="838" spans="1:2" x14ac:dyDescent="0.25">
      <c r="A838" s="1" t="s">
        <v>22</v>
      </c>
      <c r="B838" s="8">
        <v>222802.88</v>
      </c>
    </row>
    <row r="839" spans="1:2" x14ac:dyDescent="0.25">
      <c r="A839" s="1" t="s">
        <v>23</v>
      </c>
      <c r="B839" s="8">
        <v>57</v>
      </c>
    </row>
    <row r="840" spans="1:2" x14ac:dyDescent="0.25">
      <c r="A840" s="1" t="s">
        <v>24</v>
      </c>
      <c r="B840" s="8">
        <v>4268.32</v>
      </c>
    </row>
    <row r="841" spans="1:2" x14ac:dyDescent="0.25">
      <c r="A841" s="1" t="s">
        <v>25</v>
      </c>
      <c r="B841" s="8">
        <v>228893.54</v>
      </c>
    </row>
    <row r="842" spans="1:2" x14ac:dyDescent="0.25">
      <c r="A842" s="1" t="s">
        <v>26</v>
      </c>
      <c r="B842" s="8">
        <v>423845.98</v>
      </c>
    </row>
    <row r="843" spans="1:2" x14ac:dyDescent="0.25">
      <c r="A843" s="1" t="s">
        <v>27</v>
      </c>
      <c r="B843" s="8">
        <v>479050.18</v>
      </c>
    </row>
    <row r="844" spans="1:2" x14ac:dyDescent="0.25">
      <c r="A844" s="1" t="s">
        <v>2</v>
      </c>
      <c r="B844" s="8">
        <v>14994.98</v>
      </c>
    </row>
    <row r="845" spans="1:2" x14ac:dyDescent="0.25">
      <c r="A845" s="1" t="s">
        <v>3</v>
      </c>
      <c r="B845" s="8">
        <v>605994.75</v>
      </c>
    </row>
    <row r="846" spans="1:2" x14ac:dyDescent="0.25">
      <c r="A846" s="1" t="s">
        <v>4</v>
      </c>
      <c r="B846" s="8">
        <v>262526.49</v>
      </c>
    </row>
    <row r="847" spans="1:2" x14ac:dyDescent="0.25">
      <c r="A847" s="1" t="s">
        <v>5</v>
      </c>
      <c r="B847" s="8">
        <v>5155</v>
      </c>
    </row>
    <row r="848" spans="1:2" x14ac:dyDescent="0.25">
      <c r="A848" s="1" t="s">
        <v>7</v>
      </c>
      <c r="B848" s="8">
        <v>256072.55</v>
      </c>
    </row>
    <row r="849" spans="1:2" x14ac:dyDescent="0.25">
      <c r="A849" s="1" t="s">
        <v>8</v>
      </c>
      <c r="B849" s="8">
        <v>916364.36</v>
      </c>
    </row>
    <row r="850" spans="1:2" x14ac:dyDescent="0.25">
      <c r="A850" s="1" t="s">
        <v>9</v>
      </c>
      <c r="B850" s="8">
        <v>228237.28</v>
      </c>
    </row>
    <row r="851" spans="1:2" x14ac:dyDescent="0.25">
      <c r="A851" s="1" t="s">
        <v>10</v>
      </c>
      <c r="B851" s="8">
        <v>390460.89</v>
      </c>
    </row>
    <row r="852" spans="1:2" x14ac:dyDescent="0.25">
      <c r="A852" s="1" t="s">
        <v>11</v>
      </c>
      <c r="B852" s="8">
        <v>863947.79</v>
      </c>
    </row>
    <row r="853" spans="1:2" x14ac:dyDescent="0.25">
      <c r="A853" s="1" t="s">
        <v>12</v>
      </c>
      <c r="B853" s="8">
        <v>390414.15</v>
      </c>
    </row>
    <row r="854" spans="1:2" x14ac:dyDescent="0.25">
      <c r="A854" s="1" t="s">
        <v>13</v>
      </c>
      <c r="B854" s="8">
        <v>293619.99</v>
      </c>
    </row>
    <row r="855" spans="1:2" x14ac:dyDescent="0.25">
      <c r="A855" s="1" t="s">
        <v>14</v>
      </c>
      <c r="B855" s="8">
        <v>38052.6</v>
      </c>
    </row>
    <row r="856" spans="1:2" x14ac:dyDescent="0.25">
      <c r="A856" s="1" t="s">
        <v>28</v>
      </c>
      <c r="B856" s="8">
        <v>9859</v>
      </c>
    </row>
    <row r="857" spans="1:2" x14ac:dyDescent="0.25">
      <c r="A857" s="1" t="s">
        <v>15</v>
      </c>
      <c r="B857" s="8">
        <v>238628.04</v>
      </c>
    </row>
    <row r="858" spans="1:2" x14ac:dyDescent="0.25">
      <c r="A858" s="1" t="s">
        <v>16</v>
      </c>
      <c r="B858" s="8">
        <v>218662.1</v>
      </c>
    </row>
    <row r="859" spans="1:2" x14ac:dyDescent="0.25">
      <c r="A859" s="1" t="s">
        <v>17</v>
      </c>
      <c r="B859" s="8">
        <v>1269073.6200000001</v>
      </c>
    </row>
    <row r="860" spans="1:2" x14ac:dyDescent="0.25">
      <c r="A860" s="1" t="s">
        <v>18</v>
      </c>
      <c r="B860" s="8">
        <v>195895.36</v>
      </c>
    </row>
    <row r="861" spans="1:2" x14ac:dyDescent="0.25">
      <c r="A861" s="1" t="s">
        <v>19</v>
      </c>
      <c r="B861" s="8">
        <v>1308679.6299999999</v>
      </c>
    </row>
    <row r="862" spans="1:2" x14ac:dyDescent="0.25">
      <c r="A862" s="1" t="s">
        <v>20</v>
      </c>
      <c r="B862" s="8">
        <v>14742.45</v>
      </c>
    </row>
    <row r="863" spans="1:2" x14ac:dyDescent="0.25">
      <c r="A863" s="1" t="s">
        <v>22</v>
      </c>
      <c r="B863" s="8">
        <v>306580.92</v>
      </c>
    </row>
    <row r="864" spans="1:2" x14ac:dyDescent="0.25">
      <c r="A864" s="1" t="s">
        <v>23</v>
      </c>
      <c r="B864" s="8">
        <v>19</v>
      </c>
    </row>
    <row r="865" spans="1:2" x14ac:dyDescent="0.25">
      <c r="A865" s="1" t="s">
        <v>24</v>
      </c>
      <c r="B865" s="8">
        <v>2096.44</v>
      </c>
    </row>
    <row r="866" spans="1:2" x14ac:dyDescent="0.25">
      <c r="A866" s="1" t="s">
        <v>25</v>
      </c>
      <c r="B866" s="8">
        <v>326834.89</v>
      </c>
    </row>
    <row r="867" spans="1:2" x14ac:dyDescent="0.25">
      <c r="A867" s="1" t="s">
        <v>26</v>
      </c>
      <c r="B867" s="8">
        <v>1175862.27</v>
      </c>
    </row>
    <row r="868" spans="1:2" x14ac:dyDescent="0.25">
      <c r="A868" s="1" t="s">
        <v>27</v>
      </c>
      <c r="B868" s="8">
        <v>521661.31</v>
      </c>
    </row>
    <row r="869" spans="1:2" x14ac:dyDescent="0.25">
      <c r="A869" s="1" t="s">
        <v>2</v>
      </c>
      <c r="B869" s="8">
        <v>14513.99</v>
      </c>
    </row>
    <row r="870" spans="1:2" x14ac:dyDescent="0.25">
      <c r="A870" s="1" t="s">
        <v>3</v>
      </c>
      <c r="B870" s="8">
        <v>579379.93999999994</v>
      </c>
    </row>
    <row r="871" spans="1:2" x14ac:dyDescent="0.25">
      <c r="A871" s="1" t="s">
        <v>4</v>
      </c>
      <c r="B871" s="8">
        <v>235514.2</v>
      </c>
    </row>
    <row r="872" spans="1:2" x14ac:dyDescent="0.25">
      <c r="A872" s="1" t="s">
        <v>5</v>
      </c>
      <c r="B872" s="8">
        <v>8700</v>
      </c>
    </row>
    <row r="873" spans="1:2" x14ac:dyDescent="0.25">
      <c r="A873" s="1" t="s">
        <v>7</v>
      </c>
      <c r="B873" s="8">
        <v>244663.23</v>
      </c>
    </row>
    <row r="874" spans="1:2" x14ac:dyDescent="0.25">
      <c r="A874" s="1" t="s">
        <v>8</v>
      </c>
      <c r="B874" s="8">
        <v>869569.9</v>
      </c>
    </row>
    <row r="875" spans="1:2" x14ac:dyDescent="0.25">
      <c r="A875" s="1" t="s">
        <v>9</v>
      </c>
      <c r="B875" s="8">
        <v>229446.49</v>
      </c>
    </row>
    <row r="876" spans="1:2" x14ac:dyDescent="0.25">
      <c r="A876" s="1" t="s">
        <v>10</v>
      </c>
      <c r="B876" s="8">
        <v>384037.93</v>
      </c>
    </row>
    <row r="877" spans="1:2" x14ac:dyDescent="0.25">
      <c r="A877" s="1" t="s">
        <v>11</v>
      </c>
      <c r="B877" s="8">
        <v>811487.49</v>
      </c>
    </row>
    <row r="878" spans="1:2" x14ac:dyDescent="0.25">
      <c r="A878" s="1" t="s">
        <v>12</v>
      </c>
      <c r="B878" s="8">
        <v>416812.29</v>
      </c>
    </row>
    <row r="879" spans="1:2" x14ac:dyDescent="0.25">
      <c r="A879" s="1" t="s">
        <v>13</v>
      </c>
      <c r="B879" s="8">
        <v>237555.98</v>
      </c>
    </row>
    <row r="880" spans="1:2" x14ac:dyDescent="0.25">
      <c r="A880" s="1" t="s">
        <v>14</v>
      </c>
      <c r="B880" s="8">
        <v>10136.6</v>
      </c>
    </row>
    <row r="881" spans="1:2" x14ac:dyDescent="0.25">
      <c r="A881" s="1" t="s">
        <v>28</v>
      </c>
      <c r="B881" s="8">
        <v>6998</v>
      </c>
    </row>
    <row r="882" spans="1:2" x14ac:dyDescent="0.25">
      <c r="A882" s="1" t="s">
        <v>15</v>
      </c>
      <c r="B882" s="8">
        <v>109898.99</v>
      </c>
    </row>
    <row r="883" spans="1:2" x14ac:dyDescent="0.25">
      <c r="A883" s="1" t="s">
        <v>16</v>
      </c>
      <c r="B883" s="8">
        <v>131201.56</v>
      </c>
    </row>
    <row r="884" spans="1:2" x14ac:dyDescent="0.25">
      <c r="A884" s="1" t="s">
        <v>17</v>
      </c>
      <c r="B884" s="8">
        <v>1083976.22</v>
      </c>
    </row>
    <row r="885" spans="1:2" x14ac:dyDescent="0.25">
      <c r="A885" s="1" t="s">
        <v>18</v>
      </c>
      <c r="B885" s="8">
        <v>177286.2</v>
      </c>
    </row>
    <row r="886" spans="1:2" x14ac:dyDescent="0.25">
      <c r="A886" s="1" t="s">
        <v>19</v>
      </c>
      <c r="B886" s="8">
        <v>1161646.54</v>
      </c>
    </row>
    <row r="887" spans="1:2" x14ac:dyDescent="0.25">
      <c r="A887" s="1" t="s">
        <v>20</v>
      </c>
      <c r="B887" s="8">
        <v>11793.81</v>
      </c>
    </row>
    <row r="888" spans="1:2" x14ac:dyDescent="0.25">
      <c r="A888" s="1" t="s">
        <v>22</v>
      </c>
      <c r="B888" s="8">
        <v>283347.27</v>
      </c>
    </row>
    <row r="889" spans="1:2" x14ac:dyDescent="0.25">
      <c r="A889" s="1" t="s">
        <v>23</v>
      </c>
      <c r="B889" s="8">
        <v>152</v>
      </c>
    </row>
    <row r="890" spans="1:2" x14ac:dyDescent="0.25">
      <c r="A890" s="1" t="s">
        <v>24</v>
      </c>
      <c r="B890" s="8">
        <v>2160.7600000000002</v>
      </c>
    </row>
    <row r="891" spans="1:2" x14ac:dyDescent="0.25">
      <c r="A891" s="1" t="s">
        <v>25</v>
      </c>
      <c r="B891" s="8">
        <v>265749.12</v>
      </c>
    </row>
    <row r="892" spans="1:2" x14ac:dyDescent="0.25">
      <c r="A892" s="1" t="s">
        <v>26</v>
      </c>
      <c r="B892" s="8">
        <v>472420.09</v>
      </c>
    </row>
    <row r="893" spans="1:2" x14ac:dyDescent="0.25">
      <c r="A893" s="1" t="s">
        <v>27</v>
      </c>
      <c r="B893" s="8">
        <v>457094.72</v>
      </c>
    </row>
    <row r="894" spans="1:2" x14ac:dyDescent="0.25">
      <c r="A894" s="1" t="s">
        <v>2</v>
      </c>
      <c r="B894" s="8">
        <v>12629.99</v>
      </c>
    </row>
    <row r="895" spans="1:2" x14ac:dyDescent="0.25">
      <c r="A895" s="1" t="s">
        <v>3</v>
      </c>
      <c r="B895" s="8">
        <v>602732.23</v>
      </c>
    </row>
    <row r="896" spans="1:2" x14ac:dyDescent="0.25">
      <c r="A896" s="1" t="s">
        <v>4</v>
      </c>
      <c r="B896" s="8">
        <v>214233.89</v>
      </c>
    </row>
    <row r="897" spans="1:2" x14ac:dyDescent="0.25">
      <c r="A897" s="1" t="s">
        <v>5</v>
      </c>
      <c r="B897" s="8">
        <v>420</v>
      </c>
    </row>
    <row r="898" spans="1:2" x14ac:dyDescent="0.25">
      <c r="A898" s="1" t="s">
        <v>7</v>
      </c>
      <c r="B898" s="8">
        <v>155491.26</v>
      </c>
    </row>
    <row r="899" spans="1:2" x14ac:dyDescent="0.25">
      <c r="A899" s="1" t="s">
        <v>8</v>
      </c>
      <c r="B899" s="8">
        <v>587487.56999999995</v>
      </c>
    </row>
    <row r="900" spans="1:2" x14ac:dyDescent="0.25">
      <c r="A900" s="1" t="s">
        <v>9</v>
      </c>
      <c r="B900" s="8">
        <v>130528</v>
      </c>
    </row>
    <row r="901" spans="1:2" x14ac:dyDescent="0.25">
      <c r="A901" s="1" t="s">
        <v>10</v>
      </c>
      <c r="B901" s="8">
        <v>161428.92000000001</v>
      </c>
    </row>
    <row r="902" spans="1:2" x14ac:dyDescent="0.25">
      <c r="A902" s="1" t="s">
        <v>11</v>
      </c>
      <c r="B902" s="8">
        <v>716180.73</v>
      </c>
    </row>
    <row r="903" spans="1:2" x14ac:dyDescent="0.25">
      <c r="A903" s="1" t="s">
        <v>12</v>
      </c>
      <c r="B903" s="8">
        <v>306619.84000000003</v>
      </c>
    </row>
    <row r="904" spans="1:2" x14ac:dyDescent="0.25">
      <c r="A904" s="1" t="s">
        <v>13</v>
      </c>
      <c r="B904" s="8">
        <v>205687.98</v>
      </c>
    </row>
    <row r="905" spans="1:2" x14ac:dyDescent="0.25">
      <c r="A905" s="1" t="s">
        <v>14</v>
      </c>
      <c r="B905" s="8">
        <v>9237.7999999999993</v>
      </c>
    </row>
    <row r="906" spans="1:2" x14ac:dyDescent="0.25">
      <c r="A906" s="1" t="s">
        <v>28</v>
      </c>
      <c r="B906" s="8">
        <v>3442</v>
      </c>
    </row>
    <row r="907" spans="1:2" x14ac:dyDescent="0.25">
      <c r="A907" s="1" t="s">
        <v>15</v>
      </c>
      <c r="B907" s="8">
        <v>47785.36</v>
      </c>
    </row>
    <row r="908" spans="1:2" x14ac:dyDescent="0.25">
      <c r="A908" s="1" t="s">
        <v>16</v>
      </c>
      <c r="B908" s="8">
        <v>120842.06</v>
      </c>
    </row>
    <row r="909" spans="1:2" x14ac:dyDescent="0.25">
      <c r="A909" s="1" t="s">
        <v>17</v>
      </c>
      <c r="B909" s="8">
        <v>606107.5</v>
      </c>
    </row>
    <row r="910" spans="1:2" x14ac:dyDescent="0.25">
      <c r="A910" s="1" t="s">
        <v>18</v>
      </c>
      <c r="B910" s="8">
        <v>76471.3</v>
      </c>
    </row>
    <row r="911" spans="1:2" x14ac:dyDescent="0.25">
      <c r="A911" s="1" t="s">
        <v>19</v>
      </c>
      <c r="B911" s="8">
        <v>526507.06999999995</v>
      </c>
    </row>
    <row r="912" spans="1:2" x14ac:dyDescent="0.25">
      <c r="A912" s="1" t="s">
        <v>20</v>
      </c>
      <c r="B912" s="8">
        <v>7172.11</v>
      </c>
    </row>
    <row r="913" spans="1:2" x14ac:dyDescent="0.25">
      <c r="A913" s="1" t="s">
        <v>22</v>
      </c>
      <c r="B913" s="8">
        <v>219602.46</v>
      </c>
    </row>
    <row r="914" spans="1:2" x14ac:dyDescent="0.25">
      <c r="A914" s="1" t="s">
        <v>23</v>
      </c>
      <c r="B914" s="8">
        <v>57</v>
      </c>
    </row>
    <row r="915" spans="1:2" x14ac:dyDescent="0.25">
      <c r="A915" s="1" t="s">
        <v>24</v>
      </c>
      <c r="B915" s="8">
        <v>4333.08</v>
      </c>
    </row>
    <row r="916" spans="1:2" x14ac:dyDescent="0.25">
      <c r="A916" s="1" t="s">
        <v>25</v>
      </c>
      <c r="B916" s="8">
        <v>188873.82</v>
      </c>
    </row>
    <row r="917" spans="1:2" x14ac:dyDescent="0.25">
      <c r="A917" s="1" t="s">
        <v>26</v>
      </c>
      <c r="B917" s="8">
        <v>323085.56</v>
      </c>
    </row>
    <row r="918" spans="1:2" x14ac:dyDescent="0.25">
      <c r="A918" s="1" t="s">
        <v>27</v>
      </c>
      <c r="B918" s="8">
        <v>311339.23</v>
      </c>
    </row>
    <row r="919" spans="1:2" x14ac:dyDescent="0.25">
      <c r="A919" s="1" t="s">
        <v>2</v>
      </c>
      <c r="B919" s="8">
        <v>6728</v>
      </c>
    </row>
    <row r="920" spans="1:2" x14ac:dyDescent="0.25">
      <c r="A920" s="1" t="s">
        <v>3</v>
      </c>
      <c r="B920" s="8">
        <v>221090.77</v>
      </c>
    </row>
    <row r="921" spans="1:2" x14ac:dyDescent="0.25">
      <c r="A921" s="1" t="s">
        <v>4</v>
      </c>
      <c r="B921" s="8">
        <v>94007.69</v>
      </c>
    </row>
    <row r="922" spans="1:2" x14ac:dyDescent="0.25">
      <c r="A922" s="1" t="s">
        <v>5</v>
      </c>
      <c r="B922" s="8">
        <v>2264</v>
      </c>
    </row>
    <row r="923" spans="1:2" x14ac:dyDescent="0.25">
      <c r="A923" s="1" t="s">
        <v>7</v>
      </c>
      <c r="B923" s="8">
        <v>94650.28</v>
      </c>
    </row>
    <row r="924" spans="1:2" x14ac:dyDescent="0.25">
      <c r="A924" s="1" t="s">
        <v>8</v>
      </c>
      <c r="B924" s="8">
        <v>642282.13</v>
      </c>
    </row>
    <row r="925" spans="1:2" x14ac:dyDescent="0.25">
      <c r="A925" s="1" t="s">
        <v>9</v>
      </c>
      <c r="B925" s="8">
        <v>92469.07</v>
      </c>
    </row>
    <row r="926" spans="1:2" x14ac:dyDescent="0.25">
      <c r="A926" s="1" t="s">
        <v>10</v>
      </c>
      <c r="B926" s="8">
        <v>97346.64</v>
      </c>
    </row>
    <row r="927" spans="1:2" x14ac:dyDescent="0.25">
      <c r="A927" s="1" t="s">
        <v>11</v>
      </c>
      <c r="B927" s="8">
        <v>326618</v>
      </c>
    </row>
    <row r="928" spans="1:2" x14ac:dyDescent="0.25">
      <c r="A928" s="1" t="s">
        <v>12</v>
      </c>
      <c r="B928" s="8">
        <v>144853.62</v>
      </c>
    </row>
    <row r="929" spans="1:2" x14ac:dyDescent="0.25">
      <c r="A929" s="1" t="s">
        <v>13</v>
      </c>
      <c r="B929" s="8">
        <v>139055.99</v>
      </c>
    </row>
    <row r="930" spans="1:2" x14ac:dyDescent="0.25">
      <c r="A930" s="1" t="s">
        <v>14</v>
      </c>
      <c r="B930" s="8">
        <v>14253.6</v>
      </c>
    </row>
    <row r="931" spans="1:2" x14ac:dyDescent="0.25">
      <c r="A931" s="1" t="s">
        <v>28</v>
      </c>
      <c r="B931" s="8">
        <v>5431</v>
      </c>
    </row>
    <row r="932" spans="1:2" x14ac:dyDescent="0.25">
      <c r="A932" s="1" t="s">
        <v>15</v>
      </c>
      <c r="B932" s="8">
        <v>80745.070000000007</v>
      </c>
    </row>
    <row r="933" spans="1:2" x14ac:dyDescent="0.25">
      <c r="A933" s="1" t="s">
        <v>16</v>
      </c>
      <c r="B933" s="8">
        <v>23080.74</v>
      </c>
    </row>
    <row r="934" spans="1:2" x14ac:dyDescent="0.25">
      <c r="A934" s="1" t="s">
        <v>17</v>
      </c>
      <c r="B934" s="8">
        <v>311636.40000000002</v>
      </c>
    </row>
    <row r="935" spans="1:2" x14ac:dyDescent="0.25">
      <c r="A935" s="1" t="s">
        <v>18</v>
      </c>
      <c r="B935" s="8">
        <v>59162.9</v>
      </c>
    </row>
    <row r="936" spans="1:2" x14ac:dyDescent="0.25">
      <c r="A936" s="1" t="s">
        <v>19</v>
      </c>
      <c r="B936" s="8">
        <v>190932.52</v>
      </c>
    </row>
    <row r="937" spans="1:2" x14ac:dyDescent="0.25">
      <c r="A937" s="1" t="s">
        <v>20</v>
      </c>
      <c r="B937" s="8">
        <v>4382.29</v>
      </c>
    </row>
    <row r="938" spans="1:2" x14ac:dyDescent="0.25">
      <c r="A938" s="1" t="s">
        <v>22</v>
      </c>
      <c r="B938" s="8">
        <v>171432.05</v>
      </c>
    </row>
    <row r="939" spans="1:2" x14ac:dyDescent="0.25">
      <c r="A939" s="1" t="s">
        <v>23</v>
      </c>
      <c r="B939" s="8">
        <v>19</v>
      </c>
    </row>
    <row r="940" spans="1:2" x14ac:dyDescent="0.25">
      <c r="A940" s="1" t="s">
        <v>24</v>
      </c>
      <c r="B940" s="8">
        <v>855.96</v>
      </c>
    </row>
    <row r="941" spans="1:2" x14ac:dyDescent="0.25">
      <c r="A941" s="1" t="s">
        <v>25</v>
      </c>
      <c r="B941" s="8">
        <v>137125.22</v>
      </c>
    </row>
    <row r="942" spans="1:2" x14ac:dyDescent="0.25">
      <c r="A942" s="1" t="s">
        <v>26</v>
      </c>
      <c r="B942" s="8">
        <v>317931.7</v>
      </c>
    </row>
    <row r="943" spans="1:2" x14ac:dyDescent="0.25">
      <c r="A943" s="1" t="s">
        <v>27</v>
      </c>
      <c r="B943" s="8">
        <v>303416.96000000002</v>
      </c>
    </row>
    <row r="944" spans="1:2" x14ac:dyDescent="0.25">
      <c r="A944" s="1" t="s">
        <v>2</v>
      </c>
      <c r="B944" s="8">
        <v>9848</v>
      </c>
    </row>
    <row r="945" spans="1:2" x14ac:dyDescent="0.25">
      <c r="A945" s="1" t="s">
        <v>3</v>
      </c>
      <c r="B945" s="8">
        <v>182404.09</v>
      </c>
    </row>
    <row r="946" spans="1:2" x14ac:dyDescent="0.25">
      <c r="A946" s="1" t="s">
        <v>4</v>
      </c>
      <c r="B946" s="8">
        <v>87020.11</v>
      </c>
    </row>
    <row r="947" spans="1:2" x14ac:dyDescent="0.25">
      <c r="A947" s="1" t="s">
        <v>5</v>
      </c>
      <c r="B947" s="8">
        <v>710</v>
      </c>
    </row>
    <row r="948" spans="1:2" x14ac:dyDescent="0.25">
      <c r="A948" s="1" t="s">
        <v>7</v>
      </c>
      <c r="B948" s="8">
        <v>90496.74</v>
      </c>
    </row>
    <row r="949" spans="1:2" x14ac:dyDescent="0.25">
      <c r="A949" s="1" t="s">
        <v>8</v>
      </c>
      <c r="B949" s="8">
        <v>391926.62</v>
      </c>
    </row>
    <row r="950" spans="1:2" x14ac:dyDescent="0.25">
      <c r="A950" s="1" t="s">
        <v>9</v>
      </c>
      <c r="B950" s="8">
        <v>110935.14</v>
      </c>
    </row>
    <row r="951" spans="1:2" x14ac:dyDescent="0.25">
      <c r="A951" s="1" t="s">
        <v>10</v>
      </c>
      <c r="B951" s="8">
        <v>111157.9</v>
      </c>
    </row>
    <row r="952" spans="1:2" x14ac:dyDescent="0.25">
      <c r="A952" s="1" t="s">
        <v>11</v>
      </c>
      <c r="B952" s="8">
        <v>262230</v>
      </c>
    </row>
    <row r="953" spans="1:2" x14ac:dyDescent="0.25">
      <c r="A953" s="1" t="s">
        <v>12</v>
      </c>
      <c r="B953" s="8">
        <v>175078.74</v>
      </c>
    </row>
    <row r="954" spans="1:2" x14ac:dyDescent="0.25">
      <c r="A954" s="1" t="s">
        <v>13</v>
      </c>
      <c r="B954" s="8">
        <v>143529</v>
      </c>
    </row>
    <row r="955" spans="1:2" x14ac:dyDescent="0.25">
      <c r="A955" s="1" t="s">
        <v>14</v>
      </c>
      <c r="B955" s="8">
        <v>1877.4</v>
      </c>
    </row>
    <row r="956" spans="1:2" x14ac:dyDescent="0.25">
      <c r="A956" s="1" t="s">
        <v>28</v>
      </c>
      <c r="B956" s="8">
        <v>2600</v>
      </c>
    </row>
    <row r="957" spans="1:2" x14ac:dyDescent="0.25">
      <c r="A957" s="1" t="s">
        <v>15</v>
      </c>
      <c r="B957" s="8">
        <v>111383.6</v>
      </c>
    </row>
    <row r="958" spans="1:2" x14ac:dyDescent="0.25">
      <c r="A958" s="1" t="s">
        <v>16</v>
      </c>
      <c r="B958" s="8">
        <v>37939.730000000003</v>
      </c>
    </row>
    <row r="959" spans="1:2" x14ac:dyDescent="0.25">
      <c r="A959" s="1" t="s">
        <v>17</v>
      </c>
      <c r="B959" s="8">
        <v>376326.3</v>
      </c>
    </row>
    <row r="960" spans="1:2" x14ac:dyDescent="0.25">
      <c r="A960" s="1" t="s">
        <v>18</v>
      </c>
      <c r="B960" s="8">
        <v>47805.2</v>
      </c>
    </row>
    <row r="961" spans="1:2" x14ac:dyDescent="0.25">
      <c r="A961" s="1" t="s">
        <v>19</v>
      </c>
      <c r="B961" s="8">
        <v>356687.52</v>
      </c>
    </row>
    <row r="962" spans="1:2" x14ac:dyDescent="0.25">
      <c r="A962" s="1" t="s">
        <v>20</v>
      </c>
      <c r="B962" s="8">
        <v>6309.71</v>
      </c>
    </row>
    <row r="963" spans="1:2" x14ac:dyDescent="0.25">
      <c r="A963" s="1" t="s">
        <v>22</v>
      </c>
      <c r="B963" s="8">
        <v>141904.54999999999</v>
      </c>
    </row>
    <row r="964" spans="1:2" x14ac:dyDescent="0.25">
      <c r="A964" s="1" t="s">
        <v>23</v>
      </c>
      <c r="B964" s="8">
        <v>133</v>
      </c>
    </row>
    <row r="965" spans="1:2" x14ac:dyDescent="0.25">
      <c r="A965" s="1" t="s">
        <v>24</v>
      </c>
      <c r="B965" s="8">
        <v>2482.12</v>
      </c>
    </row>
    <row r="966" spans="1:2" x14ac:dyDescent="0.25">
      <c r="A966" s="1" t="s">
        <v>25</v>
      </c>
      <c r="B966" s="8">
        <v>141861.28</v>
      </c>
    </row>
    <row r="967" spans="1:2" x14ac:dyDescent="0.25">
      <c r="A967" s="1" t="s">
        <v>26</v>
      </c>
      <c r="B967" s="8">
        <v>290082.96000000002</v>
      </c>
    </row>
    <row r="968" spans="1:2" x14ac:dyDescent="0.25">
      <c r="A968" s="1" t="s">
        <v>27</v>
      </c>
      <c r="B968" s="8">
        <v>294161.56</v>
      </c>
    </row>
    <row r="969" spans="1:2" x14ac:dyDescent="0.25">
      <c r="A969" s="1" t="s">
        <v>2</v>
      </c>
      <c r="B969" s="8">
        <v>5874.99</v>
      </c>
    </row>
    <row r="970" spans="1:2" x14ac:dyDescent="0.25">
      <c r="A970" s="1" t="s">
        <v>3</v>
      </c>
      <c r="B970" s="8">
        <v>178937.21</v>
      </c>
    </row>
    <row r="971" spans="1:2" x14ac:dyDescent="0.25">
      <c r="A971" s="1" t="s">
        <v>4</v>
      </c>
      <c r="B971" s="8">
        <v>102810.83</v>
      </c>
    </row>
    <row r="972" spans="1:2" x14ac:dyDescent="0.25">
      <c r="A972" s="1" t="s">
        <v>7</v>
      </c>
      <c r="B972" s="8">
        <v>73731.39</v>
      </c>
    </row>
    <row r="973" spans="1:2" x14ac:dyDescent="0.25">
      <c r="A973" s="1" t="s">
        <v>8</v>
      </c>
      <c r="B973" s="8">
        <v>399387.25</v>
      </c>
    </row>
    <row r="974" spans="1:2" x14ac:dyDescent="0.25">
      <c r="A974" s="1" t="s">
        <v>9</v>
      </c>
      <c r="B974" s="8">
        <v>99881.22</v>
      </c>
    </row>
    <row r="975" spans="1:2" x14ac:dyDescent="0.25">
      <c r="A975" s="1" t="s">
        <v>10</v>
      </c>
      <c r="B975" s="8">
        <v>109292.5</v>
      </c>
    </row>
    <row r="976" spans="1:2" x14ac:dyDescent="0.25">
      <c r="A976" s="1" t="s">
        <v>11</v>
      </c>
      <c r="B976" s="8">
        <v>383887</v>
      </c>
    </row>
    <row r="977" spans="1:2" x14ac:dyDescent="0.25">
      <c r="A977" s="1" t="s">
        <v>12</v>
      </c>
      <c r="B977" s="8">
        <v>178878.84</v>
      </c>
    </row>
    <row r="978" spans="1:2" x14ac:dyDescent="0.25">
      <c r="A978" s="1" t="s">
        <v>13</v>
      </c>
      <c r="B978" s="8">
        <v>126110</v>
      </c>
    </row>
    <row r="979" spans="1:2" x14ac:dyDescent="0.25">
      <c r="A979" s="1" t="s">
        <v>14</v>
      </c>
      <c r="B979" s="8">
        <v>7783.8</v>
      </c>
    </row>
    <row r="980" spans="1:2" x14ac:dyDescent="0.25">
      <c r="A980" s="1" t="s">
        <v>28</v>
      </c>
      <c r="B980" s="8">
        <v>2600</v>
      </c>
    </row>
    <row r="981" spans="1:2" x14ac:dyDescent="0.25">
      <c r="A981" s="1" t="s">
        <v>15</v>
      </c>
      <c r="B981" s="8">
        <v>103960.86</v>
      </c>
    </row>
    <row r="982" spans="1:2" x14ac:dyDescent="0.25">
      <c r="A982" s="1" t="s">
        <v>16</v>
      </c>
      <c r="B982" s="8">
        <v>88390.63</v>
      </c>
    </row>
    <row r="983" spans="1:2" x14ac:dyDescent="0.25">
      <c r="A983" s="1" t="s">
        <v>17</v>
      </c>
      <c r="B983" s="8">
        <v>395567.2</v>
      </c>
    </row>
    <row r="984" spans="1:2" x14ac:dyDescent="0.25">
      <c r="A984" s="1" t="s">
        <v>18</v>
      </c>
      <c r="B984" s="8">
        <v>51359.12</v>
      </c>
    </row>
    <row r="985" spans="1:2" x14ac:dyDescent="0.25">
      <c r="A985" s="1" t="s">
        <v>19</v>
      </c>
      <c r="B985" s="8">
        <v>399010.95</v>
      </c>
    </row>
    <row r="986" spans="1:2" x14ac:dyDescent="0.25">
      <c r="A986" s="1" t="s">
        <v>20</v>
      </c>
      <c r="B986" s="8">
        <v>8381.64</v>
      </c>
    </row>
    <row r="987" spans="1:2" x14ac:dyDescent="0.25">
      <c r="A987" s="1" t="s">
        <v>21</v>
      </c>
      <c r="B987" s="8">
        <v>7486.95</v>
      </c>
    </row>
    <row r="988" spans="1:2" x14ac:dyDescent="0.25">
      <c r="A988" s="1" t="s">
        <v>22</v>
      </c>
      <c r="B988" s="8">
        <v>159627.73000000001</v>
      </c>
    </row>
    <row r="989" spans="1:2" x14ac:dyDescent="0.25">
      <c r="A989" s="1" t="s">
        <v>23</v>
      </c>
      <c r="B989" s="8">
        <v>38</v>
      </c>
    </row>
    <row r="990" spans="1:2" x14ac:dyDescent="0.25">
      <c r="A990" s="1" t="s">
        <v>24</v>
      </c>
      <c r="B990" s="8">
        <v>1056.5999999999999</v>
      </c>
    </row>
    <row r="991" spans="1:2" x14ac:dyDescent="0.25">
      <c r="A991" s="1" t="s">
        <v>25</v>
      </c>
      <c r="B991" s="8">
        <v>122428.2</v>
      </c>
    </row>
    <row r="992" spans="1:2" x14ac:dyDescent="0.25">
      <c r="A992" s="1" t="s">
        <v>26</v>
      </c>
      <c r="B992" s="8">
        <v>238135.11</v>
      </c>
    </row>
    <row r="993" spans="1:2" x14ac:dyDescent="0.25">
      <c r="A993" s="1" t="s">
        <v>27</v>
      </c>
      <c r="B993" s="8">
        <v>177953.89</v>
      </c>
    </row>
    <row r="994" spans="1:2" x14ac:dyDescent="0.25">
      <c r="A994" s="1" t="s">
        <v>2</v>
      </c>
      <c r="B994" s="8">
        <v>9448.9500000000007</v>
      </c>
    </row>
    <row r="995" spans="1:2" x14ac:dyDescent="0.25">
      <c r="A995" s="1" t="s">
        <v>3</v>
      </c>
      <c r="B995" s="8">
        <v>211130.26</v>
      </c>
    </row>
    <row r="996" spans="1:2" x14ac:dyDescent="0.25">
      <c r="A996" s="1" t="s">
        <v>4</v>
      </c>
      <c r="B996" s="8">
        <v>118570.24000000001</v>
      </c>
    </row>
    <row r="997" spans="1:2" x14ac:dyDescent="0.25">
      <c r="A997" s="1" t="s">
        <v>6</v>
      </c>
      <c r="B997" s="8">
        <v>1760</v>
      </c>
    </row>
    <row r="998" spans="1:2" x14ac:dyDescent="0.25">
      <c r="A998" s="1" t="s">
        <v>7</v>
      </c>
      <c r="B998" s="8">
        <v>90947.92</v>
      </c>
    </row>
    <row r="999" spans="1:2" x14ac:dyDescent="0.25">
      <c r="A999" s="1" t="s">
        <v>8</v>
      </c>
      <c r="B999" s="8">
        <v>560522.23</v>
      </c>
    </row>
    <row r="1000" spans="1:2" x14ac:dyDescent="0.25">
      <c r="A1000" s="1" t="s">
        <v>9</v>
      </c>
      <c r="B1000" s="8">
        <v>102674.15</v>
      </c>
    </row>
    <row r="1001" spans="1:2" x14ac:dyDescent="0.25">
      <c r="A1001" s="1" t="s">
        <v>10</v>
      </c>
      <c r="B1001" s="8">
        <v>112788.56</v>
      </c>
    </row>
    <row r="1002" spans="1:2" x14ac:dyDescent="0.25">
      <c r="A1002" s="1" t="s">
        <v>11</v>
      </c>
      <c r="B1002" s="8">
        <v>370605.5</v>
      </c>
    </row>
    <row r="1003" spans="1:2" x14ac:dyDescent="0.25">
      <c r="A1003" s="1" t="s">
        <v>12</v>
      </c>
      <c r="B1003" s="8">
        <v>219441.44</v>
      </c>
    </row>
    <row r="1004" spans="1:2" x14ac:dyDescent="0.25">
      <c r="A1004" s="1" t="s">
        <v>13</v>
      </c>
      <c r="B1004" s="8">
        <v>137902</v>
      </c>
    </row>
    <row r="1005" spans="1:2" x14ac:dyDescent="0.25">
      <c r="A1005" s="1" t="s">
        <v>14</v>
      </c>
      <c r="B1005" s="8">
        <v>11406</v>
      </c>
    </row>
    <row r="1006" spans="1:2" x14ac:dyDescent="0.25">
      <c r="A1006" s="1" t="s">
        <v>28</v>
      </c>
      <c r="B1006" s="8">
        <v>4550</v>
      </c>
    </row>
    <row r="1007" spans="1:2" x14ac:dyDescent="0.25">
      <c r="A1007" s="1" t="s">
        <v>15</v>
      </c>
      <c r="B1007" s="8">
        <v>157289.91</v>
      </c>
    </row>
    <row r="1008" spans="1:2" x14ac:dyDescent="0.25">
      <c r="A1008" s="1" t="s">
        <v>16</v>
      </c>
      <c r="B1008" s="8">
        <v>59528.94</v>
      </c>
    </row>
    <row r="1009" spans="1:2" x14ac:dyDescent="0.25">
      <c r="A1009" s="1" t="s">
        <v>17</v>
      </c>
      <c r="B1009" s="8">
        <v>487596.61</v>
      </c>
    </row>
    <row r="1010" spans="1:2" x14ac:dyDescent="0.25">
      <c r="A1010" s="1" t="s">
        <v>18</v>
      </c>
      <c r="B1010" s="8">
        <v>41205.839999999997</v>
      </c>
    </row>
    <row r="1011" spans="1:2" x14ac:dyDescent="0.25">
      <c r="A1011" s="1" t="s">
        <v>19</v>
      </c>
      <c r="B1011" s="8">
        <v>455940.76</v>
      </c>
    </row>
    <row r="1012" spans="1:2" x14ac:dyDescent="0.25">
      <c r="A1012" s="1" t="s">
        <v>20</v>
      </c>
      <c r="B1012" s="8">
        <v>11259.58</v>
      </c>
    </row>
    <row r="1013" spans="1:2" x14ac:dyDescent="0.25">
      <c r="A1013" s="1" t="s">
        <v>21</v>
      </c>
      <c r="B1013" s="8">
        <v>14755.59</v>
      </c>
    </row>
    <row r="1014" spans="1:2" x14ac:dyDescent="0.25">
      <c r="A1014" s="1" t="s">
        <v>22</v>
      </c>
      <c r="B1014" s="8">
        <v>158235.26</v>
      </c>
    </row>
    <row r="1015" spans="1:2" x14ac:dyDescent="0.25">
      <c r="A1015" s="1" t="s">
        <v>24</v>
      </c>
      <c r="B1015" s="8">
        <v>2588.44</v>
      </c>
    </row>
    <row r="1016" spans="1:2" x14ac:dyDescent="0.25">
      <c r="A1016" s="1" t="s">
        <v>25</v>
      </c>
      <c r="B1016" s="8">
        <v>123321.18</v>
      </c>
    </row>
    <row r="1017" spans="1:2" x14ac:dyDescent="0.25">
      <c r="A1017" s="1" t="s">
        <v>26</v>
      </c>
      <c r="B1017" s="8">
        <v>212701.41</v>
      </c>
    </row>
    <row r="1018" spans="1:2" x14ac:dyDescent="0.25">
      <c r="A1018" s="1" t="s">
        <v>27</v>
      </c>
      <c r="B1018" s="8">
        <v>232039.71</v>
      </c>
    </row>
    <row r="1019" spans="1:2" x14ac:dyDescent="0.25">
      <c r="A1019" s="1" t="s">
        <v>2</v>
      </c>
      <c r="B1019" s="8">
        <v>11969.96</v>
      </c>
    </row>
    <row r="1020" spans="1:2" x14ac:dyDescent="0.25">
      <c r="A1020" s="1" t="s">
        <v>3</v>
      </c>
      <c r="B1020" s="8">
        <v>187228.13</v>
      </c>
    </row>
    <row r="1021" spans="1:2" x14ac:dyDescent="0.25">
      <c r="A1021" s="1" t="s">
        <v>4</v>
      </c>
      <c r="B1021" s="8">
        <v>106139.22</v>
      </c>
    </row>
    <row r="1022" spans="1:2" x14ac:dyDescent="0.25">
      <c r="A1022" s="1" t="s">
        <v>5</v>
      </c>
      <c r="B1022" s="8">
        <v>1492</v>
      </c>
    </row>
    <row r="1023" spans="1:2" x14ac:dyDescent="0.25">
      <c r="A1023" s="1" t="s">
        <v>7</v>
      </c>
      <c r="B1023" s="8">
        <v>97303.28</v>
      </c>
    </row>
    <row r="1024" spans="1:2" x14ac:dyDescent="0.25">
      <c r="A1024" s="1" t="s">
        <v>8</v>
      </c>
      <c r="B1024" s="8">
        <v>371127.71</v>
      </c>
    </row>
    <row r="1025" spans="1:2" x14ac:dyDescent="0.25">
      <c r="A1025" s="1" t="s">
        <v>9</v>
      </c>
      <c r="B1025" s="8">
        <v>111378.68</v>
      </c>
    </row>
    <row r="1026" spans="1:2" x14ac:dyDescent="0.25">
      <c r="A1026" s="1" t="s">
        <v>10</v>
      </c>
      <c r="B1026" s="8">
        <v>127607.71</v>
      </c>
    </row>
    <row r="1027" spans="1:2" x14ac:dyDescent="0.25">
      <c r="A1027" s="1" t="s">
        <v>11</v>
      </c>
      <c r="B1027" s="8">
        <v>336277.11</v>
      </c>
    </row>
    <row r="1028" spans="1:2" x14ac:dyDescent="0.25">
      <c r="A1028" s="1" t="s">
        <v>12</v>
      </c>
      <c r="B1028" s="8">
        <v>230238.1</v>
      </c>
    </row>
    <row r="1029" spans="1:2" x14ac:dyDescent="0.25">
      <c r="A1029" s="1" t="s">
        <v>13</v>
      </c>
      <c r="B1029" s="8">
        <v>148790</v>
      </c>
    </row>
    <row r="1030" spans="1:2" x14ac:dyDescent="0.25">
      <c r="A1030" s="1" t="s">
        <v>14</v>
      </c>
      <c r="B1030" s="8">
        <v>8598.7999999999993</v>
      </c>
    </row>
    <row r="1031" spans="1:2" x14ac:dyDescent="0.25">
      <c r="A1031" s="1" t="s">
        <v>28</v>
      </c>
      <c r="B1031" s="8">
        <v>5200</v>
      </c>
    </row>
    <row r="1032" spans="1:2" x14ac:dyDescent="0.25">
      <c r="A1032" s="1" t="s">
        <v>15</v>
      </c>
      <c r="B1032" s="8">
        <v>171916.39</v>
      </c>
    </row>
    <row r="1033" spans="1:2" x14ac:dyDescent="0.25">
      <c r="A1033" s="1" t="s">
        <v>16</v>
      </c>
      <c r="B1033" s="8">
        <v>72603.5</v>
      </c>
    </row>
    <row r="1034" spans="1:2" x14ac:dyDescent="0.25">
      <c r="A1034" s="1" t="s">
        <v>17</v>
      </c>
      <c r="B1034" s="8">
        <v>639344.96</v>
      </c>
    </row>
    <row r="1035" spans="1:2" x14ac:dyDescent="0.25">
      <c r="A1035" s="1" t="s">
        <v>18</v>
      </c>
      <c r="B1035" s="8">
        <v>109637.3</v>
      </c>
    </row>
    <row r="1036" spans="1:2" x14ac:dyDescent="0.25">
      <c r="A1036" s="1" t="s">
        <v>19</v>
      </c>
      <c r="B1036" s="8">
        <v>497023.1</v>
      </c>
    </row>
    <row r="1037" spans="1:2" x14ac:dyDescent="0.25">
      <c r="A1037" s="1" t="s">
        <v>20</v>
      </c>
      <c r="B1037" s="8">
        <v>10105.9</v>
      </c>
    </row>
    <row r="1038" spans="1:2" x14ac:dyDescent="0.25">
      <c r="A1038" s="1" t="s">
        <v>21</v>
      </c>
      <c r="B1038" s="8">
        <v>8586.48</v>
      </c>
    </row>
    <row r="1039" spans="1:2" x14ac:dyDescent="0.25">
      <c r="A1039" s="1" t="s">
        <v>22</v>
      </c>
      <c r="B1039" s="8">
        <v>200437.68</v>
      </c>
    </row>
    <row r="1040" spans="1:2" x14ac:dyDescent="0.25">
      <c r="A1040" s="1" t="s">
        <v>24</v>
      </c>
      <c r="B1040" s="8">
        <v>1902.72</v>
      </c>
    </row>
    <row r="1041" spans="1:2" x14ac:dyDescent="0.25">
      <c r="A1041" s="1" t="s">
        <v>25</v>
      </c>
      <c r="B1041" s="8">
        <v>131193.76999999999</v>
      </c>
    </row>
    <row r="1042" spans="1:2" x14ac:dyDescent="0.25">
      <c r="A1042" s="1" t="s">
        <v>26</v>
      </c>
      <c r="B1042" s="8">
        <v>235050.6</v>
      </c>
    </row>
    <row r="1043" spans="1:2" x14ac:dyDescent="0.25">
      <c r="A1043" s="1" t="s">
        <v>27</v>
      </c>
      <c r="B1043" s="8">
        <v>301419.81</v>
      </c>
    </row>
    <row r="1044" spans="1:2" x14ac:dyDescent="0.25">
      <c r="A1044" s="1" t="s">
        <v>2</v>
      </c>
      <c r="B1044" s="8">
        <v>10476.99</v>
      </c>
    </row>
    <row r="1045" spans="1:2" x14ac:dyDescent="0.25">
      <c r="A1045" s="1" t="s">
        <v>3</v>
      </c>
      <c r="B1045" s="8">
        <v>247582.53</v>
      </c>
    </row>
    <row r="1046" spans="1:2" x14ac:dyDescent="0.25">
      <c r="A1046" s="1" t="s">
        <v>4</v>
      </c>
      <c r="B1046" s="8">
        <v>101308.63</v>
      </c>
    </row>
    <row r="1047" spans="1:2" x14ac:dyDescent="0.25">
      <c r="A1047" s="1" t="s">
        <v>5</v>
      </c>
      <c r="B1047" s="8">
        <v>2130</v>
      </c>
    </row>
    <row r="1048" spans="1:2" x14ac:dyDescent="0.25">
      <c r="A1048" s="1" t="s">
        <v>6</v>
      </c>
      <c r="B1048" s="8">
        <v>5280</v>
      </c>
    </row>
    <row r="1049" spans="1:2" x14ac:dyDescent="0.25">
      <c r="A1049" s="1" t="s">
        <v>7</v>
      </c>
      <c r="B1049" s="8">
        <v>79747.16</v>
      </c>
    </row>
    <row r="1050" spans="1:2" x14ac:dyDescent="0.25">
      <c r="A1050" s="1" t="s">
        <v>8</v>
      </c>
      <c r="B1050" s="8">
        <v>381644.75</v>
      </c>
    </row>
    <row r="1051" spans="1:2" x14ac:dyDescent="0.25">
      <c r="A1051" s="1" t="s">
        <v>9</v>
      </c>
      <c r="B1051" s="8">
        <v>134848.44</v>
      </c>
    </row>
    <row r="1052" spans="1:2" x14ac:dyDescent="0.25">
      <c r="A1052" s="1" t="s">
        <v>10</v>
      </c>
      <c r="B1052" s="8">
        <v>131771.48000000001</v>
      </c>
    </row>
    <row r="1053" spans="1:2" x14ac:dyDescent="0.25">
      <c r="A1053" s="1" t="s">
        <v>11</v>
      </c>
      <c r="B1053" s="8">
        <v>277501</v>
      </c>
    </row>
    <row r="1054" spans="1:2" x14ac:dyDescent="0.25">
      <c r="A1054" s="1" t="s">
        <v>12</v>
      </c>
      <c r="B1054" s="8">
        <v>174144.15</v>
      </c>
    </row>
    <row r="1055" spans="1:2" x14ac:dyDescent="0.25">
      <c r="A1055" s="1" t="s">
        <v>13</v>
      </c>
      <c r="B1055" s="8">
        <v>103629</v>
      </c>
    </row>
    <row r="1056" spans="1:2" x14ac:dyDescent="0.25">
      <c r="A1056" s="1" t="s">
        <v>14</v>
      </c>
      <c r="B1056" s="8">
        <v>7485</v>
      </c>
    </row>
    <row r="1057" spans="1:2" x14ac:dyDescent="0.25">
      <c r="A1057" s="1" t="s">
        <v>28</v>
      </c>
      <c r="B1057" s="8">
        <v>1950</v>
      </c>
    </row>
    <row r="1058" spans="1:2" x14ac:dyDescent="0.25">
      <c r="A1058" s="1" t="s">
        <v>15</v>
      </c>
      <c r="B1058" s="8">
        <v>108352.64</v>
      </c>
    </row>
    <row r="1059" spans="1:2" x14ac:dyDescent="0.25">
      <c r="A1059" s="1" t="s">
        <v>16</v>
      </c>
      <c r="B1059" s="8">
        <v>35533.15</v>
      </c>
    </row>
    <row r="1060" spans="1:2" x14ac:dyDescent="0.25">
      <c r="A1060" s="1" t="s">
        <v>17</v>
      </c>
      <c r="B1060" s="8">
        <v>588351.25</v>
      </c>
    </row>
    <row r="1061" spans="1:2" x14ac:dyDescent="0.25">
      <c r="A1061" s="1" t="s">
        <v>18</v>
      </c>
      <c r="B1061" s="8">
        <v>78979.28</v>
      </c>
    </row>
    <row r="1062" spans="1:2" x14ac:dyDescent="0.25">
      <c r="A1062" s="1" t="s">
        <v>19</v>
      </c>
      <c r="B1062" s="8">
        <v>439219.98</v>
      </c>
    </row>
    <row r="1063" spans="1:2" x14ac:dyDescent="0.25">
      <c r="A1063" s="1" t="s">
        <v>20</v>
      </c>
      <c r="B1063" s="8">
        <v>11373.06</v>
      </c>
    </row>
    <row r="1064" spans="1:2" x14ac:dyDescent="0.25">
      <c r="A1064" s="1" t="s">
        <v>21</v>
      </c>
      <c r="B1064" s="8">
        <v>7714.95</v>
      </c>
    </row>
    <row r="1065" spans="1:2" x14ac:dyDescent="0.25">
      <c r="A1065" s="1" t="s">
        <v>22</v>
      </c>
      <c r="B1065" s="8">
        <v>168456.4</v>
      </c>
    </row>
    <row r="1066" spans="1:2" x14ac:dyDescent="0.25">
      <c r="A1066" s="1" t="s">
        <v>24</v>
      </c>
      <c r="B1066" s="8">
        <v>3167.12</v>
      </c>
    </row>
    <row r="1067" spans="1:2" x14ac:dyDescent="0.25">
      <c r="A1067" s="1" t="s">
        <v>25</v>
      </c>
      <c r="B1067" s="8">
        <v>151155.26999999999</v>
      </c>
    </row>
    <row r="1068" spans="1:2" x14ac:dyDescent="0.25">
      <c r="A1068" s="1" t="s">
        <v>26</v>
      </c>
      <c r="B1068" s="8">
        <v>253268.73</v>
      </c>
    </row>
    <row r="1069" spans="1:2" x14ac:dyDescent="0.25">
      <c r="A1069" s="1" t="s">
        <v>27</v>
      </c>
      <c r="B1069" s="8">
        <v>379699.89</v>
      </c>
    </row>
    <row r="1070" spans="1:2" x14ac:dyDescent="0.25">
      <c r="A1070" s="1" t="s">
        <v>2</v>
      </c>
      <c r="B1070" s="8">
        <v>9036.99</v>
      </c>
    </row>
    <row r="1071" spans="1:2" x14ac:dyDescent="0.25">
      <c r="A1071" s="1" t="s">
        <v>3</v>
      </c>
      <c r="B1071" s="8">
        <v>237396.06</v>
      </c>
    </row>
    <row r="1072" spans="1:2" x14ac:dyDescent="0.25">
      <c r="A1072" s="1" t="s">
        <v>4</v>
      </c>
      <c r="B1072" s="8">
        <v>74974.740000000005</v>
      </c>
    </row>
    <row r="1073" spans="1:2" x14ac:dyDescent="0.25">
      <c r="A1073" s="1" t="s">
        <v>5</v>
      </c>
      <c r="B1073" s="8">
        <v>574</v>
      </c>
    </row>
    <row r="1074" spans="1:2" x14ac:dyDescent="0.25">
      <c r="A1074" s="1" t="s">
        <v>7</v>
      </c>
      <c r="B1074" s="8">
        <v>87587.06</v>
      </c>
    </row>
    <row r="1075" spans="1:2" x14ac:dyDescent="0.25">
      <c r="A1075" s="1" t="s">
        <v>8</v>
      </c>
      <c r="B1075" s="8">
        <v>400012.79</v>
      </c>
    </row>
    <row r="1076" spans="1:2" x14ac:dyDescent="0.25">
      <c r="A1076" s="1" t="s">
        <v>9</v>
      </c>
      <c r="B1076" s="8">
        <v>88911.62</v>
      </c>
    </row>
    <row r="1077" spans="1:2" x14ac:dyDescent="0.25">
      <c r="A1077" s="1" t="s">
        <v>10</v>
      </c>
      <c r="B1077" s="8">
        <v>118848.59</v>
      </c>
    </row>
    <row r="1078" spans="1:2" x14ac:dyDescent="0.25">
      <c r="A1078" s="1" t="s">
        <v>11</v>
      </c>
      <c r="B1078" s="8">
        <v>233061</v>
      </c>
    </row>
    <row r="1079" spans="1:2" x14ac:dyDescent="0.25">
      <c r="A1079" s="1" t="s">
        <v>12</v>
      </c>
      <c r="B1079" s="8">
        <v>232050.24</v>
      </c>
    </row>
    <row r="1080" spans="1:2" x14ac:dyDescent="0.25">
      <c r="A1080" s="1" t="s">
        <v>13</v>
      </c>
      <c r="B1080" s="8">
        <v>78733</v>
      </c>
    </row>
    <row r="1081" spans="1:2" x14ac:dyDescent="0.25">
      <c r="A1081" s="1" t="s">
        <v>14</v>
      </c>
      <c r="B1081" s="8">
        <v>17976.2</v>
      </c>
    </row>
    <row r="1082" spans="1:2" x14ac:dyDescent="0.25">
      <c r="A1082" s="1" t="s">
        <v>15</v>
      </c>
      <c r="B1082" s="8">
        <v>58329.440000000002</v>
      </c>
    </row>
    <row r="1083" spans="1:2" x14ac:dyDescent="0.25">
      <c r="A1083" s="1" t="s">
        <v>16</v>
      </c>
      <c r="B1083" s="8">
        <v>40794.43</v>
      </c>
    </row>
    <row r="1084" spans="1:2" x14ac:dyDescent="0.25">
      <c r="A1084" s="1" t="s">
        <v>17</v>
      </c>
      <c r="B1084" s="8">
        <v>413009.47</v>
      </c>
    </row>
    <row r="1085" spans="1:2" x14ac:dyDescent="0.25">
      <c r="A1085" s="1" t="s">
        <v>18</v>
      </c>
      <c r="B1085" s="8">
        <v>67193.72</v>
      </c>
    </row>
    <row r="1086" spans="1:2" x14ac:dyDescent="0.25">
      <c r="A1086" s="1" t="s">
        <v>19</v>
      </c>
      <c r="B1086" s="8">
        <v>349689.82</v>
      </c>
    </row>
    <row r="1087" spans="1:2" x14ac:dyDescent="0.25">
      <c r="A1087" s="1" t="s">
        <v>20</v>
      </c>
      <c r="B1087" s="8">
        <v>9001.33</v>
      </c>
    </row>
    <row r="1088" spans="1:2" x14ac:dyDescent="0.25">
      <c r="A1088" s="1" t="s">
        <v>21</v>
      </c>
      <c r="B1088" s="8">
        <v>200.14</v>
      </c>
    </row>
    <row r="1089" spans="1:2" x14ac:dyDescent="0.25">
      <c r="A1089" s="1" t="s">
        <v>22</v>
      </c>
      <c r="B1089" s="8">
        <v>146625.42000000001</v>
      </c>
    </row>
    <row r="1090" spans="1:2" x14ac:dyDescent="0.25">
      <c r="A1090" s="1" t="s">
        <v>23</v>
      </c>
      <c r="B1090" s="8">
        <v>76</v>
      </c>
    </row>
    <row r="1091" spans="1:2" x14ac:dyDescent="0.25">
      <c r="A1091" s="1" t="s">
        <v>24</v>
      </c>
      <c r="B1091" s="8">
        <v>2199.3200000000002</v>
      </c>
    </row>
    <row r="1092" spans="1:2" x14ac:dyDescent="0.25">
      <c r="A1092" s="1" t="s">
        <v>25</v>
      </c>
      <c r="B1092" s="8">
        <v>93941.440000000002</v>
      </c>
    </row>
    <row r="1093" spans="1:2" x14ac:dyDescent="0.25">
      <c r="A1093" s="1" t="s">
        <v>26</v>
      </c>
      <c r="B1093" s="8">
        <v>221137.93</v>
      </c>
    </row>
    <row r="1094" spans="1:2" x14ac:dyDescent="0.25">
      <c r="A1094" s="1" t="s">
        <v>27</v>
      </c>
      <c r="B1094" s="8">
        <v>300537.75</v>
      </c>
    </row>
    <row r="1095" spans="1:2" x14ac:dyDescent="0.25">
      <c r="A1095" s="1" t="s">
        <v>2</v>
      </c>
      <c r="B1095" s="8">
        <v>6779.97</v>
      </c>
    </row>
    <row r="1096" spans="1:2" x14ac:dyDescent="0.25">
      <c r="A1096" s="1" t="s">
        <v>3</v>
      </c>
      <c r="B1096" s="8">
        <v>180409.55</v>
      </c>
    </row>
    <row r="1097" spans="1:2" x14ac:dyDescent="0.25">
      <c r="A1097" s="1" t="s">
        <v>4</v>
      </c>
      <c r="B1097" s="8">
        <v>75598.59</v>
      </c>
    </row>
    <row r="1098" spans="1:2" x14ac:dyDescent="0.25">
      <c r="A1098" s="1" t="s">
        <v>7</v>
      </c>
      <c r="B1098" s="8">
        <v>100698.55</v>
      </c>
    </row>
    <row r="1099" spans="1:2" x14ac:dyDescent="0.25">
      <c r="A1099" s="1" t="s">
        <v>8</v>
      </c>
      <c r="B1099" s="8">
        <v>503250.9</v>
      </c>
    </row>
    <row r="1100" spans="1:2" x14ac:dyDescent="0.25">
      <c r="A1100" s="1" t="s">
        <v>9</v>
      </c>
      <c r="B1100" s="8">
        <v>98716.28</v>
      </c>
    </row>
    <row r="1101" spans="1:2" x14ac:dyDescent="0.25">
      <c r="A1101" s="1" t="s">
        <v>10</v>
      </c>
      <c r="B1101" s="8">
        <v>220549.95</v>
      </c>
    </row>
    <row r="1102" spans="1:2" x14ac:dyDescent="0.25">
      <c r="A1102" s="1" t="s">
        <v>11</v>
      </c>
      <c r="B1102" s="8">
        <v>214549</v>
      </c>
    </row>
    <row r="1103" spans="1:2" x14ac:dyDescent="0.25">
      <c r="A1103" s="1" t="s">
        <v>12</v>
      </c>
      <c r="B1103" s="8">
        <v>170056.97</v>
      </c>
    </row>
    <row r="1104" spans="1:2" x14ac:dyDescent="0.25">
      <c r="A1104" s="1" t="s">
        <v>13</v>
      </c>
      <c r="B1104" s="8">
        <v>82145</v>
      </c>
    </row>
    <row r="1105" spans="1:2" x14ac:dyDescent="0.25">
      <c r="A1105" s="1" t="s">
        <v>14</v>
      </c>
      <c r="B1105" s="8">
        <v>11419.8</v>
      </c>
    </row>
    <row r="1106" spans="1:2" x14ac:dyDescent="0.25">
      <c r="A1106" s="1" t="s">
        <v>28</v>
      </c>
      <c r="B1106" s="8">
        <v>5850</v>
      </c>
    </row>
    <row r="1107" spans="1:2" x14ac:dyDescent="0.25">
      <c r="A1107" s="1" t="s">
        <v>15</v>
      </c>
      <c r="B1107" s="8">
        <v>41434.25</v>
      </c>
    </row>
    <row r="1108" spans="1:2" x14ac:dyDescent="0.25">
      <c r="A1108" s="1" t="s">
        <v>16</v>
      </c>
      <c r="B1108" s="8">
        <v>55332.46</v>
      </c>
    </row>
    <row r="1109" spans="1:2" x14ac:dyDescent="0.25">
      <c r="A1109" s="1" t="s">
        <v>17</v>
      </c>
      <c r="B1109" s="8">
        <v>479505.03</v>
      </c>
    </row>
    <row r="1110" spans="1:2" x14ac:dyDescent="0.25">
      <c r="A1110" s="1" t="s">
        <v>18</v>
      </c>
      <c r="B1110" s="8">
        <v>83807.86</v>
      </c>
    </row>
    <row r="1111" spans="1:2" x14ac:dyDescent="0.25">
      <c r="A1111" s="1" t="s">
        <v>19</v>
      </c>
      <c r="B1111" s="8">
        <v>492061.43</v>
      </c>
    </row>
    <row r="1112" spans="1:2" x14ac:dyDescent="0.25">
      <c r="A1112" s="1" t="s">
        <v>20</v>
      </c>
      <c r="B1112" s="8">
        <v>10272.02</v>
      </c>
    </row>
    <row r="1113" spans="1:2" x14ac:dyDescent="0.25">
      <c r="A1113" s="1" t="s">
        <v>21</v>
      </c>
      <c r="B1113" s="8">
        <v>2835</v>
      </c>
    </row>
    <row r="1114" spans="1:2" x14ac:dyDescent="0.25">
      <c r="A1114" s="1" t="s">
        <v>22</v>
      </c>
      <c r="B1114" s="8">
        <v>166987.84</v>
      </c>
    </row>
    <row r="1115" spans="1:2" x14ac:dyDescent="0.25">
      <c r="A1115" s="1" t="s">
        <v>24</v>
      </c>
      <c r="B1115" s="8">
        <v>665.88</v>
      </c>
    </row>
    <row r="1116" spans="1:2" x14ac:dyDescent="0.25">
      <c r="A1116" s="1" t="s">
        <v>25</v>
      </c>
      <c r="B1116" s="8">
        <v>104593.91</v>
      </c>
    </row>
    <row r="1117" spans="1:2" x14ac:dyDescent="0.25">
      <c r="A1117" s="1" t="s">
        <v>26</v>
      </c>
      <c r="B1117" s="8">
        <v>253017.36</v>
      </c>
    </row>
    <row r="1118" spans="1:2" x14ac:dyDescent="0.25">
      <c r="A1118" s="1" t="s">
        <v>27</v>
      </c>
      <c r="B1118" s="8">
        <v>332855.11</v>
      </c>
    </row>
    <row r="1119" spans="1:2" x14ac:dyDescent="0.25">
      <c r="A1119" s="1" t="s">
        <v>2</v>
      </c>
      <c r="B1119" s="8">
        <v>7214.99</v>
      </c>
    </row>
    <row r="1120" spans="1:2" x14ac:dyDescent="0.25">
      <c r="A1120" s="1" t="s">
        <v>3</v>
      </c>
      <c r="B1120" s="8">
        <v>205531.9</v>
      </c>
    </row>
    <row r="1121" spans="1:2" x14ac:dyDescent="0.25">
      <c r="A1121" s="1" t="s">
        <v>4</v>
      </c>
      <c r="B1121" s="8">
        <v>72783.02</v>
      </c>
    </row>
    <row r="1122" spans="1:2" x14ac:dyDescent="0.25">
      <c r="A1122" s="1" t="s">
        <v>5</v>
      </c>
      <c r="B1122" s="8">
        <v>994</v>
      </c>
    </row>
    <row r="1123" spans="1:2" x14ac:dyDescent="0.25">
      <c r="A1123" s="1" t="s">
        <v>7</v>
      </c>
      <c r="B1123" s="8">
        <v>110244.68</v>
      </c>
    </row>
    <row r="1124" spans="1:2" x14ac:dyDescent="0.25">
      <c r="A1124" s="1" t="s">
        <v>8</v>
      </c>
      <c r="B1124" s="8">
        <v>656217.67000000004</v>
      </c>
    </row>
    <row r="1125" spans="1:2" x14ac:dyDescent="0.25">
      <c r="A1125" s="1" t="s">
        <v>9</v>
      </c>
      <c r="B1125" s="8">
        <v>96405</v>
      </c>
    </row>
    <row r="1126" spans="1:2" x14ac:dyDescent="0.25">
      <c r="A1126" s="1" t="s">
        <v>10</v>
      </c>
      <c r="B1126" s="8">
        <v>232057.16</v>
      </c>
    </row>
    <row r="1127" spans="1:2" x14ac:dyDescent="0.25">
      <c r="A1127" s="1" t="s">
        <v>11</v>
      </c>
      <c r="B1127" s="8">
        <v>297658.96999999997</v>
      </c>
    </row>
    <row r="1128" spans="1:2" x14ac:dyDescent="0.25">
      <c r="A1128" s="1" t="s">
        <v>12</v>
      </c>
      <c r="B1128" s="8">
        <v>155873.24</v>
      </c>
    </row>
    <row r="1129" spans="1:2" x14ac:dyDescent="0.25">
      <c r="A1129" s="1" t="s">
        <v>13</v>
      </c>
      <c r="B1129" s="8">
        <v>101402.99</v>
      </c>
    </row>
    <row r="1130" spans="1:2" x14ac:dyDescent="0.25">
      <c r="A1130" s="1" t="s">
        <v>14</v>
      </c>
      <c r="B1130" s="8">
        <v>11618.4</v>
      </c>
    </row>
    <row r="1131" spans="1:2" x14ac:dyDescent="0.25">
      <c r="A1131" s="1" t="s">
        <v>28</v>
      </c>
      <c r="B1131" s="8">
        <v>1300</v>
      </c>
    </row>
    <row r="1132" spans="1:2" x14ac:dyDescent="0.25">
      <c r="A1132" s="1" t="s">
        <v>15</v>
      </c>
      <c r="B1132" s="8">
        <v>103842.14</v>
      </c>
    </row>
    <row r="1133" spans="1:2" x14ac:dyDescent="0.25">
      <c r="A1133" s="1" t="s">
        <v>16</v>
      </c>
      <c r="B1133" s="8">
        <v>58329.46</v>
      </c>
    </row>
    <row r="1134" spans="1:2" x14ac:dyDescent="0.25">
      <c r="A1134" s="1" t="s">
        <v>17</v>
      </c>
      <c r="B1134" s="8">
        <v>537855.62</v>
      </c>
    </row>
    <row r="1135" spans="1:2" x14ac:dyDescent="0.25">
      <c r="A1135" s="1" t="s">
        <v>18</v>
      </c>
      <c r="B1135" s="8">
        <v>66996.36</v>
      </c>
    </row>
    <row r="1136" spans="1:2" x14ac:dyDescent="0.25">
      <c r="A1136" s="1" t="s">
        <v>19</v>
      </c>
      <c r="B1136" s="8">
        <v>509377.86</v>
      </c>
    </row>
    <row r="1137" spans="1:2" x14ac:dyDescent="0.25">
      <c r="A1137" s="1" t="s">
        <v>20</v>
      </c>
      <c r="B1137" s="8">
        <v>10565.55</v>
      </c>
    </row>
    <row r="1138" spans="1:2" x14ac:dyDescent="0.25">
      <c r="A1138" s="1" t="s">
        <v>21</v>
      </c>
      <c r="B1138" s="8">
        <v>8995.1299999999992</v>
      </c>
    </row>
    <row r="1139" spans="1:2" x14ac:dyDescent="0.25">
      <c r="A1139" s="1" t="s">
        <v>22</v>
      </c>
      <c r="B1139" s="8">
        <v>165050.79</v>
      </c>
    </row>
    <row r="1140" spans="1:2" x14ac:dyDescent="0.25">
      <c r="A1140" s="1" t="s">
        <v>23</v>
      </c>
      <c r="B1140" s="8">
        <v>19</v>
      </c>
    </row>
    <row r="1141" spans="1:2" x14ac:dyDescent="0.25">
      <c r="A1141" s="1" t="s">
        <v>24</v>
      </c>
      <c r="B1141" s="8">
        <v>3203.28</v>
      </c>
    </row>
    <row r="1142" spans="1:2" x14ac:dyDescent="0.25">
      <c r="A1142" s="1" t="s">
        <v>25</v>
      </c>
      <c r="B1142" s="8">
        <v>123448.9</v>
      </c>
    </row>
    <row r="1143" spans="1:2" x14ac:dyDescent="0.25">
      <c r="A1143" s="1" t="s">
        <v>26</v>
      </c>
      <c r="B1143" s="8">
        <v>275552.21999999997</v>
      </c>
    </row>
    <row r="1144" spans="1:2" x14ac:dyDescent="0.25">
      <c r="A1144" s="1" t="s">
        <v>27</v>
      </c>
      <c r="B1144" s="8">
        <v>333526.32</v>
      </c>
    </row>
    <row r="1145" spans="1:2" x14ac:dyDescent="0.25">
      <c r="A1145" s="1" t="s">
        <v>2</v>
      </c>
      <c r="B1145" s="8">
        <v>13855</v>
      </c>
    </row>
    <row r="1146" spans="1:2" x14ac:dyDescent="0.25">
      <c r="A1146" s="1" t="s">
        <v>3</v>
      </c>
      <c r="B1146" s="8">
        <v>193677.15</v>
      </c>
    </row>
    <row r="1147" spans="1:2" x14ac:dyDescent="0.25">
      <c r="A1147" s="1" t="s">
        <v>4</v>
      </c>
      <c r="B1147" s="8">
        <v>67578.070000000007</v>
      </c>
    </row>
    <row r="1148" spans="1:2" x14ac:dyDescent="0.25">
      <c r="A1148" s="1" t="s">
        <v>7</v>
      </c>
      <c r="B1148" s="8">
        <v>109467.36</v>
      </c>
    </row>
    <row r="1149" spans="1:2" x14ac:dyDescent="0.25">
      <c r="A1149" s="1" t="s">
        <v>8</v>
      </c>
      <c r="B1149" s="8">
        <v>624742.47</v>
      </c>
    </row>
    <row r="1150" spans="1:2" x14ac:dyDescent="0.25">
      <c r="A1150" s="1" t="s">
        <v>9</v>
      </c>
      <c r="B1150" s="8">
        <v>91977.84</v>
      </c>
    </row>
    <row r="1151" spans="1:2" x14ac:dyDescent="0.25">
      <c r="A1151" s="1" t="s">
        <v>10</v>
      </c>
      <c r="B1151" s="8">
        <v>217825.59</v>
      </c>
    </row>
    <row r="1152" spans="1:2" x14ac:dyDescent="0.25">
      <c r="A1152" s="1" t="s">
        <v>11</v>
      </c>
      <c r="B1152" s="8">
        <v>316703.93</v>
      </c>
    </row>
    <row r="1153" spans="1:2" x14ac:dyDescent="0.25">
      <c r="A1153" s="1" t="s">
        <v>12</v>
      </c>
      <c r="B1153" s="8">
        <v>199146.58</v>
      </c>
    </row>
    <row r="1154" spans="1:2" x14ac:dyDescent="0.25">
      <c r="A1154" s="1" t="s">
        <v>13</v>
      </c>
      <c r="B1154" s="8">
        <v>75259.990000000005</v>
      </c>
    </row>
    <row r="1155" spans="1:2" x14ac:dyDescent="0.25">
      <c r="A1155" s="1" t="s">
        <v>14</v>
      </c>
      <c r="B1155" s="8">
        <v>8963.2000000000007</v>
      </c>
    </row>
    <row r="1156" spans="1:2" x14ac:dyDescent="0.25">
      <c r="A1156" s="1" t="s">
        <v>28</v>
      </c>
      <c r="B1156" s="8">
        <v>650</v>
      </c>
    </row>
    <row r="1157" spans="1:2" x14ac:dyDescent="0.25">
      <c r="A1157" s="1" t="s">
        <v>15</v>
      </c>
      <c r="B1157" s="8">
        <v>80620.63</v>
      </c>
    </row>
    <row r="1158" spans="1:2" x14ac:dyDescent="0.25">
      <c r="A1158" s="1" t="s">
        <v>16</v>
      </c>
      <c r="B1158" s="8">
        <v>74144.289999999994</v>
      </c>
    </row>
    <row r="1159" spans="1:2" x14ac:dyDescent="0.25">
      <c r="A1159" s="1" t="s">
        <v>17</v>
      </c>
      <c r="B1159" s="8">
        <v>609553.02</v>
      </c>
    </row>
    <row r="1160" spans="1:2" x14ac:dyDescent="0.25">
      <c r="A1160" s="1" t="s">
        <v>18</v>
      </c>
      <c r="B1160" s="8">
        <v>64988.14</v>
      </c>
    </row>
    <row r="1161" spans="1:2" x14ac:dyDescent="0.25">
      <c r="A1161" s="1" t="s">
        <v>19</v>
      </c>
      <c r="B1161" s="8">
        <v>543813.24</v>
      </c>
    </row>
    <row r="1162" spans="1:2" x14ac:dyDescent="0.25">
      <c r="A1162" s="1" t="s">
        <v>20</v>
      </c>
      <c r="B1162" s="8">
        <v>11261.98</v>
      </c>
    </row>
    <row r="1163" spans="1:2" x14ac:dyDescent="0.25">
      <c r="A1163" s="1" t="s">
        <v>21</v>
      </c>
      <c r="B1163" s="8">
        <v>7633.5</v>
      </c>
    </row>
    <row r="1164" spans="1:2" x14ac:dyDescent="0.25">
      <c r="A1164" s="1" t="s">
        <v>22</v>
      </c>
      <c r="B1164" s="8">
        <v>169018.41</v>
      </c>
    </row>
    <row r="1165" spans="1:2" x14ac:dyDescent="0.25">
      <c r="A1165" s="1" t="s">
        <v>23</v>
      </c>
      <c r="B1165" s="8">
        <v>209.75</v>
      </c>
    </row>
    <row r="1166" spans="1:2" x14ac:dyDescent="0.25">
      <c r="A1166" s="1" t="s">
        <v>24</v>
      </c>
      <c r="B1166" s="8">
        <v>374.2</v>
      </c>
    </row>
    <row r="1167" spans="1:2" x14ac:dyDescent="0.25">
      <c r="A1167" s="1" t="s">
        <v>25</v>
      </c>
      <c r="B1167" s="8">
        <v>161348.13</v>
      </c>
    </row>
    <row r="1168" spans="1:2" x14ac:dyDescent="0.25">
      <c r="A1168" s="1" t="s">
        <v>26</v>
      </c>
      <c r="B1168" s="8">
        <v>349705.99</v>
      </c>
    </row>
    <row r="1169" spans="1:2" x14ac:dyDescent="0.25">
      <c r="A1169" s="1" t="s">
        <v>27</v>
      </c>
      <c r="B1169" s="8">
        <v>326927.98</v>
      </c>
    </row>
    <row r="1170" spans="1:2" x14ac:dyDescent="0.25">
      <c r="A1170" s="1" t="s">
        <v>2</v>
      </c>
      <c r="B1170" s="8">
        <v>10452.99</v>
      </c>
    </row>
    <row r="1171" spans="1:2" x14ac:dyDescent="0.25">
      <c r="A1171" s="1" t="s">
        <v>3</v>
      </c>
      <c r="B1171" s="8">
        <v>224915.24</v>
      </c>
    </row>
    <row r="1172" spans="1:2" x14ac:dyDescent="0.25">
      <c r="A1172" s="1" t="s">
        <v>4</v>
      </c>
      <c r="B1172" s="8">
        <v>129995.58</v>
      </c>
    </row>
    <row r="1173" spans="1:2" x14ac:dyDescent="0.25">
      <c r="A1173" s="1" t="s">
        <v>5</v>
      </c>
      <c r="B1173" s="8">
        <v>740</v>
      </c>
    </row>
    <row r="1174" spans="1:2" x14ac:dyDescent="0.25">
      <c r="A1174" s="1" t="s">
        <v>7</v>
      </c>
      <c r="B1174" s="8">
        <v>117451.91</v>
      </c>
    </row>
    <row r="1175" spans="1:2" x14ac:dyDescent="0.25">
      <c r="A1175" s="1" t="s">
        <v>8</v>
      </c>
      <c r="B1175" s="8">
        <v>652566.07999999996</v>
      </c>
    </row>
    <row r="1176" spans="1:2" x14ac:dyDescent="0.25">
      <c r="A1176" s="1" t="s">
        <v>9</v>
      </c>
      <c r="B1176" s="8">
        <v>121243.92</v>
      </c>
    </row>
    <row r="1177" spans="1:2" x14ac:dyDescent="0.25">
      <c r="A1177" s="1" t="s">
        <v>10</v>
      </c>
      <c r="B1177" s="8">
        <v>294085.05</v>
      </c>
    </row>
    <row r="1178" spans="1:2" x14ac:dyDescent="0.25">
      <c r="A1178" s="1" t="s">
        <v>11</v>
      </c>
      <c r="B1178" s="8">
        <v>489852.36</v>
      </c>
    </row>
    <row r="1179" spans="1:2" x14ac:dyDescent="0.25">
      <c r="A1179" s="1" t="s">
        <v>12</v>
      </c>
      <c r="B1179" s="8">
        <v>265386.7</v>
      </c>
    </row>
    <row r="1180" spans="1:2" x14ac:dyDescent="0.25">
      <c r="A1180" s="1" t="s">
        <v>13</v>
      </c>
      <c r="B1180" s="8">
        <v>124751.99</v>
      </c>
    </row>
    <row r="1181" spans="1:2" x14ac:dyDescent="0.25">
      <c r="A1181" s="1" t="s">
        <v>14</v>
      </c>
      <c r="B1181" s="8">
        <v>4126.6000000000004</v>
      </c>
    </row>
    <row r="1182" spans="1:2" x14ac:dyDescent="0.25">
      <c r="A1182" s="1" t="s">
        <v>28</v>
      </c>
      <c r="B1182" s="8">
        <v>1300</v>
      </c>
    </row>
    <row r="1183" spans="1:2" x14ac:dyDescent="0.25">
      <c r="A1183" s="1" t="s">
        <v>15</v>
      </c>
      <c r="B1183" s="8">
        <v>83675.570000000007</v>
      </c>
    </row>
    <row r="1184" spans="1:2" x14ac:dyDescent="0.25">
      <c r="A1184" s="1" t="s">
        <v>16</v>
      </c>
      <c r="B1184" s="8">
        <v>221262.42</v>
      </c>
    </row>
    <row r="1185" spans="1:2" x14ac:dyDescent="0.25">
      <c r="A1185" s="1" t="s">
        <v>17</v>
      </c>
      <c r="B1185" s="8">
        <v>816058.3</v>
      </c>
    </row>
    <row r="1186" spans="1:2" x14ac:dyDescent="0.25">
      <c r="A1186" s="1" t="s">
        <v>18</v>
      </c>
      <c r="B1186" s="8">
        <v>52683.02</v>
      </c>
    </row>
    <row r="1187" spans="1:2" x14ac:dyDescent="0.25">
      <c r="A1187" s="1" t="s">
        <v>19</v>
      </c>
      <c r="B1187" s="8">
        <v>540619.82999999996</v>
      </c>
    </row>
    <row r="1188" spans="1:2" x14ac:dyDescent="0.25">
      <c r="A1188" s="1" t="s">
        <v>20</v>
      </c>
      <c r="B1188" s="8">
        <v>6943.54</v>
      </c>
    </row>
    <row r="1189" spans="1:2" x14ac:dyDescent="0.25">
      <c r="A1189" s="1" t="s">
        <v>21</v>
      </c>
      <c r="B1189" s="8">
        <v>5010.4399999999996</v>
      </c>
    </row>
    <row r="1190" spans="1:2" x14ac:dyDescent="0.25">
      <c r="A1190" s="1" t="s">
        <v>22</v>
      </c>
      <c r="B1190" s="8">
        <v>279304.67</v>
      </c>
    </row>
    <row r="1191" spans="1:2" x14ac:dyDescent="0.25">
      <c r="A1191" s="1" t="s">
        <v>23</v>
      </c>
      <c r="B1191" s="8">
        <v>266</v>
      </c>
    </row>
    <row r="1192" spans="1:2" x14ac:dyDescent="0.25">
      <c r="A1192" s="1" t="s">
        <v>24</v>
      </c>
      <c r="B1192" s="8">
        <v>974.92</v>
      </c>
    </row>
    <row r="1193" spans="1:2" x14ac:dyDescent="0.25">
      <c r="A1193" s="1" t="s">
        <v>25</v>
      </c>
      <c r="B1193" s="8">
        <v>191538.29</v>
      </c>
    </row>
    <row r="1194" spans="1:2" x14ac:dyDescent="0.25">
      <c r="A1194" s="1" t="s">
        <v>26</v>
      </c>
      <c r="B1194" s="8">
        <v>349465.81</v>
      </c>
    </row>
    <row r="1195" spans="1:2" x14ac:dyDescent="0.25">
      <c r="A1195" s="1" t="s">
        <v>27</v>
      </c>
      <c r="B1195" s="8">
        <v>411859.89</v>
      </c>
    </row>
    <row r="1196" spans="1:2" x14ac:dyDescent="0.25">
      <c r="A1196" s="1" t="s">
        <v>2</v>
      </c>
      <c r="B1196" s="8">
        <v>7850.96</v>
      </c>
    </row>
    <row r="1197" spans="1:2" x14ac:dyDescent="0.25">
      <c r="A1197" s="1" t="s">
        <v>3</v>
      </c>
      <c r="B1197" s="8">
        <v>281294.71999999997</v>
      </c>
    </row>
    <row r="1198" spans="1:2" x14ac:dyDescent="0.25">
      <c r="A1198" s="1" t="s">
        <v>4</v>
      </c>
      <c r="B1198" s="8">
        <v>163488.29</v>
      </c>
    </row>
    <row r="1199" spans="1:2" x14ac:dyDescent="0.25">
      <c r="A1199" s="1" t="s">
        <v>5</v>
      </c>
      <c r="B1199" s="8">
        <v>1994</v>
      </c>
    </row>
    <row r="1200" spans="1:2" x14ac:dyDescent="0.25">
      <c r="A1200" s="1" t="s">
        <v>7</v>
      </c>
      <c r="B1200" s="8">
        <v>142423.71</v>
      </c>
    </row>
    <row r="1201" spans="1:2" x14ac:dyDescent="0.25">
      <c r="A1201" s="1" t="s">
        <v>8</v>
      </c>
      <c r="B1201" s="8">
        <v>602383.34</v>
      </c>
    </row>
    <row r="1202" spans="1:2" x14ac:dyDescent="0.25">
      <c r="A1202" s="1" t="s">
        <v>9</v>
      </c>
      <c r="B1202" s="8">
        <v>173563.33</v>
      </c>
    </row>
    <row r="1203" spans="1:2" x14ac:dyDescent="0.25">
      <c r="A1203" s="1" t="s">
        <v>10</v>
      </c>
      <c r="B1203" s="8">
        <v>199184.76</v>
      </c>
    </row>
    <row r="1204" spans="1:2" x14ac:dyDescent="0.25">
      <c r="A1204" s="1" t="s">
        <v>11</v>
      </c>
      <c r="B1204" s="8">
        <v>645267.84</v>
      </c>
    </row>
    <row r="1205" spans="1:2" x14ac:dyDescent="0.25">
      <c r="A1205" s="1" t="s">
        <v>12</v>
      </c>
      <c r="B1205" s="8">
        <v>329741.44</v>
      </c>
    </row>
    <row r="1206" spans="1:2" x14ac:dyDescent="0.25">
      <c r="A1206" s="1" t="s">
        <v>13</v>
      </c>
      <c r="B1206" s="8">
        <v>197956.99</v>
      </c>
    </row>
    <row r="1207" spans="1:2" x14ac:dyDescent="0.25">
      <c r="A1207" s="1" t="s">
        <v>14</v>
      </c>
      <c r="B1207" s="8">
        <v>17051</v>
      </c>
    </row>
    <row r="1208" spans="1:2" x14ac:dyDescent="0.25">
      <c r="A1208" s="1" t="s">
        <v>28</v>
      </c>
      <c r="B1208" s="8">
        <v>1950</v>
      </c>
    </row>
    <row r="1209" spans="1:2" x14ac:dyDescent="0.25">
      <c r="A1209" s="1" t="s">
        <v>15</v>
      </c>
      <c r="B1209" s="8">
        <v>70571.75</v>
      </c>
    </row>
    <row r="1210" spans="1:2" x14ac:dyDescent="0.25">
      <c r="A1210" s="1" t="s">
        <v>16</v>
      </c>
      <c r="B1210" s="8">
        <v>114167.03999999999</v>
      </c>
    </row>
    <row r="1211" spans="1:2" x14ac:dyDescent="0.25">
      <c r="A1211" s="1" t="s">
        <v>17</v>
      </c>
      <c r="B1211" s="8">
        <v>793959.46</v>
      </c>
    </row>
    <row r="1212" spans="1:2" x14ac:dyDescent="0.25">
      <c r="A1212" s="1" t="s">
        <v>18</v>
      </c>
      <c r="B1212" s="8">
        <v>81802.42</v>
      </c>
    </row>
    <row r="1213" spans="1:2" x14ac:dyDescent="0.25">
      <c r="A1213" s="1" t="s">
        <v>19</v>
      </c>
      <c r="B1213" s="8">
        <v>632796.09</v>
      </c>
    </row>
    <row r="1214" spans="1:2" x14ac:dyDescent="0.25">
      <c r="A1214" s="1" t="s">
        <v>20</v>
      </c>
      <c r="B1214" s="8">
        <v>8543.82</v>
      </c>
    </row>
    <row r="1215" spans="1:2" x14ac:dyDescent="0.25">
      <c r="A1215" s="1" t="s">
        <v>21</v>
      </c>
      <c r="B1215" s="8">
        <v>2023.7</v>
      </c>
    </row>
    <row r="1216" spans="1:2" x14ac:dyDescent="0.25">
      <c r="A1216" s="1" t="s">
        <v>22</v>
      </c>
      <c r="B1216" s="8">
        <v>420200.34</v>
      </c>
    </row>
    <row r="1217" spans="1:2" x14ac:dyDescent="0.25">
      <c r="A1217" s="1" t="s">
        <v>23</v>
      </c>
      <c r="B1217" s="8">
        <v>57</v>
      </c>
    </row>
    <row r="1218" spans="1:2" x14ac:dyDescent="0.25">
      <c r="A1218" s="1" t="s">
        <v>24</v>
      </c>
      <c r="B1218" s="8">
        <v>865.92</v>
      </c>
    </row>
    <row r="1219" spans="1:2" x14ac:dyDescent="0.25">
      <c r="A1219" s="1" t="s">
        <v>25</v>
      </c>
      <c r="B1219" s="8">
        <v>197701.01</v>
      </c>
    </row>
    <row r="1220" spans="1:2" x14ac:dyDescent="0.25">
      <c r="A1220" s="1" t="s">
        <v>26</v>
      </c>
      <c r="B1220" s="8">
        <v>332124.45</v>
      </c>
    </row>
    <row r="1221" spans="1:2" x14ac:dyDescent="0.25">
      <c r="A1221" s="1" t="s">
        <v>27</v>
      </c>
      <c r="B1221" s="8">
        <v>402673.04</v>
      </c>
    </row>
    <row r="1222" spans="1:2" x14ac:dyDescent="0.25">
      <c r="A1222" s="1" t="s">
        <v>2</v>
      </c>
      <c r="B1222" s="8">
        <v>7710.97</v>
      </c>
    </row>
    <row r="1223" spans="1:2" x14ac:dyDescent="0.25">
      <c r="A1223" s="1" t="s">
        <v>3</v>
      </c>
      <c r="B1223" s="8">
        <v>267291.08</v>
      </c>
    </row>
    <row r="1224" spans="1:2" x14ac:dyDescent="0.25">
      <c r="A1224" s="1" t="s">
        <v>4</v>
      </c>
      <c r="B1224" s="8">
        <v>100904.19</v>
      </c>
    </row>
    <row r="1225" spans="1:2" x14ac:dyDescent="0.25">
      <c r="A1225" s="1" t="s">
        <v>5</v>
      </c>
      <c r="B1225" s="8">
        <v>710</v>
      </c>
    </row>
    <row r="1226" spans="1:2" x14ac:dyDescent="0.25">
      <c r="A1226" s="1" t="s">
        <v>7</v>
      </c>
      <c r="B1226" s="8">
        <v>95910.27</v>
      </c>
    </row>
    <row r="1227" spans="1:2" x14ac:dyDescent="0.25">
      <c r="A1227" s="1" t="s">
        <v>8</v>
      </c>
      <c r="B1227" s="8">
        <v>617324.05000000005</v>
      </c>
    </row>
    <row r="1228" spans="1:2" x14ac:dyDescent="0.25">
      <c r="A1228" s="1" t="s">
        <v>9</v>
      </c>
      <c r="B1228" s="8">
        <v>100844.89</v>
      </c>
    </row>
    <row r="1229" spans="1:2" x14ac:dyDescent="0.25">
      <c r="A1229" s="1" t="s">
        <v>10</v>
      </c>
      <c r="B1229" s="8">
        <v>228653.48</v>
      </c>
    </row>
    <row r="1230" spans="1:2" x14ac:dyDescent="0.25">
      <c r="A1230" s="1" t="s">
        <v>11</v>
      </c>
      <c r="B1230" s="8">
        <v>408639.77</v>
      </c>
    </row>
    <row r="1231" spans="1:2" x14ac:dyDescent="0.25">
      <c r="A1231" s="1" t="s">
        <v>12</v>
      </c>
      <c r="B1231" s="8">
        <v>185212.5</v>
      </c>
    </row>
    <row r="1232" spans="1:2" x14ac:dyDescent="0.25">
      <c r="A1232" s="1" t="s">
        <v>13</v>
      </c>
      <c r="B1232" s="8">
        <v>147402.99</v>
      </c>
    </row>
    <row r="1233" spans="1:2" x14ac:dyDescent="0.25">
      <c r="A1233" s="1" t="s">
        <v>14</v>
      </c>
      <c r="B1233" s="8">
        <v>8221.7999999999993</v>
      </c>
    </row>
    <row r="1234" spans="1:2" x14ac:dyDescent="0.25">
      <c r="A1234" s="1" t="s">
        <v>15</v>
      </c>
      <c r="B1234" s="8">
        <v>53335.98</v>
      </c>
    </row>
    <row r="1235" spans="1:2" x14ac:dyDescent="0.25">
      <c r="A1235" s="1" t="s">
        <v>16</v>
      </c>
      <c r="B1235" s="8">
        <v>54362.54</v>
      </c>
    </row>
    <row r="1236" spans="1:2" x14ac:dyDescent="0.25">
      <c r="A1236" s="1" t="s">
        <v>17</v>
      </c>
      <c r="B1236" s="8">
        <v>630990.5</v>
      </c>
    </row>
    <row r="1237" spans="1:2" x14ac:dyDescent="0.25">
      <c r="A1237" s="1" t="s">
        <v>18</v>
      </c>
      <c r="B1237" s="8">
        <v>80450.720000000001</v>
      </c>
    </row>
    <row r="1238" spans="1:2" x14ac:dyDescent="0.25">
      <c r="A1238" s="1" t="s">
        <v>19</v>
      </c>
      <c r="B1238" s="8">
        <v>584814.35</v>
      </c>
    </row>
    <row r="1239" spans="1:2" x14ac:dyDescent="0.25">
      <c r="A1239" s="1" t="s">
        <v>20</v>
      </c>
      <c r="B1239" s="8">
        <v>3671.16</v>
      </c>
    </row>
    <row r="1240" spans="1:2" x14ac:dyDescent="0.25">
      <c r="A1240" s="1" t="s">
        <v>22</v>
      </c>
      <c r="B1240" s="8">
        <v>190811.46</v>
      </c>
    </row>
    <row r="1241" spans="1:2" x14ac:dyDescent="0.25">
      <c r="A1241" s="1" t="s">
        <v>24</v>
      </c>
      <c r="B1241" s="8">
        <v>324.72000000000003</v>
      </c>
    </row>
    <row r="1242" spans="1:2" x14ac:dyDescent="0.25">
      <c r="A1242" s="1" t="s">
        <v>25</v>
      </c>
      <c r="B1242" s="8">
        <v>225070.37</v>
      </c>
    </row>
    <row r="1243" spans="1:2" x14ac:dyDescent="0.25">
      <c r="A1243" s="1" t="s">
        <v>26</v>
      </c>
      <c r="B1243" s="8">
        <v>315792.06</v>
      </c>
    </row>
    <row r="1244" spans="1:2" x14ac:dyDescent="0.25">
      <c r="A1244" s="1" t="s">
        <v>27</v>
      </c>
      <c r="B1244" s="8">
        <v>419762.67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18"/>
  <sheetViews>
    <sheetView workbookViewId="0">
      <selection sqref="A1:B1"/>
    </sheetView>
  </sheetViews>
  <sheetFormatPr defaultRowHeight="15" x14ac:dyDescent="0.25"/>
  <cols>
    <col min="1" max="1" width="40.7109375" bestFit="1" customWidth="1"/>
    <col min="2" max="2" width="11.7109375" style="9" bestFit="1" customWidth="1"/>
  </cols>
  <sheetData>
    <row r="1" spans="1:2" ht="16.5" thickBot="1" x14ac:dyDescent="0.3">
      <c r="A1" s="16" t="s">
        <v>0</v>
      </c>
      <c r="B1" s="17" t="s">
        <v>1</v>
      </c>
    </row>
    <row r="2" spans="1:2" x14ac:dyDescent="0.25">
      <c r="A2" s="3" t="s">
        <v>2</v>
      </c>
      <c r="B2" s="8">
        <v>2213</v>
      </c>
    </row>
    <row r="3" spans="1:2" x14ac:dyDescent="0.25">
      <c r="A3" s="3" t="s">
        <v>3</v>
      </c>
      <c r="B3" s="8">
        <v>51615.08</v>
      </c>
    </row>
    <row r="4" spans="1:2" x14ac:dyDescent="0.25">
      <c r="A4" s="3" t="s">
        <v>4</v>
      </c>
      <c r="B4" s="8">
        <v>37470.239999999998</v>
      </c>
    </row>
    <row r="5" spans="1:2" x14ac:dyDescent="0.25">
      <c r="A5" s="3" t="s">
        <v>5</v>
      </c>
      <c r="B5" s="8">
        <v>1286</v>
      </c>
    </row>
    <row r="6" spans="1:2" x14ac:dyDescent="0.25">
      <c r="A6" s="3" t="s">
        <v>6</v>
      </c>
      <c r="B6" s="8">
        <v>6477.89</v>
      </c>
    </row>
    <row r="7" spans="1:2" x14ac:dyDescent="0.25">
      <c r="A7" s="3" t="s">
        <v>7</v>
      </c>
      <c r="B7" s="8">
        <v>113014.8</v>
      </c>
    </row>
    <row r="8" spans="1:2" x14ac:dyDescent="0.25">
      <c r="A8" s="3" t="s">
        <v>8</v>
      </c>
      <c r="B8" s="8">
        <v>407615.55</v>
      </c>
    </row>
    <row r="9" spans="1:2" x14ac:dyDescent="0.25">
      <c r="A9" s="3" t="s">
        <v>9</v>
      </c>
      <c r="B9" s="8">
        <v>28027</v>
      </c>
    </row>
    <row r="10" spans="1:2" x14ac:dyDescent="0.25">
      <c r="A10" s="3" t="s">
        <v>10</v>
      </c>
      <c r="B10" s="8">
        <v>72917.289999999994</v>
      </c>
    </row>
    <row r="11" spans="1:2" x14ac:dyDescent="0.25">
      <c r="A11" s="3" t="s">
        <v>11</v>
      </c>
      <c r="B11" s="8">
        <v>108895.48</v>
      </c>
    </row>
    <row r="12" spans="1:2" x14ac:dyDescent="0.25">
      <c r="A12" s="3" t="s">
        <v>12</v>
      </c>
      <c r="B12" s="8">
        <v>50113.52</v>
      </c>
    </row>
    <row r="13" spans="1:2" x14ac:dyDescent="0.25">
      <c r="A13" s="3" t="s">
        <v>13</v>
      </c>
      <c r="B13" s="8">
        <v>42579</v>
      </c>
    </row>
    <row r="14" spans="1:2" x14ac:dyDescent="0.25">
      <c r="A14" s="3" t="s">
        <v>14</v>
      </c>
      <c r="B14" s="8">
        <v>1552</v>
      </c>
    </row>
    <row r="15" spans="1:2" x14ac:dyDescent="0.25">
      <c r="A15" s="3" t="s">
        <v>15</v>
      </c>
      <c r="B15" s="8">
        <v>29689.279999999999</v>
      </c>
    </row>
    <row r="16" spans="1:2" x14ac:dyDescent="0.25">
      <c r="A16" s="3" t="s">
        <v>17</v>
      </c>
      <c r="B16" s="8">
        <v>68993</v>
      </c>
    </row>
    <row r="17" spans="1:2" x14ac:dyDescent="0.25">
      <c r="A17" s="3" t="s">
        <v>18</v>
      </c>
      <c r="B17" s="8">
        <v>11895.48</v>
      </c>
    </row>
    <row r="18" spans="1:2" x14ac:dyDescent="0.25">
      <c r="A18" s="3" t="s">
        <v>19</v>
      </c>
      <c r="B18" s="8">
        <v>81985.48</v>
      </c>
    </row>
    <row r="19" spans="1:2" x14ac:dyDescent="0.25">
      <c r="A19" s="3" t="s">
        <v>22</v>
      </c>
      <c r="B19" s="8">
        <v>5867</v>
      </c>
    </row>
    <row r="20" spans="1:2" x14ac:dyDescent="0.25">
      <c r="A20" s="3" t="s">
        <v>24</v>
      </c>
      <c r="B20" s="8">
        <v>3897</v>
      </c>
    </row>
    <row r="21" spans="1:2" x14ac:dyDescent="0.25">
      <c r="A21" s="3" t="s">
        <v>25</v>
      </c>
      <c r="B21" s="8">
        <v>30663.77</v>
      </c>
    </row>
    <row r="22" spans="1:2" x14ac:dyDescent="0.25">
      <c r="A22" s="3" t="s">
        <v>26</v>
      </c>
      <c r="B22" s="8">
        <v>65629.960000000006</v>
      </c>
    </row>
    <row r="23" spans="1:2" x14ac:dyDescent="0.25">
      <c r="A23" s="3" t="s">
        <v>27</v>
      </c>
      <c r="B23" s="8">
        <v>59388.79</v>
      </c>
    </row>
    <row r="24" spans="1:2" x14ac:dyDescent="0.25">
      <c r="A24" s="3" t="s">
        <v>2</v>
      </c>
      <c r="B24" s="8">
        <v>4074</v>
      </c>
    </row>
    <row r="25" spans="1:2" x14ac:dyDescent="0.25">
      <c r="A25" s="3" t="s">
        <v>3</v>
      </c>
      <c r="B25" s="8">
        <v>57278.98</v>
      </c>
    </row>
    <row r="26" spans="1:2" x14ac:dyDescent="0.25">
      <c r="A26" s="3" t="s">
        <v>4</v>
      </c>
      <c r="B26" s="8">
        <v>29400.75</v>
      </c>
    </row>
    <row r="27" spans="1:2" x14ac:dyDescent="0.25">
      <c r="A27" s="3" t="s">
        <v>5</v>
      </c>
      <c r="B27" s="8">
        <v>768</v>
      </c>
    </row>
    <row r="28" spans="1:2" x14ac:dyDescent="0.25">
      <c r="A28" s="3" t="s">
        <v>6</v>
      </c>
      <c r="B28" s="8">
        <v>3553.62</v>
      </c>
    </row>
    <row r="29" spans="1:2" x14ac:dyDescent="0.25">
      <c r="A29" s="3" t="s">
        <v>7</v>
      </c>
      <c r="B29" s="8">
        <v>126993.67</v>
      </c>
    </row>
    <row r="30" spans="1:2" x14ac:dyDescent="0.25">
      <c r="A30" s="3" t="s">
        <v>8</v>
      </c>
      <c r="B30" s="8">
        <v>217498.94</v>
      </c>
    </row>
    <row r="31" spans="1:2" x14ac:dyDescent="0.25">
      <c r="A31" s="3" t="s">
        <v>9</v>
      </c>
      <c r="B31" s="8">
        <v>40741</v>
      </c>
    </row>
    <row r="32" spans="1:2" x14ac:dyDescent="0.25">
      <c r="A32" s="3" t="s">
        <v>10</v>
      </c>
      <c r="B32" s="8">
        <v>72940.91</v>
      </c>
    </row>
    <row r="33" spans="1:2" x14ac:dyDescent="0.25">
      <c r="A33" s="3" t="s">
        <v>11</v>
      </c>
      <c r="B33" s="8">
        <v>125633.47</v>
      </c>
    </row>
    <row r="34" spans="1:2" x14ac:dyDescent="0.25">
      <c r="A34" s="3" t="s">
        <v>12</v>
      </c>
      <c r="B34" s="8">
        <v>55624.800000000003</v>
      </c>
    </row>
    <row r="35" spans="1:2" x14ac:dyDescent="0.25">
      <c r="A35" s="3" t="s">
        <v>13</v>
      </c>
      <c r="B35" s="8">
        <v>42441</v>
      </c>
    </row>
    <row r="36" spans="1:2" x14ac:dyDescent="0.25">
      <c r="A36" s="3" t="s">
        <v>14</v>
      </c>
      <c r="B36" s="8">
        <v>1104</v>
      </c>
    </row>
    <row r="37" spans="1:2" x14ac:dyDescent="0.25">
      <c r="A37" s="3" t="s">
        <v>15</v>
      </c>
      <c r="B37" s="8">
        <v>19153.009999999998</v>
      </c>
    </row>
    <row r="38" spans="1:2" x14ac:dyDescent="0.25">
      <c r="A38" s="3" t="s">
        <v>17</v>
      </c>
      <c r="B38" s="8">
        <v>77657</v>
      </c>
    </row>
    <row r="39" spans="1:2" x14ac:dyDescent="0.25">
      <c r="A39" s="3" t="s">
        <v>18</v>
      </c>
      <c r="B39" s="8">
        <v>7758.88</v>
      </c>
    </row>
    <row r="40" spans="1:2" x14ac:dyDescent="0.25">
      <c r="A40" s="3" t="s">
        <v>19</v>
      </c>
      <c r="B40" s="8">
        <v>99125.46</v>
      </c>
    </row>
    <row r="41" spans="1:2" x14ac:dyDescent="0.25">
      <c r="A41" s="3" t="s">
        <v>22</v>
      </c>
      <c r="B41" s="8">
        <v>4358</v>
      </c>
    </row>
    <row r="42" spans="1:2" x14ac:dyDescent="0.25">
      <c r="A42" s="3" t="s">
        <v>24</v>
      </c>
      <c r="B42" s="8">
        <v>5451</v>
      </c>
    </row>
    <row r="43" spans="1:2" x14ac:dyDescent="0.25">
      <c r="A43" s="3" t="s">
        <v>25</v>
      </c>
      <c r="B43" s="8">
        <v>26704.720000000001</v>
      </c>
    </row>
    <row r="44" spans="1:2" x14ac:dyDescent="0.25">
      <c r="A44" s="3" t="s">
        <v>26</v>
      </c>
      <c r="B44" s="8">
        <v>48586.05</v>
      </c>
    </row>
    <row r="45" spans="1:2" x14ac:dyDescent="0.25">
      <c r="A45" s="3" t="s">
        <v>27</v>
      </c>
      <c r="B45" s="8">
        <v>69921.87</v>
      </c>
    </row>
    <row r="46" spans="1:2" x14ac:dyDescent="0.25">
      <c r="A46" s="3" t="s">
        <v>2</v>
      </c>
      <c r="B46" s="8">
        <v>5545</v>
      </c>
    </row>
    <row r="47" spans="1:2" x14ac:dyDescent="0.25">
      <c r="A47" s="3" t="s">
        <v>3</v>
      </c>
      <c r="B47" s="8">
        <v>50305.55</v>
      </c>
    </row>
    <row r="48" spans="1:2" x14ac:dyDescent="0.25">
      <c r="A48" s="3" t="s">
        <v>4</v>
      </c>
      <c r="B48" s="8">
        <v>32173.26</v>
      </c>
    </row>
    <row r="49" spans="1:2" x14ac:dyDescent="0.25">
      <c r="A49" s="3" t="s">
        <v>5</v>
      </c>
      <c r="B49" s="8">
        <v>1077</v>
      </c>
    </row>
    <row r="50" spans="1:2" x14ac:dyDescent="0.25">
      <c r="A50" s="3" t="s">
        <v>6</v>
      </c>
      <c r="B50" s="8">
        <v>1436</v>
      </c>
    </row>
    <row r="51" spans="1:2" x14ac:dyDescent="0.25">
      <c r="A51" s="3" t="s">
        <v>7</v>
      </c>
      <c r="B51" s="8">
        <v>90121.01</v>
      </c>
    </row>
    <row r="52" spans="1:2" x14ac:dyDescent="0.25">
      <c r="A52" s="3" t="s">
        <v>8</v>
      </c>
      <c r="B52" s="8">
        <v>298270.90000000002</v>
      </c>
    </row>
    <row r="53" spans="1:2" x14ac:dyDescent="0.25">
      <c r="A53" s="3" t="s">
        <v>9</v>
      </c>
      <c r="B53" s="8">
        <v>34244</v>
      </c>
    </row>
    <row r="54" spans="1:2" x14ac:dyDescent="0.25">
      <c r="A54" s="3" t="s">
        <v>10</v>
      </c>
      <c r="B54" s="8">
        <v>79713.75</v>
      </c>
    </row>
    <row r="55" spans="1:2" x14ac:dyDescent="0.25">
      <c r="A55" s="3" t="s">
        <v>11</v>
      </c>
      <c r="B55" s="8">
        <v>124325.12</v>
      </c>
    </row>
    <row r="56" spans="1:2" x14ac:dyDescent="0.25">
      <c r="A56" s="3" t="s">
        <v>12</v>
      </c>
      <c r="B56" s="8">
        <v>53086.52</v>
      </c>
    </row>
    <row r="57" spans="1:2" x14ac:dyDescent="0.25">
      <c r="A57" s="3" t="s">
        <v>13</v>
      </c>
      <c r="B57" s="8">
        <v>31792.99</v>
      </c>
    </row>
    <row r="58" spans="1:2" x14ac:dyDescent="0.25">
      <c r="A58" s="3" t="s">
        <v>14</v>
      </c>
      <c r="B58" s="8">
        <v>3344</v>
      </c>
    </row>
    <row r="59" spans="1:2" x14ac:dyDescent="0.25">
      <c r="A59" s="3" t="s">
        <v>15</v>
      </c>
      <c r="B59" s="8">
        <v>21994.49</v>
      </c>
    </row>
    <row r="60" spans="1:2" x14ac:dyDescent="0.25">
      <c r="A60" s="3" t="s">
        <v>17</v>
      </c>
      <c r="B60" s="8">
        <v>78195</v>
      </c>
    </row>
    <row r="61" spans="1:2" x14ac:dyDescent="0.25">
      <c r="A61" s="3" t="s">
        <v>18</v>
      </c>
      <c r="B61" s="8">
        <v>8737.42</v>
      </c>
    </row>
    <row r="62" spans="1:2" x14ac:dyDescent="0.25">
      <c r="A62" s="3" t="s">
        <v>19</v>
      </c>
      <c r="B62" s="8">
        <v>83674.98</v>
      </c>
    </row>
    <row r="63" spans="1:2" x14ac:dyDescent="0.25">
      <c r="A63" s="3" t="s">
        <v>22</v>
      </c>
      <c r="B63" s="8">
        <v>5957</v>
      </c>
    </row>
    <row r="64" spans="1:2" x14ac:dyDescent="0.25">
      <c r="A64" s="3" t="s">
        <v>24</v>
      </c>
      <c r="B64" s="8">
        <v>7944</v>
      </c>
    </row>
    <row r="65" spans="1:2" x14ac:dyDescent="0.25">
      <c r="A65" s="3" t="s">
        <v>25</v>
      </c>
      <c r="B65" s="8">
        <v>24625.32</v>
      </c>
    </row>
    <row r="66" spans="1:2" x14ac:dyDescent="0.25">
      <c r="A66" s="3" t="s">
        <v>26</v>
      </c>
      <c r="B66" s="8">
        <v>57979.59</v>
      </c>
    </row>
    <row r="67" spans="1:2" x14ac:dyDescent="0.25">
      <c r="A67" s="3" t="s">
        <v>27</v>
      </c>
      <c r="B67" s="8">
        <v>54764.37</v>
      </c>
    </row>
    <row r="68" spans="1:2" x14ac:dyDescent="0.25">
      <c r="A68" s="3" t="s">
        <v>2</v>
      </c>
      <c r="B68" s="8">
        <v>3270</v>
      </c>
    </row>
    <row r="69" spans="1:2" x14ac:dyDescent="0.25">
      <c r="A69" s="3" t="s">
        <v>3</v>
      </c>
      <c r="B69" s="8">
        <v>53039.79</v>
      </c>
    </row>
    <row r="70" spans="1:2" x14ac:dyDescent="0.25">
      <c r="A70" s="3" t="s">
        <v>4</v>
      </c>
      <c r="B70" s="8">
        <v>40203.97</v>
      </c>
    </row>
    <row r="71" spans="1:2" x14ac:dyDescent="0.25">
      <c r="A71" s="3" t="s">
        <v>5</v>
      </c>
      <c r="B71" s="8">
        <v>693</v>
      </c>
    </row>
    <row r="72" spans="1:2" x14ac:dyDescent="0.25">
      <c r="A72" s="3" t="s">
        <v>6</v>
      </c>
      <c r="B72" s="8">
        <v>4962.6499999999996</v>
      </c>
    </row>
    <row r="73" spans="1:2" x14ac:dyDescent="0.25">
      <c r="A73" s="3" t="s">
        <v>7</v>
      </c>
      <c r="B73" s="8">
        <v>115140.04</v>
      </c>
    </row>
    <row r="74" spans="1:2" x14ac:dyDescent="0.25">
      <c r="A74" s="3" t="s">
        <v>8</v>
      </c>
      <c r="B74" s="8">
        <v>172370.6</v>
      </c>
    </row>
    <row r="75" spans="1:2" x14ac:dyDescent="0.25">
      <c r="A75" s="3" t="s">
        <v>9</v>
      </c>
      <c r="B75" s="8">
        <v>25780.18</v>
      </c>
    </row>
    <row r="76" spans="1:2" x14ac:dyDescent="0.25">
      <c r="A76" s="3" t="s">
        <v>10</v>
      </c>
      <c r="B76" s="8">
        <v>56256.66</v>
      </c>
    </row>
    <row r="77" spans="1:2" x14ac:dyDescent="0.25">
      <c r="A77" s="3" t="s">
        <v>11</v>
      </c>
      <c r="B77" s="8">
        <v>168191.47</v>
      </c>
    </row>
    <row r="78" spans="1:2" x14ac:dyDescent="0.25">
      <c r="A78" s="3" t="s">
        <v>12</v>
      </c>
      <c r="B78" s="8">
        <v>51861.599999999999</v>
      </c>
    </row>
    <row r="79" spans="1:2" x14ac:dyDescent="0.25">
      <c r="A79" s="3" t="s">
        <v>13</v>
      </c>
      <c r="B79" s="8">
        <v>33830</v>
      </c>
    </row>
    <row r="80" spans="1:2" x14ac:dyDescent="0.25">
      <c r="A80" s="3" t="s">
        <v>14</v>
      </c>
      <c r="B80" s="8">
        <v>1180</v>
      </c>
    </row>
    <row r="81" spans="1:2" x14ac:dyDescent="0.25">
      <c r="A81" s="3" t="s">
        <v>15</v>
      </c>
      <c r="B81" s="8">
        <v>24914.7</v>
      </c>
    </row>
    <row r="82" spans="1:2" x14ac:dyDescent="0.25">
      <c r="A82" s="3" t="s">
        <v>17</v>
      </c>
      <c r="B82" s="8">
        <v>60663</v>
      </c>
    </row>
    <row r="83" spans="1:2" x14ac:dyDescent="0.25">
      <c r="A83" s="3" t="s">
        <v>18</v>
      </c>
      <c r="B83" s="8">
        <v>15393.8</v>
      </c>
    </row>
    <row r="84" spans="1:2" x14ac:dyDescent="0.25">
      <c r="A84" s="3" t="s">
        <v>19</v>
      </c>
      <c r="B84" s="8">
        <v>101850.73</v>
      </c>
    </row>
    <row r="85" spans="1:2" x14ac:dyDescent="0.25">
      <c r="A85" s="3" t="s">
        <v>22</v>
      </c>
      <c r="B85" s="8">
        <v>4729</v>
      </c>
    </row>
    <row r="86" spans="1:2" x14ac:dyDescent="0.25">
      <c r="A86" s="3" t="s">
        <v>24</v>
      </c>
      <c r="B86" s="8">
        <v>1874</v>
      </c>
    </row>
    <row r="87" spans="1:2" x14ac:dyDescent="0.25">
      <c r="A87" s="3" t="s">
        <v>25</v>
      </c>
      <c r="B87" s="8">
        <v>21511.53</v>
      </c>
    </row>
    <row r="88" spans="1:2" x14ac:dyDescent="0.25">
      <c r="A88" s="3" t="s">
        <v>26</v>
      </c>
      <c r="B88" s="8">
        <v>97230.48</v>
      </c>
    </row>
    <row r="89" spans="1:2" x14ac:dyDescent="0.25">
      <c r="A89" s="3" t="s">
        <v>27</v>
      </c>
      <c r="B89" s="8">
        <v>59825.54</v>
      </c>
    </row>
    <row r="90" spans="1:2" x14ac:dyDescent="0.25">
      <c r="A90" s="3" t="s">
        <v>2</v>
      </c>
      <c r="B90" s="8">
        <v>5028</v>
      </c>
    </row>
    <row r="91" spans="1:2" x14ac:dyDescent="0.25">
      <c r="A91" s="3" t="s">
        <v>3</v>
      </c>
      <c r="B91" s="8">
        <v>42341.73</v>
      </c>
    </row>
    <row r="92" spans="1:2" x14ac:dyDescent="0.25">
      <c r="A92" s="3" t="s">
        <v>4</v>
      </c>
      <c r="B92" s="8">
        <v>40642.85</v>
      </c>
    </row>
    <row r="93" spans="1:2" x14ac:dyDescent="0.25">
      <c r="A93" s="3" t="s">
        <v>5</v>
      </c>
      <c r="B93" s="8">
        <v>672</v>
      </c>
    </row>
    <row r="94" spans="1:2" x14ac:dyDescent="0.25">
      <c r="A94" s="3" t="s">
        <v>6</v>
      </c>
      <c r="B94" s="8">
        <v>8389.8700000000008</v>
      </c>
    </row>
    <row r="95" spans="1:2" x14ac:dyDescent="0.25">
      <c r="A95" s="3" t="s">
        <v>7</v>
      </c>
      <c r="B95" s="8">
        <v>56593.36</v>
      </c>
    </row>
    <row r="96" spans="1:2" x14ac:dyDescent="0.25">
      <c r="A96" s="3" t="s">
        <v>8</v>
      </c>
      <c r="B96" s="8">
        <v>149188.60999999999</v>
      </c>
    </row>
    <row r="97" spans="1:2" x14ac:dyDescent="0.25">
      <c r="A97" s="3" t="s">
        <v>9</v>
      </c>
      <c r="B97" s="8">
        <v>32639.13</v>
      </c>
    </row>
    <row r="98" spans="1:2" x14ac:dyDescent="0.25">
      <c r="A98" s="3" t="s">
        <v>10</v>
      </c>
      <c r="B98" s="8">
        <v>64334.720000000001</v>
      </c>
    </row>
    <row r="99" spans="1:2" x14ac:dyDescent="0.25">
      <c r="A99" s="3" t="s">
        <v>11</v>
      </c>
      <c r="B99" s="8">
        <v>227637.98</v>
      </c>
    </row>
    <row r="100" spans="1:2" x14ac:dyDescent="0.25">
      <c r="A100" s="3" t="s">
        <v>12</v>
      </c>
      <c r="B100" s="8">
        <v>51771.03</v>
      </c>
    </row>
    <row r="101" spans="1:2" x14ac:dyDescent="0.25">
      <c r="A101" s="3" t="s">
        <v>13</v>
      </c>
      <c r="B101" s="8">
        <v>55914</v>
      </c>
    </row>
    <row r="102" spans="1:2" x14ac:dyDescent="0.25">
      <c r="A102" s="3" t="s">
        <v>14</v>
      </c>
      <c r="B102" s="8">
        <v>1280</v>
      </c>
    </row>
    <row r="103" spans="1:2" x14ac:dyDescent="0.25">
      <c r="A103" s="3" t="s">
        <v>15</v>
      </c>
      <c r="B103" s="8">
        <v>24319.49</v>
      </c>
    </row>
    <row r="104" spans="1:2" x14ac:dyDescent="0.25">
      <c r="A104" s="3" t="s">
        <v>17</v>
      </c>
      <c r="B104" s="8">
        <v>71737</v>
      </c>
    </row>
    <row r="105" spans="1:2" x14ac:dyDescent="0.25">
      <c r="A105" s="3" t="s">
        <v>18</v>
      </c>
      <c r="B105" s="8">
        <v>15519.24</v>
      </c>
    </row>
    <row r="106" spans="1:2" x14ac:dyDescent="0.25">
      <c r="A106" s="3" t="s">
        <v>19</v>
      </c>
      <c r="B106" s="8">
        <v>75189.08</v>
      </c>
    </row>
    <row r="107" spans="1:2" x14ac:dyDescent="0.25">
      <c r="A107" s="3" t="s">
        <v>22</v>
      </c>
      <c r="B107" s="8">
        <v>3261</v>
      </c>
    </row>
    <row r="108" spans="1:2" x14ac:dyDescent="0.25">
      <c r="A108" s="3" t="s">
        <v>24</v>
      </c>
      <c r="B108" s="8">
        <v>2587</v>
      </c>
    </row>
    <row r="109" spans="1:2" x14ac:dyDescent="0.25">
      <c r="A109" s="3" t="s">
        <v>25</v>
      </c>
      <c r="B109" s="8">
        <v>28799.49</v>
      </c>
    </row>
    <row r="110" spans="1:2" x14ac:dyDescent="0.25">
      <c r="A110" s="3" t="s">
        <v>26</v>
      </c>
      <c r="B110" s="8">
        <v>117983.28</v>
      </c>
    </row>
    <row r="111" spans="1:2" x14ac:dyDescent="0.25">
      <c r="A111" s="3" t="s">
        <v>27</v>
      </c>
      <c r="B111" s="8">
        <v>85511.24</v>
      </c>
    </row>
    <row r="112" spans="1:2" x14ac:dyDescent="0.25">
      <c r="A112" s="3" t="s">
        <v>2</v>
      </c>
      <c r="B112" s="8">
        <v>5031</v>
      </c>
    </row>
    <row r="113" spans="1:2" x14ac:dyDescent="0.25">
      <c r="A113" s="3" t="s">
        <v>3</v>
      </c>
      <c r="B113" s="8">
        <v>69519.5</v>
      </c>
    </row>
    <row r="114" spans="1:2" x14ac:dyDescent="0.25">
      <c r="A114" s="3" t="s">
        <v>4</v>
      </c>
      <c r="B114" s="8">
        <v>56268.11</v>
      </c>
    </row>
    <row r="115" spans="1:2" x14ac:dyDescent="0.25">
      <c r="A115" s="3" t="s">
        <v>5</v>
      </c>
      <c r="B115" s="8">
        <v>672</v>
      </c>
    </row>
    <row r="116" spans="1:2" x14ac:dyDescent="0.25">
      <c r="A116" s="3" t="s">
        <v>6</v>
      </c>
      <c r="B116" s="8">
        <v>8425.01</v>
      </c>
    </row>
    <row r="117" spans="1:2" x14ac:dyDescent="0.25">
      <c r="A117" s="3" t="s">
        <v>7</v>
      </c>
      <c r="B117" s="8">
        <v>104599.65</v>
      </c>
    </row>
    <row r="118" spans="1:2" x14ac:dyDescent="0.25">
      <c r="A118" s="3" t="s">
        <v>8</v>
      </c>
      <c r="B118" s="8">
        <v>322887.46000000002</v>
      </c>
    </row>
    <row r="119" spans="1:2" x14ac:dyDescent="0.25">
      <c r="A119" s="3" t="s">
        <v>9</v>
      </c>
      <c r="B119" s="8">
        <v>67860.98</v>
      </c>
    </row>
    <row r="120" spans="1:2" x14ac:dyDescent="0.25">
      <c r="A120" s="3" t="s">
        <v>10</v>
      </c>
      <c r="B120" s="8">
        <v>109622.55</v>
      </c>
    </row>
    <row r="121" spans="1:2" x14ac:dyDescent="0.25">
      <c r="A121" s="3" t="s">
        <v>11</v>
      </c>
      <c r="B121" s="8">
        <v>293751.7</v>
      </c>
    </row>
    <row r="122" spans="1:2" x14ac:dyDescent="0.25">
      <c r="A122" s="3" t="s">
        <v>12</v>
      </c>
      <c r="B122" s="8">
        <v>78779.41</v>
      </c>
    </row>
    <row r="123" spans="1:2" x14ac:dyDescent="0.25">
      <c r="A123" s="3" t="s">
        <v>13</v>
      </c>
      <c r="B123" s="8">
        <v>63793</v>
      </c>
    </row>
    <row r="124" spans="1:2" x14ac:dyDescent="0.25">
      <c r="A124" s="3" t="s">
        <v>14</v>
      </c>
      <c r="B124" s="8">
        <v>2436</v>
      </c>
    </row>
    <row r="125" spans="1:2" x14ac:dyDescent="0.25">
      <c r="A125" s="3" t="s">
        <v>15</v>
      </c>
      <c r="B125" s="8">
        <v>31891.69</v>
      </c>
    </row>
    <row r="126" spans="1:2" x14ac:dyDescent="0.25">
      <c r="A126" s="3" t="s">
        <v>17</v>
      </c>
      <c r="B126" s="8">
        <v>142414</v>
      </c>
    </row>
    <row r="127" spans="1:2" x14ac:dyDescent="0.25">
      <c r="A127" s="3" t="s">
        <v>18</v>
      </c>
      <c r="B127" s="8">
        <v>24344.880000000001</v>
      </c>
    </row>
    <row r="128" spans="1:2" x14ac:dyDescent="0.25">
      <c r="A128" s="3" t="s">
        <v>19</v>
      </c>
      <c r="B128" s="8">
        <v>195663.68</v>
      </c>
    </row>
    <row r="129" spans="1:2" x14ac:dyDescent="0.25">
      <c r="A129" s="3" t="s">
        <v>22</v>
      </c>
      <c r="B129" s="8">
        <v>7232</v>
      </c>
    </row>
    <row r="130" spans="1:2" x14ac:dyDescent="0.25">
      <c r="A130" s="3" t="s">
        <v>24</v>
      </c>
      <c r="B130" s="8">
        <v>6347</v>
      </c>
    </row>
    <row r="131" spans="1:2" x14ac:dyDescent="0.25">
      <c r="A131" s="3" t="s">
        <v>25</v>
      </c>
      <c r="B131" s="8">
        <v>85177.74</v>
      </c>
    </row>
    <row r="132" spans="1:2" x14ac:dyDescent="0.25">
      <c r="A132" s="3" t="s">
        <v>26</v>
      </c>
      <c r="B132" s="8">
        <v>699873.42</v>
      </c>
    </row>
    <row r="133" spans="1:2" x14ac:dyDescent="0.25">
      <c r="A133" s="3" t="s">
        <v>27</v>
      </c>
      <c r="B133" s="8">
        <v>146969.44</v>
      </c>
    </row>
    <row r="134" spans="1:2" x14ac:dyDescent="0.25">
      <c r="A134" s="3" t="s">
        <v>2</v>
      </c>
      <c r="B134" s="8">
        <v>4090</v>
      </c>
    </row>
    <row r="135" spans="1:2" x14ac:dyDescent="0.25">
      <c r="A135" s="3" t="s">
        <v>3</v>
      </c>
      <c r="B135" s="8">
        <v>63211.86</v>
      </c>
    </row>
    <row r="136" spans="1:2" x14ac:dyDescent="0.25">
      <c r="A136" s="3" t="s">
        <v>4</v>
      </c>
      <c r="B136" s="8">
        <v>82046.929999999993</v>
      </c>
    </row>
    <row r="137" spans="1:2" x14ac:dyDescent="0.25">
      <c r="A137" s="3" t="s">
        <v>5</v>
      </c>
      <c r="B137" s="8">
        <v>768</v>
      </c>
    </row>
    <row r="138" spans="1:2" x14ac:dyDescent="0.25">
      <c r="A138" s="3" t="s">
        <v>6</v>
      </c>
      <c r="B138" s="8">
        <v>9899.23</v>
      </c>
    </row>
    <row r="139" spans="1:2" x14ac:dyDescent="0.25">
      <c r="A139" s="3" t="s">
        <v>7</v>
      </c>
      <c r="B139" s="8">
        <v>90256.85</v>
      </c>
    </row>
    <row r="140" spans="1:2" x14ac:dyDescent="0.25">
      <c r="A140" s="3" t="s">
        <v>8</v>
      </c>
      <c r="B140" s="8">
        <v>225981.18</v>
      </c>
    </row>
    <row r="141" spans="1:2" x14ac:dyDescent="0.25">
      <c r="A141" s="3" t="s">
        <v>9</v>
      </c>
      <c r="B141" s="8">
        <v>64950.18</v>
      </c>
    </row>
    <row r="142" spans="1:2" x14ac:dyDescent="0.25">
      <c r="A142" s="3" t="s">
        <v>10</v>
      </c>
      <c r="B142" s="8">
        <v>112005.69</v>
      </c>
    </row>
    <row r="143" spans="1:2" x14ac:dyDescent="0.25">
      <c r="A143" s="3" t="s">
        <v>11</v>
      </c>
      <c r="B143" s="8">
        <v>302973.90999999997</v>
      </c>
    </row>
    <row r="144" spans="1:2" x14ac:dyDescent="0.25">
      <c r="A144" s="3" t="s">
        <v>12</v>
      </c>
      <c r="B144" s="8">
        <v>102552.81</v>
      </c>
    </row>
    <row r="145" spans="1:2" x14ac:dyDescent="0.25">
      <c r="A145" s="3" t="s">
        <v>13</v>
      </c>
      <c r="B145" s="8">
        <v>73218.990000000005</v>
      </c>
    </row>
    <row r="146" spans="1:2" x14ac:dyDescent="0.25">
      <c r="A146" s="3" t="s">
        <v>14</v>
      </c>
      <c r="B146" s="8">
        <v>3016</v>
      </c>
    </row>
    <row r="147" spans="1:2" x14ac:dyDescent="0.25">
      <c r="A147" s="3" t="s">
        <v>15</v>
      </c>
      <c r="B147" s="8">
        <v>23711.7</v>
      </c>
    </row>
    <row r="148" spans="1:2" x14ac:dyDescent="0.25">
      <c r="A148" s="3" t="s">
        <v>17</v>
      </c>
      <c r="B148" s="8">
        <v>130435</v>
      </c>
    </row>
    <row r="149" spans="1:2" x14ac:dyDescent="0.25">
      <c r="A149" s="3" t="s">
        <v>18</v>
      </c>
      <c r="B149" s="8">
        <v>16774.599999999999</v>
      </c>
    </row>
    <row r="150" spans="1:2" x14ac:dyDescent="0.25">
      <c r="A150" s="3" t="s">
        <v>19</v>
      </c>
      <c r="B150" s="8">
        <v>151388.49</v>
      </c>
    </row>
    <row r="151" spans="1:2" x14ac:dyDescent="0.25">
      <c r="A151" s="3" t="s">
        <v>22</v>
      </c>
      <c r="B151" s="8">
        <v>5236</v>
      </c>
    </row>
    <row r="152" spans="1:2" x14ac:dyDescent="0.25">
      <c r="A152" s="3" t="s">
        <v>24</v>
      </c>
      <c r="B152" s="8">
        <v>5334</v>
      </c>
    </row>
    <row r="153" spans="1:2" x14ac:dyDescent="0.25">
      <c r="A153" s="3" t="s">
        <v>25</v>
      </c>
      <c r="B153" s="8">
        <v>65493</v>
      </c>
    </row>
    <row r="154" spans="1:2" x14ac:dyDescent="0.25">
      <c r="A154" s="3" t="s">
        <v>26</v>
      </c>
      <c r="B154" s="8">
        <v>114898.71</v>
      </c>
    </row>
    <row r="155" spans="1:2" x14ac:dyDescent="0.25">
      <c r="A155" s="3" t="s">
        <v>27</v>
      </c>
      <c r="B155" s="8">
        <v>164039.51</v>
      </c>
    </row>
    <row r="156" spans="1:2" x14ac:dyDescent="0.25">
      <c r="A156" s="3" t="s">
        <v>2</v>
      </c>
      <c r="B156" s="8">
        <v>2040</v>
      </c>
    </row>
    <row r="157" spans="1:2" x14ac:dyDescent="0.25">
      <c r="A157" s="3" t="s">
        <v>3</v>
      </c>
      <c r="B157" s="8">
        <v>32345.85</v>
      </c>
    </row>
    <row r="158" spans="1:2" x14ac:dyDescent="0.25">
      <c r="A158" s="3" t="s">
        <v>4</v>
      </c>
      <c r="B158" s="8">
        <v>33613.019999999997</v>
      </c>
    </row>
    <row r="159" spans="1:2" x14ac:dyDescent="0.25">
      <c r="A159" s="3" t="s">
        <v>5</v>
      </c>
      <c r="B159" s="8">
        <v>288</v>
      </c>
    </row>
    <row r="160" spans="1:2" x14ac:dyDescent="0.25">
      <c r="A160" s="3" t="s">
        <v>6</v>
      </c>
      <c r="B160" s="8">
        <v>2562</v>
      </c>
    </row>
    <row r="161" spans="1:2" x14ac:dyDescent="0.25">
      <c r="A161" s="3" t="s">
        <v>7</v>
      </c>
      <c r="B161" s="8">
        <v>42639.63</v>
      </c>
    </row>
    <row r="162" spans="1:2" x14ac:dyDescent="0.25">
      <c r="A162" s="3" t="s">
        <v>8</v>
      </c>
      <c r="B162" s="8">
        <v>144367.23000000001</v>
      </c>
    </row>
    <row r="163" spans="1:2" x14ac:dyDescent="0.25">
      <c r="A163" s="3" t="s">
        <v>9</v>
      </c>
      <c r="B163" s="8">
        <v>44961.83</v>
      </c>
    </row>
    <row r="164" spans="1:2" x14ac:dyDescent="0.25">
      <c r="A164" s="3" t="s">
        <v>10</v>
      </c>
      <c r="B164" s="8">
        <v>46689.18</v>
      </c>
    </row>
    <row r="165" spans="1:2" x14ac:dyDescent="0.25">
      <c r="A165" s="3" t="s">
        <v>11</v>
      </c>
      <c r="B165" s="8">
        <v>158538.35999999999</v>
      </c>
    </row>
    <row r="166" spans="1:2" x14ac:dyDescent="0.25">
      <c r="A166" s="3" t="s">
        <v>12</v>
      </c>
      <c r="B166" s="8">
        <v>66205.97</v>
      </c>
    </row>
    <row r="167" spans="1:2" x14ac:dyDescent="0.25">
      <c r="A167" s="3" t="s">
        <v>13</v>
      </c>
      <c r="B167" s="8">
        <v>37695</v>
      </c>
    </row>
    <row r="168" spans="1:2" x14ac:dyDescent="0.25">
      <c r="A168" s="3" t="s">
        <v>14</v>
      </c>
      <c r="B168" s="8">
        <v>1252</v>
      </c>
    </row>
    <row r="169" spans="1:2" x14ac:dyDescent="0.25">
      <c r="A169" s="3" t="s">
        <v>15</v>
      </c>
      <c r="B169" s="8">
        <v>11155.29</v>
      </c>
    </row>
    <row r="170" spans="1:2" x14ac:dyDescent="0.25">
      <c r="A170" s="3" t="s">
        <v>17</v>
      </c>
      <c r="B170" s="8">
        <v>60971</v>
      </c>
    </row>
    <row r="171" spans="1:2" x14ac:dyDescent="0.25">
      <c r="A171" s="3" t="s">
        <v>18</v>
      </c>
      <c r="B171" s="8">
        <v>8003.78</v>
      </c>
    </row>
    <row r="172" spans="1:2" x14ac:dyDescent="0.25">
      <c r="A172" s="3" t="s">
        <v>19</v>
      </c>
      <c r="B172" s="8">
        <v>220499.27</v>
      </c>
    </row>
    <row r="173" spans="1:2" x14ac:dyDescent="0.25">
      <c r="A173" s="3" t="s">
        <v>22</v>
      </c>
      <c r="B173" s="8">
        <v>2533</v>
      </c>
    </row>
    <row r="174" spans="1:2" x14ac:dyDescent="0.25">
      <c r="A174" s="3" t="s">
        <v>24</v>
      </c>
      <c r="B174" s="8">
        <v>2541</v>
      </c>
    </row>
    <row r="175" spans="1:2" x14ac:dyDescent="0.25">
      <c r="A175" s="3" t="s">
        <v>25</v>
      </c>
      <c r="B175" s="8">
        <v>37201.620000000003</v>
      </c>
    </row>
    <row r="176" spans="1:2" x14ac:dyDescent="0.25">
      <c r="A176" s="3" t="s">
        <v>26</v>
      </c>
      <c r="B176" s="8">
        <v>52644.43</v>
      </c>
    </row>
    <row r="177" spans="1:2" x14ac:dyDescent="0.25">
      <c r="A177" s="3" t="s">
        <v>27</v>
      </c>
      <c r="B177" s="8">
        <v>66551.87</v>
      </c>
    </row>
    <row r="178" spans="1:2" x14ac:dyDescent="0.25">
      <c r="A178" s="3" t="s">
        <v>2</v>
      </c>
      <c r="B178" s="8">
        <v>3481</v>
      </c>
    </row>
    <row r="179" spans="1:2" x14ac:dyDescent="0.25">
      <c r="A179" s="3" t="s">
        <v>3</v>
      </c>
      <c r="B179" s="8">
        <v>38888.67</v>
      </c>
    </row>
    <row r="180" spans="1:2" x14ac:dyDescent="0.25">
      <c r="A180" s="3" t="s">
        <v>4</v>
      </c>
      <c r="B180" s="8">
        <v>30956.99</v>
      </c>
    </row>
    <row r="181" spans="1:2" x14ac:dyDescent="0.25">
      <c r="A181" s="3" t="s">
        <v>5</v>
      </c>
      <c r="B181" s="8">
        <v>192</v>
      </c>
    </row>
    <row r="182" spans="1:2" x14ac:dyDescent="0.25">
      <c r="A182" s="3" t="s">
        <v>6</v>
      </c>
      <c r="B182" s="8">
        <v>5708.99</v>
      </c>
    </row>
    <row r="183" spans="1:2" x14ac:dyDescent="0.25">
      <c r="A183" s="3" t="s">
        <v>7</v>
      </c>
      <c r="B183" s="8">
        <v>35872.89</v>
      </c>
    </row>
    <row r="184" spans="1:2" x14ac:dyDescent="0.25">
      <c r="A184" s="3" t="s">
        <v>8</v>
      </c>
      <c r="B184" s="8">
        <v>137995.93</v>
      </c>
    </row>
    <row r="185" spans="1:2" x14ac:dyDescent="0.25">
      <c r="A185" s="3" t="s">
        <v>9</v>
      </c>
      <c r="B185" s="8">
        <v>31720.6</v>
      </c>
    </row>
    <row r="186" spans="1:2" x14ac:dyDescent="0.25">
      <c r="A186" s="3" t="s">
        <v>10</v>
      </c>
      <c r="B186" s="8">
        <v>51926.73</v>
      </c>
    </row>
    <row r="187" spans="1:2" x14ac:dyDescent="0.25">
      <c r="A187" s="3" t="s">
        <v>11</v>
      </c>
      <c r="B187" s="8">
        <v>114743.65</v>
      </c>
    </row>
    <row r="188" spans="1:2" x14ac:dyDescent="0.25">
      <c r="A188" s="3" t="s">
        <v>12</v>
      </c>
      <c r="B188" s="8">
        <v>47707.34</v>
      </c>
    </row>
    <row r="189" spans="1:2" x14ac:dyDescent="0.25">
      <c r="A189" s="3" t="s">
        <v>13</v>
      </c>
      <c r="B189" s="8">
        <v>37374</v>
      </c>
    </row>
    <row r="190" spans="1:2" x14ac:dyDescent="0.25">
      <c r="A190" s="3" t="s">
        <v>14</v>
      </c>
      <c r="B190" s="8">
        <v>824</v>
      </c>
    </row>
    <row r="191" spans="1:2" x14ac:dyDescent="0.25">
      <c r="A191" s="3" t="s">
        <v>15</v>
      </c>
      <c r="B191" s="8">
        <v>10924.15</v>
      </c>
    </row>
    <row r="192" spans="1:2" x14ac:dyDescent="0.25">
      <c r="A192" s="3" t="s">
        <v>17</v>
      </c>
      <c r="B192" s="8">
        <v>65359</v>
      </c>
    </row>
    <row r="193" spans="1:2" x14ac:dyDescent="0.25">
      <c r="A193" s="3" t="s">
        <v>18</v>
      </c>
      <c r="B193" s="8">
        <v>9769.86</v>
      </c>
    </row>
    <row r="194" spans="1:2" x14ac:dyDescent="0.25">
      <c r="A194" s="3" t="s">
        <v>19</v>
      </c>
      <c r="B194" s="8">
        <v>65107.42</v>
      </c>
    </row>
    <row r="195" spans="1:2" x14ac:dyDescent="0.25">
      <c r="A195" s="3" t="s">
        <v>22</v>
      </c>
      <c r="B195" s="8">
        <v>4873</v>
      </c>
    </row>
    <row r="196" spans="1:2" x14ac:dyDescent="0.25">
      <c r="A196" s="3" t="s">
        <v>24</v>
      </c>
      <c r="B196" s="8">
        <v>698</v>
      </c>
    </row>
    <row r="197" spans="1:2" x14ac:dyDescent="0.25">
      <c r="A197" s="3" t="s">
        <v>25</v>
      </c>
      <c r="B197" s="8">
        <v>36758.68</v>
      </c>
    </row>
    <row r="198" spans="1:2" x14ac:dyDescent="0.25">
      <c r="A198" s="3" t="s">
        <v>26</v>
      </c>
      <c r="B198" s="8">
        <v>88117.35</v>
      </c>
    </row>
    <row r="199" spans="1:2" x14ac:dyDescent="0.25">
      <c r="A199" s="3" t="s">
        <v>27</v>
      </c>
      <c r="B199" s="8">
        <v>60657.760000000002</v>
      </c>
    </row>
    <row r="200" spans="1:2" x14ac:dyDescent="0.25">
      <c r="A200" s="3" t="s">
        <v>2</v>
      </c>
      <c r="B200" s="8">
        <v>2528</v>
      </c>
    </row>
    <row r="201" spans="1:2" x14ac:dyDescent="0.25">
      <c r="A201" s="3" t="s">
        <v>3</v>
      </c>
      <c r="B201" s="8">
        <v>39621.1</v>
      </c>
    </row>
    <row r="202" spans="1:2" x14ac:dyDescent="0.25">
      <c r="A202" s="3" t="s">
        <v>4</v>
      </c>
      <c r="B202" s="8">
        <v>25452.959999999999</v>
      </c>
    </row>
    <row r="203" spans="1:2" x14ac:dyDescent="0.25">
      <c r="A203" s="3" t="s">
        <v>5</v>
      </c>
      <c r="B203" s="8">
        <v>710</v>
      </c>
    </row>
    <row r="204" spans="1:2" x14ac:dyDescent="0.25">
      <c r="A204" s="3" t="s">
        <v>6</v>
      </c>
      <c r="B204" s="8">
        <v>7671.36</v>
      </c>
    </row>
    <row r="205" spans="1:2" x14ac:dyDescent="0.25">
      <c r="A205" s="3" t="s">
        <v>7</v>
      </c>
      <c r="B205" s="8">
        <v>43871.54</v>
      </c>
    </row>
    <row r="206" spans="1:2" x14ac:dyDescent="0.25">
      <c r="A206" s="3" t="s">
        <v>8</v>
      </c>
      <c r="B206" s="8">
        <v>129710</v>
      </c>
    </row>
    <row r="207" spans="1:2" x14ac:dyDescent="0.25">
      <c r="A207" s="3" t="s">
        <v>9</v>
      </c>
      <c r="B207" s="8">
        <v>31395.279999999999</v>
      </c>
    </row>
    <row r="208" spans="1:2" x14ac:dyDescent="0.25">
      <c r="A208" s="3" t="s">
        <v>10</v>
      </c>
      <c r="B208" s="8">
        <v>56389.55</v>
      </c>
    </row>
    <row r="209" spans="1:2" x14ac:dyDescent="0.25">
      <c r="A209" s="3" t="s">
        <v>11</v>
      </c>
      <c r="B209" s="8">
        <v>126358.5</v>
      </c>
    </row>
    <row r="210" spans="1:2" x14ac:dyDescent="0.25">
      <c r="A210" s="3" t="s">
        <v>12</v>
      </c>
      <c r="B210" s="8">
        <v>53928.9</v>
      </c>
    </row>
    <row r="211" spans="1:2" x14ac:dyDescent="0.25">
      <c r="A211" s="3" t="s">
        <v>13</v>
      </c>
      <c r="B211" s="8">
        <v>28256.49</v>
      </c>
    </row>
    <row r="212" spans="1:2" x14ac:dyDescent="0.25">
      <c r="A212" s="3" t="s">
        <v>14</v>
      </c>
      <c r="B212" s="8">
        <v>500</v>
      </c>
    </row>
    <row r="213" spans="1:2" x14ac:dyDescent="0.25">
      <c r="A213" s="3" t="s">
        <v>15</v>
      </c>
      <c r="B213" s="8">
        <v>10139.64</v>
      </c>
    </row>
    <row r="214" spans="1:2" x14ac:dyDescent="0.25">
      <c r="A214" s="3" t="s">
        <v>17</v>
      </c>
      <c r="B214" s="8">
        <v>60837</v>
      </c>
    </row>
    <row r="215" spans="1:2" x14ac:dyDescent="0.25">
      <c r="A215" s="3" t="s">
        <v>18</v>
      </c>
      <c r="B215" s="8">
        <v>3728.78</v>
      </c>
    </row>
    <row r="216" spans="1:2" x14ac:dyDescent="0.25">
      <c r="A216" s="3" t="s">
        <v>19</v>
      </c>
      <c r="B216" s="8">
        <v>71495.320000000007</v>
      </c>
    </row>
    <row r="217" spans="1:2" x14ac:dyDescent="0.25">
      <c r="A217" s="3" t="s">
        <v>22</v>
      </c>
      <c r="B217" s="8">
        <v>4998</v>
      </c>
    </row>
    <row r="218" spans="1:2" x14ac:dyDescent="0.25">
      <c r="A218" s="3" t="s">
        <v>24</v>
      </c>
      <c r="B218" s="8">
        <v>1903</v>
      </c>
    </row>
    <row r="219" spans="1:2" x14ac:dyDescent="0.25">
      <c r="A219" s="3" t="s">
        <v>25</v>
      </c>
      <c r="B219" s="8">
        <v>28220.35</v>
      </c>
    </row>
    <row r="220" spans="1:2" x14ac:dyDescent="0.25">
      <c r="A220" s="3" t="s">
        <v>26</v>
      </c>
      <c r="B220" s="8">
        <v>68018.91</v>
      </c>
    </row>
    <row r="221" spans="1:2" x14ac:dyDescent="0.25">
      <c r="A221" s="3" t="s">
        <v>27</v>
      </c>
      <c r="B221" s="8">
        <v>77050.13</v>
      </c>
    </row>
    <row r="222" spans="1:2" x14ac:dyDescent="0.25">
      <c r="A222" s="3" t="s">
        <v>2</v>
      </c>
      <c r="B222" s="8">
        <v>1462</v>
      </c>
    </row>
    <row r="223" spans="1:2" x14ac:dyDescent="0.25">
      <c r="A223" s="3" t="s">
        <v>3</v>
      </c>
      <c r="B223" s="8">
        <v>35139.51</v>
      </c>
    </row>
    <row r="224" spans="1:2" x14ac:dyDescent="0.25">
      <c r="A224" s="3" t="s">
        <v>4</v>
      </c>
      <c r="B224" s="8">
        <v>30112.79</v>
      </c>
    </row>
    <row r="225" spans="1:2" x14ac:dyDescent="0.25">
      <c r="A225" s="3" t="s">
        <v>5</v>
      </c>
      <c r="B225" s="8">
        <v>96</v>
      </c>
    </row>
    <row r="226" spans="1:2" x14ac:dyDescent="0.25">
      <c r="A226" s="3" t="s">
        <v>6</v>
      </c>
      <c r="B226" s="8">
        <v>1598</v>
      </c>
    </row>
    <row r="227" spans="1:2" x14ac:dyDescent="0.25">
      <c r="A227" s="3" t="s">
        <v>7</v>
      </c>
      <c r="B227" s="8">
        <v>54517.73</v>
      </c>
    </row>
    <row r="228" spans="1:2" x14ac:dyDescent="0.25">
      <c r="A228" s="3" t="s">
        <v>8</v>
      </c>
      <c r="B228" s="8">
        <v>144060.89000000001</v>
      </c>
    </row>
    <row r="229" spans="1:2" x14ac:dyDescent="0.25">
      <c r="A229" s="3" t="s">
        <v>9</v>
      </c>
      <c r="B229" s="8">
        <v>34098.47</v>
      </c>
    </row>
    <row r="230" spans="1:2" x14ac:dyDescent="0.25">
      <c r="A230" s="3" t="s">
        <v>10</v>
      </c>
      <c r="B230" s="8">
        <v>54472.21</v>
      </c>
    </row>
    <row r="231" spans="1:2" x14ac:dyDescent="0.25">
      <c r="A231" s="3" t="s">
        <v>11</v>
      </c>
      <c r="B231" s="8">
        <v>91016.52</v>
      </c>
    </row>
    <row r="232" spans="1:2" x14ac:dyDescent="0.25">
      <c r="A232" s="3" t="s">
        <v>12</v>
      </c>
      <c r="B232" s="8">
        <v>29191.43</v>
      </c>
    </row>
    <row r="233" spans="1:2" x14ac:dyDescent="0.25">
      <c r="A233" s="3" t="s">
        <v>13</v>
      </c>
      <c r="B233" s="8">
        <v>27588.47</v>
      </c>
    </row>
    <row r="234" spans="1:2" x14ac:dyDescent="0.25">
      <c r="A234" s="3" t="s">
        <v>14</v>
      </c>
      <c r="B234" s="8">
        <v>340</v>
      </c>
    </row>
    <row r="235" spans="1:2" x14ac:dyDescent="0.25">
      <c r="A235" s="3" t="s">
        <v>15</v>
      </c>
      <c r="B235" s="8">
        <v>7688.65</v>
      </c>
    </row>
    <row r="236" spans="1:2" x14ac:dyDescent="0.25">
      <c r="A236" s="3" t="s">
        <v>17</v>
      </c>
      <c r="B236" s="8">
        <v>56232</v>
      </c>
    </row>
    <row r="237" spans="1:2" x14ac:dyDescent="0.25">
      <c r="A237" s="3" t="s">
        <v>18</v>
      </c>
      <c r="B237" s="8">
        <v>7391.9</v>
      </c>
    </row>
    <row r="238" spans="1:2" x14ac:dyDescent="0.25">
      <c r="A238" s="3" t="s">
        <v>19</v>
      </c>
      <c r="B238" s="8">
        <v>56330.2</v>
      </c>
    </row>
    <row r="239" spans="1:2" x14ac:dyDescent="0.25">
      <c r="A239" s="3" t="s">
        <v>22</v>
      </c>
      <c r="B239" s="8">
        <v>3921</v>
      </c>
    </row>
    <row r="240" spans="1:2" x14ac:dyDescent="0.25">
      <c r="A240" s="3" t="s">
        <v>24</v>
      </c>
      <c r="B240" s="8">
        <v>1549</v>
      </c>
    </row>
    <row r="241" spans="1:2" x14ac:dyDescent="0.25">
      <c r="A241" s="3" t="s">
        <v>25</v>
      </c>
      <c r="B241" s="8">
        <v>30387.87</v>
      </c>
    </row>
    <row r="242" spans="1:2" x14ac:dyDescent="0.25">
      <c r="A242" s="3" t="s">
        <v>26</v>
      </c>
      <c r="B242" s="8">
        <v>94167.31</v>
      </c>
    </row>
    <row r="243" spans="1:2" x14ac:dyDescent="0.25">
      <c r="A243" s="3" t="s">
        <v>27</v>
      </c>
      <c r="B243" s="8">
        <v>65576.570000000007</v>
      </c>
    </row>
    <row r="244" spans="1:2" x14ac:dyDescent="0.25">
      <c r="A244" s="3" t="s">
        <v>2</v>
      </c>
      <c r="B244" s="8">
        <v>1809</v>
      </c>
    </row>
    <row r="245" spans="1:2" x14ac:dyDescent="0.25">
      <c r="A245" s="3" t="s">
        <v>3</v>
      </c>
      <c r="B245" s="8">
        <v>40794.47</v>
      </c>
    </row>
    <row r="246" spans="1:2" x14ac:dyDescent="0.25">
      <c r="A246" s="3" t="s">
        <v>4</v>
      </c>
      <c r="B246" s="8">
        <v>30800.95</v>
      </c>
    </row>
    <row r="247" spans="1:2" x14ac:dyDescent="0.25">
      <c r="A247" s="3" t="s">
        <v>5</v>
      </c>
      <c r="B247" s="8">
        <v>1002</v>
      </c>
    </row>
    <row r="248" spans="1:2" x14ac:dyDescent="0.25">
      <c r="A248" s="3" t="s">
        <v>6</v>
      </c>
      <c r="B248" s="8">
        <v>4066.56</v>
      </c>
    </row>
    <row r="249" spans="1:2" x14ac:dyDescent="0.25">
      <c r="A249" s="3" t="s">
        <v>7</v>
      </c>
      <c r="B249" s="8">
        <v>45527.39</v>
      </c>
    </row>
    <row r="250" spans="1:2" x14ac:dyDescent="0.25">
      <c r="A250" s="3" t="s">
        <v>8</v>
      </c>
      <c r="B250" s="8">
        <v>308124.87</v>
      </c>
    </row>
    <row r="251" spans="1:2" x14ac:dyDescent="0.25">
      <c r="A251" s="3" t="s">
        <v>9</v>
      </c>
      <c r="B251" s="8">
        <v>41367.26</v>
      </c>
    </row>
    <row r="252" spans="1:2" x14ac:dyDescent="0.25">
      <c r="A252" s="3" t="s">
        <v>10</v>
      </c>
      <c r="B252" s="8">
        <v>53744.54</v>
      </c>
    </row>
    <row r="253" spans="1:2" x14ac:dyDescent="0.25">
      <c r="A253" s="3" t="s">
        <v>11</v>
      </c>
      <c r="B253" s="8">
        <v>162172.71</v>
      </c>
    </row>
    <row r="254" spans="1:2" x14ac:dyDescent="0.25">
      <c r="A254" s="3" t="s">
        <v>12</v>
      </c>
      <c r="B254" s="8">
        <v>63880.09</v>
      </c>
    </row>
    <row r="255" spans="1:2" x14ac:dyDescent="0.25">
      <c r="A255" s="3" t="s">
        <v>13</v>
      </c>
      <c r="B255" s="8">
        <v>45977.49</v>
      </c>
    </row>
    <row r="256" spans="1:2" x14ac:dyDescent="0.25">
      <c r="A256" s="3" t="s">
        <v>14</v>
      </c>
      <c r="B256" s="8">
        <v>660</v>
      </c>
    </row>
    <row r="257" spans="1:2" x14ac:dyDescent="0.25">
      <c r="A257" s="3" t="s">
        <v>15</v>
      </c>
      <c r="B257" s="8">
        <v>2332.36</v>
      </c>
    </row>
    <row r="258" spans="1:2" x14ac:dyDescent="0.25">
      <c r="A258" s="3" t="s">
        <v>17</v>
      </c>
      <c r="B258" s="8">
        <v>62018</v>
      </c>
    </row>
    <row r="259" spans="1:2" x14ac:dyDescent="0.25">
      <c r="A259" s="3" t="s">
        <v>18</v>
      </c>
      <c r="B259" s="8">
        <v>9025.64</v>
      </c>
    </row>
    <row r="260" spans="1:2" x14ac:dyDescent="0.25">
      <c r="A260" s="3" t="s">
        <v>19</v>
      </c>
      <c r="B260" s="8">
        <v>-75712.05</v>
      </c>
    </row>
    <row r="261" spans="1:2" x14ac:dyDescent="0.25">
      <c r="A261" s="3" t="s">
        <v>22</v>
      </c>
      <c r="B261" s="8">
        <v>3510</v>
      </c>
    </row>
    <row r="262" spans="1:2" x14ac:dyDescent="0.25">
      <c r="A262" s="3" t="s">
        <v>24</v>
      </c>
      <c r="B262" s="8">
        <v>923</v>
      </c>
    </row>
    <row r="263" spans="1:2" x14ac:dyDescent="0.25">
      <c r="A263" s="3" t="s">
        <v>25</v>
      </c>
      <c r="B263" s="8">
        <v>29155.65</v>
      </c>
    </row>
    <row r="264" spans="1:2" x14ac:dyDescent="0.25">
      <c r="A264" s="3" t="s">
        <v>26</v>
      </c>
      <c r="B264" s="8">
        <v>60976.4</v>
      </c>
    </row>
    <row r="265" spans="1:2" x14ac:dyDescent="0.25">
      <c r="A265" s="3" t="s">
        <v>27</v>
      </c>
      <c r="B265" s="8">
        <v>77060.960000000006</v>
      </c>
    </row>
    <row r="266" spans="1:2" x14ac:dyDescent="0.25">
      <c r="A266" s="3" t="s">
        <v>2</v>
      </c>
      <c r="B266" s="8">
        <v>4086</v>
      </c>
    </row>
    <row r="267" spans="1:2" x14ac:dyDescent="0.25">
      <c r="A267" s="3" t="s">
        <v>3</v>
      </c>
      <c r="B267" s="8">
        <v>67931.48</v>
      </c>
    </row>
    <row r="268" spans="1:2" x14ac:dyDescent="0.25">
      <c r="A268" s="3" t="s">
        <v>4</v>
      </c>
      <c r="B268" s="8">
        <v>53058.65</v>
      </c>
    </row>
    <row r="269" spans="1:2" x14ac:dyDescent="0.25">
      <c r="A269" s="3" t="s">
        <v>6</v>
      </c>
      <c r="B269" s="8">
        <v>2639.56</v>
      </c>
    </row>
    <row r="270" spans="1:2" x14ac:dyDescent="0.25">
      <c r="A270" s="3" t="s">
        <v>7</v>
      </c>
      <c r="B270" s="8">
        <v>75248.66</v>
      </c>
    </row>
    <row r="271" spans="1:2" x14ac:dyDescent="0.25">
      <c r="A271" s="3" t="s">
        <v>8</v>
      </c>
      <c r="B271" s="8">
        <v>271900.93</v>
      </c>
    </row>
    <row r="272" spans="1:2" x14ac:dyDescent="0.25">
      <c r="A272" s="3" t="s">
        <v>9</v>
      </c>
      <c r="B272" s="8">
        <v>66495.11</v>
      </c>
    </row>
    <row r="273" spans="1:2" x14ac:dyDescent="0.25">
      <c r="A273" s="3" t="s">
        <v>10</v>
      </c>
      <c r="B273" s="8">
        <v>105517.66</v>
      </c>
    </row>
    <row r="274" spans="1:2" x14ac:dyDescent="0.25">
      <c r="A274" s="3" t="s">
        <v>11</v>
      </c>
      <c r="B274" s="8">
        <v>208400.07</v>
      </c>
    </row>
    <row r="275" spans="1:2" x14ac:dyDescent="0.25">
      <c r="A275" s="3" t="s">
        <v>12</v>
      </c>
      <c r="B275" s="8">
        <v>56677.5</v>
      </c>
    </row>
    <row r="276" spans="1:2" x14ac:dyDescent="0.25">
      <c r="A276" s="3" t="s">
        <v>13</v>
      </c>
      <c r="B276" s="8">
        <v>48735.99</v>
      </c>
    </row>
    <row r="277" spans="1:2" x14ac:dyDescent="0.25">
      <c r="A277" s="3" t="s">
        <v>14</v>
      </c>
      <c r="B277" s="8">
        <v>700</v>
      </c>
    </row>
    <row r="278" spans="1:2" x14ac:dyDescent="0.25">
      <c r="A278" s="3" t="s">
        <v>15</v>
      </c>
      <c r="B278" s="8">
        <v>8215.69</v>
      </c>
    </row>
    <row r="279" spans="1:2" x14ac:dyDescent="0.25">
      <c r="A279" s="3" t="s">
        <v>17</v>
      </c>
      <c r="B279" s="8">
        <v>95623</v>
      </c>
    </row>
    <row r="280" spans="1:2" x14ac:dyDescent="0.25">
      <c r="A280" s="3" t="s">
        <v>18</v>
      </c>
      <c r="B280" s="8">
        <v>13782.64</v>
      </c>
    </row>
    <row r="281" spans="1:2" x14ac:dyDescent="0.25">
      <c r="A281" s="3" t="s">
        <v>19</v>
      </c>
      <c r="B281" s="8">
        <v>102542.65</v>
      </c>
    </row>
    <row r="282" spans="1:2" x14ac:dyDescent="0.25">
      <c r="A282" s="3" t="s">
        <v>22</v>
      </c>
      <c r="B282" s="8">
        <v>1682</v>
      </c>
    </row>
    <row r="283" spans="1:2" x14ac:dyDescent="0.25">
      <c r="A283" s="3" t="s">
        <v>24</v>
      </c>
      <c r="B283" s="8">
        <v>6491</v>
      </c>
    </row>
    <row r="284" spans="1:2" x14ac:dyDescent="0.25">
      <c r="A284" s="3" t="s">
        <v>25</v>
      </c>
      <c r="B284" s="8">
        <v>76420.160000000003</v>
      </c>
    </row>
    <row r="285" spans="1:2" x14ac:dyDescent="0.25">
      <c r="A285" s="3" t="s">
        <v>26</v>
      </c>
      <c r="B285" s="8">
        <v>136763.18</v>
      </c>
    </row>
    <row r="286" spans="1:2" x14ac:dyDescent="0.25">
      <c r="A286" s="3" t="s">
        <v>27</v>
      </c>
      <c r="B286" s="8">
        <v>146853.53</v>
      </c>
    </row>
    <row r="287" spans="1:2" x14ac:dyDescent="0.25">
      <c r="A287" s="3" t="s">
        <v>2</v>
      </c>
      <c r="B287" s="8">
        <v>2273</v>
      </c>
    </row>
    <row r="288" spans="1:2" x14ac:dyDescent="0.25">
      <c r="A288" s="3" t="s">
        <v>3</v>
      </c>
      <c r="B288" s="8">
        <v>55657.99</v>
      </c>
    </row>
    <row r="289" spans="1:2" x14ac:dyDescent="0.25">
      <c r="A289" s="3" t="s">
        <v>4</v>
      </c>
      <c r="B289" s="8">
        <v>145583.97</v>
      </c>
    </row>
    <row r="290" spans="1:2" x14ac:dyDescent="0.25">
      <c r="A290" s="3" t="s">
        <v>5</v>
      </c>
      <c r="B290" s="8">
        <v>710</v>
      </c>
    </row>
    <row r="291" spans="1:2" x14ac:dyDescent="0.25">
      <c r="A291" s="3" t="s">
        <v>6</v>
      </c>
      <c r="B291" s="8">
        <v>7281.64</v>
      </c>
    </row>
    <row r="292" spans="1:2" x14ac:dyDescent="0.25">
      <c r="A292" s="3" t="s">
        <v>7</v>
      </c>
      <c r="B292" s="8">
        <v>80535.23</v>
      </c>
    </row>
    <row r="293" spans="1:2" x14ac:dyDescent="0.25">
      <c r="A293" s="3" t="s">
        <v>8</v>
      </c>
      <c r="B293" s="8">
        <v>228922.34</v>
      </c>
    </row>
    <row r="294" spans="1:2" x14ac:dyDescent="0.25">
      <c r="A294" s="3" t="s">
        <v>9</v>
      </c>
      <c r="B294" s="8">
        <v>52868.49</v>
      </c>
    </row>
    <row r="295" spans="1:2" x14ac:dyDescent="0.25">
      <c r="A295" s="3" t="s">
        <v>10</v>
      </c>
      <c r="B295" s="8">
        <v>91994.76</v>
      </c>
    </row>
    <row r="296" spans="1:2" x14ac:dyDescent="0.25">
      <c r="A296" s="3" t="s">
        <v>11</v>
      </c>
      <c r="B296" s="8">
        <v>182363.71</v>
      </c>
    </row>
    <row r="297" spans="1:2" x14ac:dyDescent="0.25">
      <c r="A297" s="3" t="s">
        <v>12</v>
      </c>
      <c r="B297" s="8">
        <v>57555.12</v>
      </c>
    </row>
    <row r="298" spans="1:2" x14ac:dyDescent="0.25">
      <c r="A298" s="3" t="s">
        <v>13</v>
      </c>
      <c r="B298" s="8">
        <v>40355</v>
      </c>
    </row>
    <row r="299" spans="1:2" x14ac:dyDescent="0.25">
      <c r="A299" s="3" t="s">
        <v>14</v>
      </c>
      <c r="B299" s="8">
        <v>1480</v>
      </c>
    </row>
    <row r="300" spans="1:2" x14ac:dyDescent="0.25">
      <c r="A300" s="3" t="s">
        <v>15</v>
      </c>
      <c r="B300" s="8">
        <v>5397.86</v>
      </c>
    </row>
    <row r="301" spans="1:2" x14ac:dyDescent="0.25">
      <c r="A301" s="3" t="s">
        <v>17</v>
      </c>
      <c r="B301" s="8">
        <v>90433</v>
      </c>
    </row>
    <row r="302" spans="1:2" x14ac:dyDescent="0.25">
      <c r="A302" s="3" t="s">
        <v>18</v>
      </c>
      <c r="B302" s="8">
        <v>17606.7</v>
      </c>
    </row>
    <row r="303" spans="1:2" x14ac:dyDescent="0.25">
      <c r="A303" s="3" t="s">
        <v>19</v>
      </c>
      <c r="B303" s="8">
        <v>86215.9</v>
      </c>
    </row>
    <row r="304" spans="1:2" x14ac:dyDescent="0.25">
      <c r="A304" s="3" t="s">
        <v>22</v>
      </c>
      <c r="B304" s="8">
        <v>4583</v>
      </c>
    </row>
    <row r="305" spans="1:2" x14ac:dyDescent="0.25">
      <c r="A305" s="3" t="s">
        <v>24</v>
      </c>
      <c r="B305" s="8">
        <v>6220</v>
      </c>
    </row>
    <row r="306" spans="1:2" x14ac:dyDescent="0.25">
      <c r="A306" s="3" t="s">
        <v>25</v>
      </c>
      <c r="B306" s="8">
        <v>73658.289999999994</v>
      </c>
    </row>
    <row r="307" spans="1:2" x14ac:dyDescent="0.25">
      <c r="A307" s="3" t="s">
        <v>26</v>
      </c>
      <c r="B307" s="8">
        <v>158361.01</v>
      </c>
    </row>
    <row r="308" spans="1:2" x14ac:dyDescent="0.25">
      <c r="A308" s="3" t="s">
        <v>27</v>
      </c>
      <c r="B308" s="8">
        <v>136848.15</v>
      </c>
    </row>
    <row r="309" spans="1:2" x14ac:dyDescent="0.25">
      <c r="A309" s="3" t="s">
        <v>2</v>
      </c>
      <c r="B309" s="8">
        <v>1761</v>
      </c>
    </row>
    <row r="310" spans="1:2" x14ac:dyDescent="0.25">
      <c r="A310" s="3" t="s">
        <v>3</v>
      </c>
      <c r="B310" s="8">
        <v>25984.080000000002</v>
      </c>
    </row>
    <row r="311" spans="1:2" x14ac:dyDescent="0.25">
      <c r="A311" s="3" t="s">
        <v>4</v>
      </c>
      <c r="B311" s="8">
        <v>18750.849999999999</v>
      </c>
    </row>
    <row r="312" spans="1:2" x14ac:dyDescent="0.25">
      <c r="A312" s="3" t="s">
        <v>5</v>
      </c>
      <c r="B312" s="8">
        <v>1420</v>
      </c>
    </row>
    <row r="313" spans="1:2" x14ac:dyDescent="0.25">
      <c r="A313" s="3" t="s">
        <v>6</v>
      </c>
      <c r="B313" s="8">
        <v>4215.17</v>
      </c>
    </row>
    <row r="314" spans="1:2" x14ac:dyDescent="0.25">
      <c r="A314" s="3" t="s">
        <v>7</v>
      </c>
      <c r="B314" s="8">
        <v>31868.7</v>
      </c>
    </row>
    <row r="315" spans="1:2" x14ac:dyDescent="0.25">
      <c r="A315" s="3" t="s">
        <v>8</v>
      </c>
      <c r="B315" s="8">
        <v>155928.57</v>
      </c>
    </row>
    <row r="316" spans="1:2" x14ac:dyDescent="0.25">
      <c r="A316" s="3" t="s">
        <v>9</v>
      </c>
      <c r="B316" s="8">
        <v>23145.25</v>
      </c>
    </row>
    <row r="317" spans="1:2" x14ac:dyDescent="0.25">
      <c r="A317" s="3" t="s">
        <v>10</v>
      </c>
      <c r="B317" s="8">
        <v>51221.67</v>
      </c>
    </row>
    <row r="318" spans="1:2" x14ac:dyDescent="0.25">
      <c r="A318" s="3" t="s">
        <v>11</v>
      </c>
      <c r="B318" s="8">
        <v>61377.5</v>
      </c>
    </row>
    <row r="319" spans="1:2" x14ac:dyDescent="0.25">
      <c r="A319" s="3" t="s">
        <v>12</v>
      </c>
      <c r="B319" s="8">
        <v>33718.269999999997</v>
      </c>
    </row>
    <row r="320" spans="1:2" x14ac:dyDescent="0.25">
      <c r="A320" s="3" t="s">
        <v>13</v>
      </c>
      <c r="B320" s="8">
        <v>13252</v>
      </c>
    </row>
    <row r="321" spans="1:2" x14ac:dyDescent="0.25">
      <c r="A321" s="3" t="s">
        <v>14</v>
      </c>
      <c r="B321" s="8">
        <v>180</v>
      </c>
    </row>
    <row r="322" spans="1:2" x14ac:dyDescent="0.25">
      <c r="A322" s="3" t="s">
        <v>15</v>
      </c>
      <c r="B322" s="8">
        <v>1324.58</v>
      </c>
    </row>
    <row r="323" spans="1:2" x14ac:dyDescent="0.25">
      <c r="A323" s="3" t="s">
        <v>17</v>
      </c>
      <c r="B323" s="8">
        <v>48951</v>
      </c>
    </row>
    <row r="324" spans="1:2" x14ac:dyDescent="0.25">
      <c r="A324" s="3" t="s">
        <v>18</v>
      </c>
      <c r="B324" s="8">
        <v>8368.92</v>
      </c>
    </row>
    <row r="325" spans="1:2" x14ac:dyDescent="0.25">
      <c r="A325" s="3" t="s">
        <v>19</v>
      </c>
      <c r="B325" s="8">
        <v>42114.66</v>
      </c>
    </row>
    <row r="326" spans="1:2" x14ac:dyDescent="0.25">
      <c r="A326" s="3" t="s">
        <v>22</v>
      </c>
      <c r="B326" s="8">
        <v>3026</v>
      </c>
    </row>
    <row r="327" spans="1:2" x14ac:dyDescent="0.25">
      <c r="A327" s="3" t="s">
        <v>24</v>
      </c>
      <c r="B327" s="8">
        <v>2940</v>
      </c>
    </row>
    <row r="328" spans="1:2" x14ac:dyDescent="0.25">
      <c r="A328" s="3" t="s">
        <v>25</v>
      </c>
      <c r="B328" s="8">
        <v>20239.849999999999</v>
      </c>
    </row>
    <row r="329" spans="1:2" x14ac:dyDescent="0.25">
      <c r="A329" s="3" t="s">
        <v>26</v>
      </c>
      <c r="B329" s="8">
        <v>59698.81</v>
      </c>
    </row>
    <row r="330" spans="1:2" x14ac:dyDescent="0.25">
      <c r="A330" s="3" t="s">
        <v>27</v>
      </c>
      <c r="B330" s="8">
        <v>91037.7</v>
      </c>
    </row>
    <row r="331" spans="1:2" x14ac:dyDescent="0.25">
      <c r="A331" s="3" t="s">
        <v>2</v>
      </c>
      <c r="B331" s="8">
        <v>2744</v>
      </c>
    </row>
    <row r="332" spans="1:2" x14ac:dyDescent="0.25">
      <c r="A332" s="3" t="s">
        <v>3</v>
      </c>
      <c r="B332" s="8">
        <v>34139.21</v>
      </c>
    </row>
    <row r="333" spans="1:2" x14ac:dyDescent="0.25">
      <c r="A333" s="3" t="s">
        <v>4</v>
      </c>
      <c r="B333" s="8">
        <v>34322.75</v>
      </c>
    </row>
    <row r="334" spans="1:2" x14ac:dyDescent="0.25">
      <c r="A334" s="3" t="s">
        <v>6</v>
      </c>
      <c r="B334" s="8">
        <v>3422</v>
      </c>
    </row>
    <row r="335" spans="1:2" x14ac:dyDescent="0.25">
      <c r="A335" s="3" t="s">
        <v>7</v>
      </c>
      <c r="B335" s="8">
        <v>51122.38</v>
      </c>
    </row>
    <row r="336" spans="1:2" x14ac:dyDescent="0.25">
      <c r="A336" s="3" t="s">
        <v>8</v>
      </c>
      <c r="B336" s="8">
        <v>199955.11</v>
      </c>
    </row>
    <row r="337" spans="1:2" x14ac:dyDescent="0.25">
      <c r="A337" s="3" t="s">
        <v>9</v>
      </c>
      <c r="B337" s="8">
        <v>40530.6</v>
      </c>
    </row>
    <row r="338" spans="1:2" x14ac:dyDescent="0.25">
      <c r="A338" s="3" t="s">
        <v>10</v>
      </c>
      <c r="B338" s="8">
        <v>51949.83</v>
      </c>
    </row>
    <row r="339" spans="1:2" x14ac:dyDescent="0.25">
      <c r="A339" s="3" t="s">
        <v>11</v>
      </c>
      <c r="B339" s="8">
        <v>95666</v>
      </c>
    </row>
    <row r="340" spans="1:2" x14ac:dyDescent="0.25">
      <c r="A340" s="3" t="s">
        <v>12</v>
      </c>
      <c r="B340" s="8">
        <v>31426.61</v>
      </c>
    </row>
    <row r="341" spans="1:2" x14ac:dyDescent="0.25">
      <c r="A341" s="3" t="s">
        <v>13</v>
      </c>
      <c r="B341" s="8">
        <v>33678.44</v>
      </c>
    </row>
    <row r="342" spans="1:2" x14ac:dyDescent="0.25">
      <c r="A342" s="3" t="s">
        <v>14</v>
      </c>
      <c r="B342" s="8">
        <v>520</v>
      </c>
    </row>
    <row r="343" spans="1:2" x14ac:dyDescent="0.25">
      <c r="A343" s="3" t="s">
        <v>15</v>
      </c>
      <c r="B343" s="8">
        <v>4153.38</v>
      </c>
    </row>
    <row r="344" spans="1:2" x14ac:dyDescent="0.25">
      <c r="A344" s="3" t="s">
        <v>17</v>
      </c>
      <c r="B344" s="8">
        <v>61611</v>
      </c>
    </row>
    <row r="345" spans="1:2" x14ac:dyDescent="0.25">
      <c r="A345" s="3" t="s">
        <v>18</v>
      </c>
      <c r="B345" s="8">
        <v>9632.52</v>
      </c>
    </row>
    <row r="346" spans="1:2" x14ac:dyDescent="0.25">
      <c r="A346" s="3" t="s">
        <v>19</v>
      </c>
      <c r="B346" s="8">
        <v>64119.07</v>
      </c>
    </row>
    <row r="347" spans="1:2" x14ac:dyDescent="0.25">
      <c r="A347" s="3" t="s">
        <v>22</v>
      </c>
      <c r="B347" s="8">
        <v>3813.82</v>
      </c>
    </row>
    <row r="348" spans="1:2" x14ac:dyDescent="0.25">
      <c r="A348" s="3" t="s">
        <v>24</v>
      </c>
      <c r="B348" s="8">
        <v>1357</v>
      </c>
    </row>
    <row r="349" spans="1:2" x14ac:dyDescent="0.25">
      <c r="A349" s="3" t="s">
        <v>25</v>
      </c>
      <c r="B349" s="8">
        <v>32120.959999999999</v>
      </c>
    </row>
    <row r="350" spans="1:2" x14ac:dyDescent="0.25">
      <c r="A350" s="3" t="s">
        <v>26</v>
      </c>
      <c r="B350" s="8">
        <v>58623.23</v>
      </c>
    </row>
    <row r="351" spans="1:2" x14ac:dyDescent="0.25">
      <c r="A351" s="3" t="s">
        <v>27</v>
      </c>
      <c r="B351" s="8">
        <v>75581.039999999994</v>
      </c>
    </row>
    <row r="352" spans="1:2" x14ac:dyDescent="0.25">
      <c r="A352" s="3" t="s">
        <v>2</v>
      </c>
      <c r="B352" s="8">
        <v>1639</v>
      </c>
    </row>
    <row r="353" spans="1:2" x14ac:dyDescent="0.25">
      <c r="A353" s="3" t="s">
        <v>3</v>
      </c>
      <c r="B353" s="8">
        <v>36537.230000000003</v>
      </c>
    </row>
    <row r="354" spans="1:2" x14ac:dyDescent="0.25">
      <c r="A354" s="3" t="s">
        <v>4</v>
      </c>
      <c r="B354" s="8">
        <v>190955.49</v>
      </c>
    </row>
    <row r="355" spans="1:2" x14ac:dyDescent="0.25">
      <c r="A355" s="3" t="s">
        <v>6</v>
      </c>
      <c r="B355" s="8">
        <v>6060.15</v>
      </c>
    </row>
    <row r="356" spans="1:2" x14ac:dyDescent="0.25">
      <c r="A356" s="3" t="s">
        <v>7</v>
      </c>
      <c r="B356" s="8">
        <v>70251.55</v>
      </c>
    </row>
    <row r="357" spans="1:2" x14ac:dyDescent="0.25">
      <c r="A357" s="3" t="s">
        <v>8</v>
      </c>
      <c r="B357" s="8">
        <v>177719.91</v>
      </c>
    </row>
    <row r="358" spans="1:2" x14ac:dyDescent="0.25">
      <c r="A358" s="3" t="s">
        <v>9</v>
      </c>
      <c r="B358" s="8">
        <v>35171.14</v>
      </c>
    </row>
    <row r="359" spans="1:2" x14ac:dyDescent="0.25">
      <c r="A359" s="3" t="s">
        <v>10</v>
      </c>
      <c r="B359" s="8">
        <v>71466.28</v>
      </c>
    </row>
    <row r="360" spans="1:2" x14ac:dyDescent="0.25">
      <c r="A360" s="3" t="s">
        <v>11</v>
      </c>
      <c r="B360" s="8">
        <v>127147.5</v>
      </c>
    </row>
    <row r="361" spans="1:2" x14ac:dyDescent="0.25">
      <c r="A361" s="3" t="s">
        <v>12</v>
      </c>
      <c r="B361" s="8">
        <v>31187.66</v>
      </c>
    </row>
    <row r="362" spans="1:2" x14ac:dyDescent="0.25">
      <c r="A362" s="3" t="s">
        <v>13</v>
      </c>
      <c r="B362" s="8">
        <v>30994.97</v>
      </c>
    </row>
    <row r="363" spans="1:2" x14ac:dyDescent="0.25">
      <c r="A363" s="3" t="s">
        <v>14</v>
      </c>
      <c r="B363" s="8">
        <v>340</v>
      </c>
    </row>
    <row r="364" spans="1:2" x14ac:dyDescent="0.25">
      <c r="A364" s="3" t="s">
        <v>15</v>
      </c>
      <c r="B364" s="8">
        <v>2214.92</v>
      </c>
    </row>
    <row r="365" spans="1:2" x14ac:dyDescent="0.25">
      <c r="A365" s="3" t="s">
        <v>17</v>
      </c>
      <c r="B365" s="8">
        <v>57537</v>
      </c>
    </row>
    <row r="366" spans="1:2" x14ac:dyDescent="0.25">
      <c r="A366" s="3" t="s">
        <v>18</v>
      </c>
      <c r="B366" s="8">
        <v>15749.24</v>
      </c>
    </row>
    <row r="367" spans="1:2" x14ac:dyDescent="0.25">
      <c r="A367" s="3" t="s">
        <v>19</v>
      </c>
      <c r="B367" s="8">
        <v>76631.75</v>
      </c>
    </row>
    <row r="368" spans="1:2" x14ac:dyDescent="0.25">
      <c r="A368" s="3" t="s">
        <v>22</v>
      </c>
      <c r="B368" s="8">
        <v>1963</v>
      </c>
    </row>
    <row r="369" spans="1:2" x14ac:dyDescent="0.25">
      <c r="A369" s="3" t="s">
        <v>24</v>
      </c>
      <c r="B369" s="8">
        <v>2335</v>
      </c>
    </row>
    <row r="370" spans="1:2" x14ac:dyDescent="0.25">
      <c r="A370" s="3" t="s">
        <v>25</v>
      </c>
      <c r="B370" s="8">
        <v>36840.68</v>
      </c>
    </row>
    <row r="371" spans="1:2" x14ac:dyDescent="0.25">
      <c r="A371" s="3" t="s">
        <v>26</v>
      </c>
      <c r="B371" s="8">
        <v>84732.79</v>
      </c>
    </row>
    <row r="372" spans="1:2" x14ac:dyDescent="0.25">
      <c r="A372" s="3" t="s">
        <v>27</v>
      </c>
      <c r="B372" s="8">
        <v>87706.54</v>
      </c>
    </row>
    <row r="373" spans="1:2" x14ac:dyDescent="0.25">
      <c r="A373" s="3" t="s">
        <v>2</v>
      </c>
      <c r="B373" s="8">
        <v>4912</v>
      </c>
    </row>
    <row r="374" spans="1:2" x14ac:dyDescent="0.25">
      <c r="A374" s="3" t="s">
        <v>3</v>
      </c>
      <c r="B374" s="8">
        <v>36523.89</v>
      </c>
    </row>
    <row r="375" spans="1:2" x14ac:dyDescent="0.25">
      <c r="A375" s="3" t="s">
        <v>4</v>
      </c>
      <c r="B375" s="8">
        <v>139797.18</v>
      </c>
    </row>
    <row r="376" spans="1:2" x14ac:dyDescent="0.25">
      <c r="A376" s="3" t="s">
        <v>6</v>
      </c>
      <c r="B376" s="8">
        <v>4342</v>
      </c>
    </row>
    <row r="377" spans="1:2" x14ac:dyDescent="0.25">
      <c r="A377" s="3" t="s">
        <v>7</v>
      </c>
      <c r="B377" s="8">
        <v>44895.1</v>
      </c>
    </row>
    <row r="378" spans="1:2" x14ac:dyDescent="0.25">
      <c r="A378" s="3" t="s">
        <v>8</v>
      </c>
      <c r="B378" s="8">
        <v>159932.71</v>
      </c>
    </row>
    <row r="379" spans="1:2" x14ac:dyDescent="0.25">
      <c r="A379" s="3" t="s">
        <v>9</v>
      </c>
      <c r="B379" s="8">
        <v>29141.66</v>
      </c>
    </row>
    <row r="380" spans="1:2" x14ac:dyDescent="0.25">
      <c r="A380" s="3" t="s">
        <v>10</v>
      </c>
      <c r="B380" s="8">
        <v>56297.91</v>
      </c>
    </row>
    <row r="381" spans="1:2" x14ac:dyDescent="0.25">
      <c r="A381" s="3" t="s">
        <v>11</v>
      </c>
      <c r="B381" s="8">
        <v>155526.01</v>
      </c>
    </row>
    <row r="382" spans="1:2" x14ac:dyDescent="0.25">
      <c r="A382" s="3" t="s">
        <v>12</v>
      </c>
      <c r="B382" s="8">
        <v>55890.58</v>
      </c>
    </row>
    <row r="383" spans="1:2" x14ac:dyDescent="0.25">
      <c r="A383" s="3" t="s">
        <v>13</v>
      </c>
      <c r="B383" s="8">
        <v>61958.49</v>
      </c>
    </row>
    <row r="384" spans="1:2" x14ac:dyDescent="0.25">
      <c r="A384" s="3" t="s">
        <v>14</v>
      </c>
      <c r="B384" s="8">
        <v>700</v>
      </c>
    </row>
    <row r="385" spans="1:2" x14ac:dyDescent="0.25">
      <c r="A385" s="3" t="s">
        <v>15</v>
      </c>
      <c r="B385" s="8">
        <v>379.5</v>
      </c>
    </row>
    <row r="386" spans="1:2" x14ac:dyDescent="0.25">
      <c r="A386" s="3" t="s">
        <v>17</v>
      </c>
      <c r="B386" s="8">
        <v>59567</v>
      </c>
    </row>
    <row r="387" spans="1:2" x14ac:dyDescent="0.25">
      <c r="A387" s="3" t="s">
        <v>18</v>
      </c>
      <c r="B387" s="8">
        <v>5743.6</v>
      </c>
    </row>
    <row r="388" spans="1:2" x14ac:dyDescent="0.25">
      <c r="A388" s="3" t="s">
        <v>19</v>
      </c>
      <c r="B388" s="8">
        <v>39107.440000000002</v>
      </c>
    </row>
    <row r="389" spans="1:2" x14ac:dyDescent="0.25">
      <c r="A389" s="3" t="s">
        <v>22</v>
      </c>
      <c r="B389" s="8">
        <v>5834.82</v>
      </c>
    </row>
    <row r="390" spans="1:2" x14ac:dyDescent="0.25">
      <c r="A390" s="3" t="s">
        <v>24</v>
      </c>
      <c r="B390" s="8">
        <v>12634</v>
      </c>
    </row>
    <row r="391" spans="1:2" x14ac:dyDescent="0.25">
      <c r="A391" s="3" t="s">
        <v>25</v>
      </c>
      <c r="B391" s="8">
        <v>50208.84</v>
      </c>
    </row>
    <row r="392" spans="1:2" x14ac:dyDescent="0.25">
      <c r="A392" s="3" t="s">
        <v>26</v>
      </c>
      <c r="B392" s="8">
        <v>72980.850000000006</v>
      </c>
    </row>
    <row r="393" spans="1:2" x14ac:dyDescent="0.25">
      <c r="A393" s="3" t="s">
        <v>27</v>
      </c>
      <c r="B393" s="8">
        <v>58998.49</v>
      </c>
    </row>
    <row r="394" spans="1:2" x14ac:dyDescent="0.25">
      <c r="A394" s="3" t="s">
        <v>2</v>
      </c>
      <c r="B394" s="8">
        <v>1318</v>
      </c>
    </row>
    <row r="395" spans="1:2" x14ac:dyDescent="0.25">
      <c r="A395" s="3" t="s">
        <v>3</v>
      </c>
      <c r="B395" s="8">
        <v>45919.21</v>
      </c>
    </row>
    <row r="396" spans="1:2" x14ac:dyDescent="0.25">
      <c r="A396" s="3" t="s">
        <v>4</v>
      </c>
      <c r="B396" s="8">
        <v>204618.2</v>
      </c>
    </row>
    <row r="397" spans="1:2" x14ac:dyDescent="0.25">
      <c r="A397" s="3" t="s">
        <v>6</v>
      </c>
      <c r="B397" s="8">
        <v>2837</v>
      </c>
    </row>
    <row r="398" spans="1:2" x14ac:dyDescent="0.25">
      <c r="A398" s="3" t="s">
        <v>7</v>
      </c>
      <c r="B398" s="8">
        <v>53128.76</v>
      </c>
    </row>
    <row r="399" spans="1:2" x14ac:dyDescent="0.25">
      <c r="A399" s="3" t="s">
        <v>8</v>
      </c>
      <c r="B399" s="8">
        <v>145602.13</v>
      </c>
    </row>
    <row r="400" spans="1:2" x14ac:dyDescent="0.25">
      <c r="A400" s="3" t="s">
        <v>9</v>
      </c>
      <c r="B400" s="8">
        <v>27363.360000000001</v>
      </c>
    </row>
    <row r="401" spans="1:2" x14ac:dyDescent="0.25">
      <c r="A401" s="3" t="s">
        <v>10</v>
      </c>
      <c r="B401" s="8">
        <v>64665.919999999998</v>
      </c>
    </row>
    <row r="402" spans="1:2" x14ac:dyDescent="0.25">
      <c r="A402" s="3" t="s">
        <v>11</v>
      </c>
      <c r="B402" s="8">
        <v>248540.43</v>
      </c>
    </row>
    <row r="403" spans="1:2" x14ac:dyDescent="0.25">
      <c r="A403" s="3" t="s">
        <v>12</v>
      </c>
      <c r="B403" s="8">
        <v>66279.06</v>
      </c>
    </row>
    <row r="404" spans="1:2" x14ac:dyDescent="0.25">
      <c r="A404" s="3" t="s">
        <v>13</v>
      </c>
      <c r="B404" s="8">
        <v>55180.99</v>
      </c>
    </row>
    <row r="405" spans="1:2" x14ac:dyDescent="0.25">
      <c r="A405" s="3" t="s">
        <v>14</v>
      </c>
      <c r="B405" s="8">
        <v>240</v>
      </c>
    </row>
    <row r="406" spans="1:2" x14ac:dyDescent="0.25">
      <c r="A406" s="3" t="s">
        <v>15</v>
      </c>
      <c r="B406" s="8">
        <v>3448.62</v>
      </c>
    </row>
    <row r="407" spans="1:2" x14ac:dyDescent="0.25">
      <c r="A407" s="3" t="s">
        <v>17</v>
      </c>
      <c r="B407" s="8">
        <v>63816</v>
      </c>
    </row>
    <row r="408" spans="1:2" x14ac:dyDescent="0.25">
      <c r="A408" s="3" t="s">
        <v>18</v>
      </c>
      <c r="B408" s="8">
        <v>10904.44</v>
      </c>
    </row>
    <row r="409" spans="1:2" x14ac:dyDescent="0.25">
      <c r="A409" s="3" t="s">
        <v>19</v>
      </c>
      <c r="B409" s="8">
        <v>56540.76</v>
      </c>
    </row>
    <row r="410" spans="1:2" x14ac:dyDescent="0.25">
      <c r="A410" s="3" t="s">
        <v>22</v>
      </c>
      <c r="B410" s="8">
        <v>1481</v>
      </c>
    </row>
    <row r="411" spans="1:2" x14ac:dyDescent="0.25">
      <c r="A411" s="3" t="s">
        <v>24</v>
      </c>
      <c r="B411" s="8">
        <v>3198</v>
      </c>
    </row>
    <row r="412" spans="1:2" x14ac:dyDescent="0.25">
      <c r="A412" s="3" t="s">
        <v>25</v>
      </c>
      <c r="B412" s="8">
        <v>51903.06</v>
      </c>
    </row>
    <row r="413" spans="1:2" x14ac:dyDescent="0.25">
      <c r="A413" s="3" t="s">
        <v>26</v>
      </c>
      <c r="B413" s="8">
        <v>74341.31</v>
      </c>
    </row>
    <row r="414" spans="1:2" x14ac:dyDescent="0.25">
      <c r="A414" s="3" t="s">
        <v>27</v>
      </c>
      <c r="B414" s="8">
        <v>86344.77</v>
      </c>
    </row>
    <row r="415" spans="1:2" x14ac:dyDescent="0.25">
      <c r="A415" s="3" t="s">
        <v>2</v>
      </c>
      <c r="B415" s="8">
        <v>3015</v>
      </c>
    </row>
    <row r="416" spans="1:2" x14ac:dyDescent="0.25">
      <c r="A416" s="3" t="s">
        <v>3</v>
      </c>
      <c r="B416" s="8">
        <v>68274.17</v>
      </c>
    </row>
    <row r="417" spans="1:2" x14ac:dyDescent="0.25">
      <c r="A417" s="3" t="s">
        <v>4</v>
      </c>
      <c r="B417" s="8">
        <v>175893.87</v>
      </c>
    </row>
    <row r="418" spans="1:2" x14ac:dyDescent="0.25">
      <c r="A418" s="3" t="s">
        <v>6</v>
      </c>
      <c r="B418" s="8">
        <v>12604.82</v>
      </c>
    </row>
    <row r="419" spans="1:2" x14ac:dyDescent="0.25">
      <c r="A419" s="3" t="s">
        <v>7</v>
      </c>
      <c r="B419" s="8">
        <v>73775.740000000005</v>
      </c>
    </row>
    <row r="420" spans="1:2" x14ac:dyDescent="0.25">
      <c r="A420" s="3" t="s">
        <v>8</v>
      </c>
      <c r="B420" s="8">
        <v>338462.83</v>
      </c>
    </row>
    <row r="421" spans="1:2" x14ac:dyDescent="0.25">
      <c r="A421" s="3" t="s">
        <v>9</v>
      </c>
      <c r="B421" s="8">
        <v>83545.679999999993</v>
      </c>
    </row>
    <row r="422" spans="1:2" x14ac:dyDescent="0.25">
      <c r="A422" s="3" t="s">
        <v>10</v>
      </c>
      <c r="B422" s="8">
        <v>125282.75</v>
      </c>
    </row>
    <row r="423" spans="1:2" x14ac:dyDescent="0.25">
      <c r="A423" s="3" t="s">
        <v>11</v>
      </c>
      <c r="B423" s="8">
        <v>348904.58</v>
      </c>
    </row>
    <row r="424" spans="1:2" x14ac:dyDescent="0.25">
      <c r="A424" s="3" t="s">
        <v>12</v>
      </c>
      <c r="B424" s="8">
        <v>71402.009999999995</v>
      </c>
    </row>
    <row r="425" spans="1:2" x14ac:dyDescent="0.25">
      <c r="A425" s="3" t="s">
        <v>13</v>
      </c>
      <c r="B425" s="8">
        <v>73734.990000000005</v>
      </c>
    </row>
    <row r="426" spans="1:2" x14ac:dyDescent="0.25">
      <c r="A426" s="3" t="s">
        <v>14</v>
      </c>
      <c r="B426" s="8">
        <v>500</v>
      </c>
    </row>
    <row r="427" spans="1:2" x14ac:dyDescent="0.25">
      <c r="A427" s="3" t="s">
        <v>15</v>
      </c>
      <c r="B427" s="8">
        <v>8206.8799999999992</v>
      </c>
    </row>
    <row r="428" spans="1:2" x14ac:dyDescent="0.25">
      <c r="A428" s="3" t="s">
        <v>17</v>
      </c>
      <c r="B428" s="8">
        <v>125224.23</v>
      </c>
    </row>
    <row r="429" spans="1:2" x14ac:dyDescent="0.25">
      <c r="A429" s="3" t="s">
        <v>18</v>
      </c>
      <c r="B429" s="8">
        <v>19727.66</v>
      </c>
    </row>
    <row r="430" spans="1:2" x14ac:dyDescent="0.25">
      <c r="A430" s="3" t="s">
        <v>19</v>
      </c>
      <c r="B430" s="8">
        <v>132610.79999999999</v>
      </c>
    </row>
    <row r="431" spans="1:2" x14ac:dyDescent="0.25">
      <c r="A431" s="3" t="s">
        <v>22</v>
      </c>
      <c r="B431" s="8">
        <v>6016.82</v>
      </c>
    </row>
    <row r="432" spans="1:2" x14ac:dyDescent="0.25">
      <c r="A432" s="3" t="s">
        <v>24</v>
      </c>
      <c r="B432" s="8">
        <v>1608</v>
      </c>
    </row>
    <row r="433" spans="1:2" x14ac:dyDescent="0.25">
      <c r="A433" s="3" t="s">
        <v>25</v>
      </c>
      <c r="B433" s="8">
        <v>69115.91</v>
      </c>
    </row>
    <row r="434" spans="1:2" x14ac:dyDescent="0.25">
      <c r="A434" s="3" t="s">
        <v>26</v>
      </c>
      <c r="B434" s="8">
        <v>130342.71</v>
      </c>
    </row>
    <row r="435" spans="1:2" x14ac:dyDescent="0.25">
      <c r="A435" s="3" t="s">
        <v>27</v>
      </c>
      <c r="B435" s="8">
        <v>170241.96</v>
      </c>
    </row>
    <row r="436" spans="1:2" x14ac:dyDescent="0.25">
      <c r="A436" s="3" t="s">
        <v>2</v>
      </c>
      <c r="B436" s="8">
        <v>3291</v>
      </c>
    </row>
    <row r="437" spans="1:2" x14ac:dyDescent="0.25">
      <c r="A437" s="3" t="s">
        <v>3</v>
      </c>
      <c r="B437" s="8">
        <v>48701.52</v>
      </c>
    </row>
    <row r="438" spans="1:2" x14ac:dyDescent="0.25">
      <c r="A438" s="3" t="s">
        <v>4</v>
      </c>
      <c r="B438" s="8">
        <v>53216.19</v>
      </c>
    </row>
    <row r="439" spans="1:2" x14ac:dyDescent="0.25">
      <c r="A439" s="3" t="s">
        <v>6</v>
      </c>
      <c r="B439" s="8">
        <v>4142</v>
      </c>
    </row>
    <row r="440" spans="1:2" x14ac:dyDescent="0.25">
      <c r="A440" s="3" t="s">
        <v>7</v>
      </c>
      <c r="B440" s="8">
        <v>70185.97</v>
      </c>
    </row>
    <row r="441" spans="1:2" x14ac:dyDescent="0.25">
      <c r="A441" s="3" t="s">
        <v>8</v>
      </c>
      <c r="B441" s="8">
        <v>228615.79</v>
      </c>
    </row>
    <row r="442" spans="1:2" x14ac:dyDescent="0.25">
      <c r="A442" s="3" t="s">
        <v>9</v>
      </c>
      <c r="B442" s="8">
        <v>52525.3</v>
      </c>
    </row>
    <row r="443" spans="1:2" x14ac:dyDescent="0.25">
      <c r="A443" s="3" t="s">
        <v>10</v>
      </c>
      <c r="B443" s="8">
        <v>95620.17</v>
      </c>
    </row>
    <row r="444" spans="1:2" x14ac:dyDescent="0.25">
      <c r="A444" s="3" t="s">
        <v>11</v>
      </c>
      <c r="B444" s="8">
        <v>317558.08</v>
      </c>
    </row>
    <row r="445" spans="1:2" x14ac:dyDescent="0.25">
      <c r="A445" s="3" t="s">
        <v>12</v>
      </c>
      <c r="B445" s="8">
        <v>84223.81</v>
      </c>
    </row>
    <row r="446" spans="1:2" x14ac:dyDescent="0.25">
      <c r="A446" s="3" t="s">
        <v>13</v>
      </c>
      <c r="B446" s="8">
        <v>70653.490000000005</v>
      </c>
    </row>
    <row r="447" spans="1:2" x14ac:dyDescent="0.25">
      <c r="A447" s="3" t="s">
        <v>14</v>
      </c>
      <c r="B447" s="8">
        <v>820</v>
      </c>
    </row>
    <row r="448" spans="1:2" x14ac:dyDescent="0.25">
      <c r="A448" s="3" t="s">
        <v>15</v>
      </c>
      <c r="B448" s="8">
        <v>6274.04</v>
      </c>
    </row>
    <row r="449" spans="1:2" x14ac:dyDescent="0.25">
      <c r="A449" s="3" t="s">
        <v>17</v>
      </c>
      <c r="B449" s="8">
        <v>94608.85</v>
      </c>
    </row>
    <row r="450" spans="1:2" x14ac:dyDescent="0.25">
      <c r="A450" s="3" t="s">
        <v>18</v>
      </c>
      <c r="B450" s="8">
        <v>15766.98</v>
      </c>
    </row>
    <row r="451" spans="1:2" x14ac:dyDescent="0.25">
      <c r="A451" s="3" t="s">
        <v>19</v>
      </c>
      <c r="B451" s="8">
        <v>64592.54</v>
      </c>
    </row>
    <row r="452" spans="1:2" x14ac:dyDescent="0.25">
      <c r="A452" s="3" t="s">
        <v>22</v>
      </c>
      <c r="B452" s="8">
        <v>3808</v>
      </c>
    </row>
    <row r="453" spans="1:2" x14ac:dyDescent="0.25">
      <c r="A453" s="3" t="s">
        <v>24</v>
      </c>
      <c r="B453" s="8">
        <v>3023</v>
      </c>
    </row>
    <row r="454" spans="1:2" x14ac:dyDescent="0.25">
      <c r="A454" s="3" t="s">
        <v>25</v>
      </c>
      <c r="B454" s="8">
        <v>72884.990000000005</v>
      </c>
    </row>
    <row r="455" spans="1:2" x14ac:dyDescent="0.25">
      <c r="A455" s="3" t="s">
        <v>26</v>
      </c>
      <c r="B455" s="8">
        <v>102688.53</v>
      </c>
    </row>
    <row r="456" spans="1:2" x14ac:dyDescent="0.25">
      <c r="A456" s="3" t="s">
        <v>27</v>
      </c>
      <c r="B456" s="8">
        <v>127548.97</v>
      </c>
    </row>
    <row r="457" spans="1:2" x14ac:dyDescent="0.25">
      <c r="A457" s="3" t="s">
        <v>2</v>
      </c>
      <c r="B457" s="8">
        <v>1536</v>
      </c>
    </row>
    <row r="458" spans="1:2" x14ac:dyDescent="0.25">
      <c r="A458" s="3" t="s">
        <v>3</v>
      </c>
      <c r="B458" s="8">
        <v>32933.56</v>
      </c>
    </row>
    <row r="459" spans="1:2" x14ac:dyDescent="0.25">
      <c r="A459" s="3" t="s">
        <v>4</v>
      </c>
      <c r="B459" s="8">
        <v>130814.83</v>
      </c>
    </row>
    <row r="460" spans="1:2" x14ac:dyDescent="0.25">
      <c r="A460" s="3" t="s">
        <v>6</v>
      </c>
      <c r="B460" s="8">
        <v>2890.56</v>
      </c>
    </row>
    <row r="461" spans="1:2" x14ac:dyDescent="0.25">
      <c r="A461" s="3" t="s">
        <v>7</v>
      </c>
      <c r="B461" s="8">
        <v>24166.74</v>
      </c>
    </row>
    <row r="462" spans="1:2" x14ac:dyDescent="0.25">
      <c r="A462" s="3" t="s">
        <v>8</v>
      </c>
      <c r="B462" s="8">
        <v>117287.84</v>
      </c>
    </row>
    <row r="463" spans="1:2" x14ac:dyDescent="0.25">
      <c r="A463" s="3" t="s">
        <v>9</v>
      </c>
      <c r="B463" s="8">
        <v>22803</v>
      </c>
    </row>
    <row r="464" spans="1:2" x14ac:dyDescent="0.25">
      <c r="A464" s="3" t="s">
        <v>10</v>
      </c>
      <c r="B464" s="8">
        <v>40793.49</v>
      </c>
    </row>
    <row r="465" spans="1:2" x14ac:dyDescent="0.25">
      <c r="A465" s="3" t="s">
        <v>11</v>
      </c>
      <c r="B465" s="8">
        <v>231612.43</v>
      </c>
    </row>
    <row r="466" spans="1:2" x14ac:dyDescent="0.25">
      <c r="A466" s="3" t="s">
        <v>12</v>
      </c>
      <c r="B466" s="8">
        <v>-47858.2</v>
      </c>
    </row>
    <row r="467" spans="1:2" x14ac:dyDescent="0.25">
      <c r="A467" s="3" t="s">
        <v>13</v>
      </c>
      <c r="B467" s="8">
        <v>63445.98</v>
      </c>
    </row>
    <row r="468" spans="1:2" x14ac:dyDescent="0.25">
      <c r="A468" s="3" t="s">
        <v>14</v>
      </c>
      <c r="B468" s="8">
        <v>80</v>
      </c>
    </row>
    <row r="469" spans="1:2" x14ac:dyDescent="0.25">
      <c r="A469" s="3" t="s">
        <v>15</v>
      </c>
      <c r="B469" s="8">
        <v>8328.64</v>
      </c>
    </row>
    <row r="470" spans="1:2" x14ac:dyDescent="0.25">
      <c r="A470" s="3" t="s">
        <v>17</v>
      </c>
      <c r="B470" s="8">
        <v>44923.45</v>
      </c>
    </row>
    <row r="471" spans="1:2" x14ac:dyDescent="0.25">
      <c r="A471" s="3" t="s">
        <v>18</v>
      </c>
      <c r="B471" s="8">
        <v>5207.58</v>
      </c>
    </row>
    <row r="472" spans="1:2" x14ac:dyDescent="0.25">
      <c r="A472" s="3" t="s">
        <v>19</v>
      </c>
      <c r="B472" s="8">
        <v>22249.41</v>
      </c>
    </row>
    <row r="473" spans="1:2" x14ac:dyDescent="0.25">
      <c r="A473" s="3" t="s">
        <v>22</v>
      </c>
      <c r="B473" s="8">
        <v>3384</v>
      </c>
    </row>
    <row r="474" spans="1:2" x14ac:dyDescent="0.25">
      <c r="A474" s="3" t="s">
        <v>24</v>
      </c>
      <c r="B474" s="8">
        <v>482</v>
      </c>
    </row>
    <row r="475" spans="1:2" x14ac:dyDescent="0.25">
      <c r="A475" s="3" t="s">
        <v>25</v>
      </c>
      <c r="B475" s="8">
        <v>35191.279999999999</v>
      </c>
    </row>
    <row r="476" spans="1:2" x14ac:dyDescent="0.25">
      <c r="A476" s="3" t="s">
        <v>26</v>
      </c>
      <c r="B476" s="8">
        <v>48877.94</v>
      </c>
    </row>
    <row r="477" spans="1:2" x14ac:dyDescent="0.25">
      <c r="A477" s="3" t="s">
        <v>27</v>
      </c>
      <c r="B477" s="8">
        <v>42419.46</v>
      </c>
    </row>
    <row r="478" spans="1:2" x14ac:dyDescent="0.25">
      <c r="A478" s="3" t="s">
        <v>2</v>
      </c>
      <c r="B478" s="8">
        <v>1264</v>
      </c>
    </row>
    <row r="479" spans="1:2" x14ac:dyDescent="0.25">
      <c r="A479" s="3" t="s">
        <v>3</v>
      </c>
      <c r="B479" s="8">
        <v>15517.69</v>
      </c>
    </row>
    <row r="480" spans="1:2" x14ac:dyDescent="0.25">
      <c r="A480" s="3" t="s">
        <v>4</v>
      </c>
      <c r="B480" s="8">
        <v>11335.52</v>
      </c>
    </row>
    <row r="481" spans="1:2" x14ac:dyDescent="0.25">
      <c r="A481" s="3" t="s">
        <v>6</v>
      </c>
      <c r="B481" s="8">
        <v>5357</v>
      </c>
    </row>
    <row r="482" spans="1:2" x14ac:dyDescent="0.25">
      <c r="A482" s="3" t="s">
        <v>7</v>
      </c>
      <c r="B482" s="8">
        <v>22683.14</v>
      </c>
    </row>
    <row r="483" spans="1:2" x14ac:dyDescent="0.25">
      <c r="A483" s="3" t="s">
        <v>8</v>
      </c>
      <c r="B483" s="8">
        <v>110748.65</v>
      </c>
    </row>
    <row r="484" spans="1:2" x14ac:dyDescent="0.25">
      <c r="A484" s="3" t="s">
        <v>9</v>
      </c>
      <c r="B484" s="8">
        <v>12662</v>
      </c>
    </row>
    <row r="485" spans="1:2" x14ac:dyDescent="0.25">
      <c r="A485" s="3" t="s">
        <v>10</v>
      </c>
      <c r="B485" s="8">
        <v>38316.36</v>
      </c>
    </row>
    <row r="486" spans="1:2" x14ac:dyDescent="0.25">
      <c r="A486" s="3" t="s">
        <v>11</v>
      </c>
      <c r="B486" s="8">
        <v>72340.009999999995</v>
      </c>
    </row>
    <row r="487" spans="1:2" x14ac:dyDescent="0.25">
      <c r="A487" s="3" t="s">
        <v>12</v>
      </c>
      <c r="B487" s="8">
        <v>40118.6</v>
      </c>
    </row>
    <row r="488" spans="1:2" x14ac:dyDescent="0.25">
      <c r="A488" s="3" t="s">
        <v>13</v>
      </c>
      <c r="B488" s="8">
        <v>14107.49</v>
      </c>
    </row>
    <row r="489" spans="1:2" x14ac:dyDescent="0.25">
      <c r="A489" s="3" t="s">
        <v>14</v>
      </c>
      <c r="B489" s="8">
        <v>300</v>
      </c>
    </row>
    <row r="490" spans="1:2" x14ac:dyDescent="0.25">
      <c r="A490" s="3" t="s">
        <v>15</v>
      </c>
      <c r="B490" s="8">
        <v>3242.54</v>
      </c>
    </row>
    <row r="491" spans="1:2" x14ac:dyDescent="0.25">
      <c r="A491" s="3" t="s">
        <v>17</v>
      </c>
      <c r="B491" s="8">
        <v>44866.22</v>
      </c>
    </row>
    <row r="492" spans="1:2" x14ac:dyDescent="0.25">
      <c r="A492" s="3" t="s">
        <v>18</v>
      </c>
      <c r="B492" s="8">
        <v>2440.7199999999998</v>
      </c>
    </row>
    <row r="493" spans="1:2" x14ac:dyDescent="0.25">
      <c r="A493" s="3" t="s">
        <v>19</v>
      </c>
      <c r="B493" s="8">
        <v>17090.63</v>
      </c>
    </row>
    <row r="494" spans="1:2" x14ac:dyDescent="0.25">
      <c r="A494" s="3" t="s">
        <v>22</v>
      </c>
      <c r="B494" s="8">
        <v>5687.64</v>
      </c>
    </row>
    <row r="495" spans="1:2" x14ac:dyDescent="0.25">
      <c r="A495" s="3" t="s">
        <v>24</v>
      </c>
      <c r="B495" s="8">
        <v>2598</v>
      </c>
    </row>
    <row r="496" spans="1:2" x14ac:dyDescent="0.25">
      <c r="A496" s="3" t="s">
        <v>25</v>
      </c>
      <c r="B496" s="8">
        <v>21410.68</v>
      </c>
    </row>
    <row r="497" spans="1:2" x14ac:dyDescent="0.25">
      <c r="A497" s="3" t="s">
        <v>26</v>
      </c>
      <c r="B497" s="8">
        <v>29468.81</v>
      </c>
    </row>
    <row r="498" spans="1:2" x14ac:dyDescent="0.25">
      <c r="A498" s="3" t="s">
        <v>27</v>
      </c>
      <c r="B498" s="8">
        <v>28875.83</v>
      </c>
    </row>
    <row r="499" spans="1:2" x14ac:dyDescent="0.25">
      <c r="A499" s="3" t="s">
        <v>2</v>
      </c>
      <c r="B499" s="8">
        <v>40</v>
      </c>
    </row>
    <row r="500" spans="1:2" x14ac:dyDescent="0.25">
      <c r="A500" s="3" t="s">
        <v>3</v>
      </c>
      <c r="B500" s="8">
        <v>24426.62</v>
      </c>
    </row>
    <row r="501" spans="1:2" x14ac:dyDescent="0.25">
      <c r="A501" s="3" t="s">
        <v>4</v>
      </c>
      <c r="B501" s="8">
        <v>15634.31</v>
      </c>
    </row>
    <row r="502" spans="1:2" x14ac:dyDescent="0.25">
      <c r="A502" s="3" t="s">
        <v>6</v>
      </c>
      <c r="B502" s="8">
        <v>4441</v>
      </c>
    </row>
    <row r="503" spans="1:2" x14ac:dyDescent="0.25">
      <c r="A503" s="3" t="s">
        <v>7</v>
      </c>
      <c r="B503" s="8">
        <v>42177</v>
      </c>
    </row>
    <row r="504" spans="1:2" x14ac:dyDescent="0.25">
      <c r="A504" s="3" t="s">
        <v>8</v>
      </c>
      <c r="B504" s="8">
        <v>105245.86</v>
      </c>
    </row>
    <row r="505" spans="1:2" x14ac:dyDescent="0.25">
      <c r="A505" s="3" t="s">
        <v>9</v>
      </c>
      <c r="B505" s="8">
        <v>19367</v>
      </c>
    </row>
    <row r="506" spans="1:2" x14ac:dyDescent="0.25">
      <c r="A506" s="3" t="s">
        <v>10</v>
      </c>
      <c r="B506" s="8">
        <v>40220.92</v>
      </c>
    </row>
    <row r="507" spans="1:2" x14ac:dyDescent="0.25">
      <c r="A507" s="3" t="s">
        <v>11</v>
      </c>
      <c r="B507" s="8">
        <v>96459.51</v>
      </c>
    </row>
    <row r="508" spans="1:2" x14ac:dyDescent="0.25">
      <c r="A508" s="3" t="s">
        <v>12</v>
      </c>
      <c r="B508" s="8">
        <v>36942</v>
      </c>
    </row>
    <row r="509" spans="1:2" x14ac:dyDescent="0.25">
      <c r="A509" s="3" t="s">
        <v>13</v>
      </c>
      <c r="B509" s="8">
        <v>19502</v>
      </c>
    </row>
    <row r="510" spans="1:2" x14ac:dyDescent="0.25">
      <c r="A510" s="3" t="s">
        <v>14</v>
      </c>
      <c r="B510" s="8">
        <v>20</v>
      </c>
    </row>
    <row r="511" spans="1:2" x14ac:dyDescent="0.25">
      <c r="A511" s="3" t="s">
        <v>15</v>
      </c>
      <c r="B511" s="8">
        <v>4225.74</v>
      </c>
    </row>
    <row r="512" spans="1:2" x14ac:dyDescent="0.25">
      <c r="A512" s="3" t="s">
        <v>17</v>
      </c>
      <c r="B512" s="8">
        <v>98856.74</v>
      </c>
    </row>
    <row r="513" spans="1:2" x14ac:dyDescent="0.25">
      <c r="A513" s="3" t="s">
        <v>18</v>
      </c>
      <c r="B513" s="8">
        <v>2382.1799999999998</v>
      </c>
    </row>
    <row r="514" spans="1:2" x14ac:dyDescent="0.25">
      <c r="A514" s="3" t="s">
        <v>19</v>
      </c>
      <c r="B514" s="8">
        <v>36115.49</v>
      </c>
    </row>
    <row r="515" spans="1:2" x14ac:dyDescent="0.25">
      <c r="A515" s="3" t="s">
        <v>22</v>
      </c>
      <c r="B515" s="8">
        <v>2777</v>
      </c>
    </row>
    <row r="516" spans="1:2" x14ac:dyDescent="0.25">
      <c r="A516" s="3" t="s">
        <v>24</v>
      </c>
      <c r="B516" s="8">
        <v>1616</v>
      </c>
    </row>
    <row r="517" spans="1:2" x14ac:dyDescent="0.25">
      <c r="A517" s="3" t="s">
        <v>25</v>
      </c>
      <c r="B517" s="8">
        <v>17387.13</v>
      </c>
    </row>
    <row r="518" spans="1:2" x14ac:dyDescent="0.25">
      <c r="A518" s="3" t="s">
        <v>26</v>
      </c>
      <c r="B518" s="8">
        <v>49855.82</v>
      </c>
    </row>
    <row r="519" spans="1:2" x14ac:dyDescent="0.25">
      <c r="A519" s="3" t="s">
        <v>27</v>
      </c>
      <c r="B519" s="8">
        <v>65034.26</v>
      </c>
    </row>
    <row r="520" spans="1:2" x14ac:dyDescent="0.25">
      <c r="A520" s="3" t="s">
        <v>2</v>
      </c>
      <c r="B520" s="8">
        <v>1040</v>
      </c>
    </row>
    <row r="521" spans="1:2" x14ac:dyDescent="0.25">
      <c r="A521" s="3" t="s">
        <v>3</v>
      </c>
      <c r="B521" s="8">
        <v>23938.12</v>
      </c>
    </row>
    <row r="522" spans="1:2" x14ac:dyDescent="0.25">
      <c r="A522" s="3" t="s">
        <v>4</v>
      </c>
      <c r="B522" s="8">
        <v>17989.310000000001</v>
      </c>
    </row>
    <row r="523" spans="1:2" x14ac:dyDescent="0.25">
      <c r="A523" s="3" t="s">
        <v>5</v>
      </c>
      <c r="B523" s="8">
        <v>810</v>
      </c>
    </row>
    <row r="524" spans="1:2" x14ac:dyDescent="0.25">
      <c r="A524" s="3" t="s">
        <v>6</v>
      </c>
      <c r="B524" s="8">
        <v>5000.43</v>
      </c>
    </row>
    <row r="525" spans="1:2" x14ac:dyDescent="0.25">
      <c r="A525" s="3" t="s">
        <v>7</v>
      </c>
      <c r="B525" s="8">
        <v>37916.870000000003</v>
      </c>
    </row>
    <row r="526" spans="1:2" x14ac:dyDescent="0.25">
      <c r="A526" s="3" t="s">
        <v>8</v>
      </c>
      <c r="B526" s="8">
        <v>184459.5</v>
      </c>
    </row>
    <row r="527" spans="1:2" x14ac:dyDescent="0.25">
      <c r="A527" s="3" t="s">
        <v>9</v>
      </c>
      <c r="B527" s="8">
        <v>17224</v>
      </c>
    </row>
    <row r="528" spans="1:2" x14ac:dyDescent="0.25">
      <c r="A528" s="3" t="s">
        <v>10</v>
      </c>
      <c r="B528" s="8">
        <v>44278.33</v>
      </c>
    </row>
    <row r="529" spans="1:2" x14ac:dyDescent="0.25">
      <c r="A529" s="3" t="s">
        <v>11</v>
      </c>
      <c r="B529" s="8">
        <v>97055.06</v>
      </c>
    </row>
    <row r="530" spans="1:2" x14ac:dyDescent="0.25">
      <c r="A530" s="3" t="s">
        <v>12</v>
      </c>
      <c r="B530" s="8">
        <v>45816.5</v>
      </c>
    </row>
    <row r="531" spans="1:2" x14ac:dyDescent="0.25">
      <c r="A531" s="3" t="s">
        <v>13</v>
      </c>
      <c r="B531" s="8">
        <v>19380</v>
      </c>
    </row>
    <row r="532" spans="1:2" x14ac:dyDescent="0.25">
      <c r="A532" s="3" t="s">
        <v>15</v>
      </c>
      <c r="B532" s="8">
        <v>5807.34</v>
      </c>
    </row>
    <row r="533" spans="1:2" x14ac:dyDescent="0.25">
      <c r="A533" s="3" t="s">
        <v>17</v>
      </c>
      <c r="B533" s="8">
        <v>53656.87</v>
      </c>
    </row>
    <row r="534" spans="1:2" x14ac:dyDescent="0.25">
      <c r="A534" s="3" t="s">
        <v>18</v>
      </c>
      <c r="B534" s="8">
        <v>5871.84</v>
      </c>
    </row>
    <row r="535" spans="1:2" x14ac:dyDescent="0.25">
      <c r="A535" s="3" t="s">
        <v>19</v>
      </c>
      <c r="B535" s="8">
        <v>38382.620000000003</v>
      </c>
    </row>
    <row r="536" spans="1:2" x14ac:dyDescent="0.25">
      <c r="A536" s="3" t="s">
        <v>22</v>
      </c>
      <c r="B536" s="8">
        <v>4833.6400000000003</v>
      </c>
    </row>
    <row r="537" spans="1:2" x14ac:dyDescent="0.25">
      <c r="A537" s="3" t="s">
        <v>24</v>
      </c>
      <c r="B537" s="8">
        <v>2007</v>
      </c>
    </row>
    <row r="538" spans="1:2" x14ac:dyDescent="0.25">
      <c r="A538" s="3" t="s">
        <v>25</v>
      </c>
      <c r="B538" s="8">
        <v>21299.84</v>
      </c>
    </row>
    <row r="539" spans="1:2" x14ac:dyDescent="0.25">
      <c r="A539" s="3" t="s">
        <v>26</v>
      </c>
      <c r="B539" s="8">
        <v>71258.009999999995</v>
      </c>
    </row>
    <row r="540" spans="1:2" x14ac:dyDescent="0.25">
      <c r="A540" s="3" t="s">
        <v>27</v>
      </c>
      <c r="B540" s="8">
        <v>64347.64</v>
      </c>
    </row>
    <row r="541" spans="1:2" x14ac:dyDescent="0.25">
      <c r="A541" s="3" t="s">
        <v>3</v>
      </c>
      <c r="B541" s="8">
        <v>22229.83</v>
      </c>
    </row>
    <row r="542" spans="1:2" x14ac:dyDescent="0.25">
      <c r="A542" s="3" t="s">
        <v>4</v>
      </c>
      <c r="B542" s="8">
        <v>93888.15</v>
      </c>
    </row>
    <row r="543" spans="1:2" x14ac:dyDescent="0.25">
      <c r="A543" s="3" t="s">
        <v>6</v>
      </c>
      <c r="B543" s="8">
        <v>284</v>
      </c>
    </row>
    <row r="544" spans="1:2" x14ac:dyDescent="0.25">
      <c r="A544" s="3" t="s">
        <v>7</v>
      </c>
      <c r="B544" s="8">
        <v>27501.5</v>
      </c>
    </row>
    <row r="545" spans="1:2" x14ac:dyDescent="0.25">
      <c r="A545" s="3" t="s">
        <v>8</v>
      </c>
      <c r="B545" s="8">
        <v>137308.29</v>
      </c>
    </row>
    <row r="546" spans="1:2" x14ac:dyDescent="0.25">
      <c r="A546" s="3" t="s">
        <v>9</v>
      </c>
      <c r="B546" s="8">
        <v>14830</v>
      </c>
    </row>
    <row r="547" spans="1:2" x14ac:dyDescent="0.25">
      <c r="A547" s="3" t="s">
        <v>10</v>
      </c>
      <c r="B547" s="8">
        <v>44780.35</v>
      </c>
    </row>
    <row r="548" spans="1:2" x14ac:dyDescent="0.25">
      <c r="A548" s="3" t="s">
        <v>11</v>
      </c>
      <c r="B548" s="8">
        <v>132274.97</v>
      </c>
    </row>
    <row r="549" spans="1:2" x14ac:dyDescent="0.25">
      <c r="A549" s="3" t="s">
        <v>12</v>
      </c>
      <c r="B549" s="8">
        <v>30078.22</v>
      </c>
    </row>
    <row r="550" spans="1:2" x14ac:dyDescent="0.25">
      <c r="A550" s="3" t="s">
        <v>13</v>
      </c>
      <c r="B550" s="8">
        <v>30781.98</v>
      </c>
    </row>
    <row r="551" spans="1:2" x14ac:dyDescent="0.25">
      <c r="A551" s="3" t="s">
        <v>14</v>
      </c>
      <c r="B551" s="8">
        <v>20</v>
      </c>
    </row>
    <row r="552" spans="1:2" x14ac:dyDescent="0.25">
      <c r="A552" s="3" t="s">
        <v>15</v>
      </c>
      <c r="B552" s="8">
        <v>2767.52</v>
      </c>
    </row>
    <row r="553" spans="1:2" x14ac:dyDescent="0.25">
      <c r="A553" s="3" t="s">
        <v>17</v>
      </c>
      <c r="B553" s="8">
        <v>41917.480000000003</v>
      </c>
    </row>
    <row r="554" spans="1:2" x14ac:dyDescent="0.25">
      <c r="A554" s="3" t="s">
        <v>18</v>
      </c>
      <c r="B554" s="8">
        <v>8919.26</v>
      </c>
    </row>
    <row r="555" spans="1:2" x14ac:dyDescent="0.25">
      <c r="A555" s="3" t="s">
        <v>19</v>
      </c>
      <c r="B555" s="8">
        <v>40468.879999999997</v>
      </c>
    </row>
    <row r="556" spans="1:2" x14ac:dyDescent="0.25">
      <c r="A556" s="3" t="s">
        <v>22</v>
      </c>
      <c r="B556" s="8">
        <v>2567</v>
      </c>
    </row>
    <row r="557" spans="1:2" x14ac:dyDescent="0.25">
      <c r="A557" s="3" t="s">
        <v>25</v>
      </c>
      <c r="B557" s="8">
        <v>22119.200000000001</v>
      </c>
    </row>
    <row r="558" spans="1:2" x14ac:dyDescent="0.25">
      <c r="A558" s="3" t="s">
        <v>26</v>
      </c>
      <c r="B558" s="8">
        <v>35326.85</v>
      </c>
    </row>
    <row r="559" spans="1:2" x14ac:dyDescent="0.25">
      <c r="A559" s="3" t="s">
        <v>27</v>
      </c>
      <c r="B559" s="8">
        <v>61476.43</v>
      </c>
    </row>
    <row r="560" spans="1:2" x14ac:dyDescent="0.25">
      <c r="A560" s="3" t="s">
        <v>2</v>
      </c>
      <c r="B560" s="8">
        <v>988</v>
      </c>
    </row>
    <row r="561" spans="1:2" x14ac:dyDescent="0.25">
      <c r="A561" s="3" t="s">
        <v>3</v>
      </c>
      <c r="B561" s="8">
        <v>34630.1</v>
      </c>
    </row>
    <row r="562" spans="1:2" x14ac:dyDescent="0.25">
      <c r="A562" s="3" t="s">
        <v>4</v>
      </c>
      <c r="B562" s="8">
        <v>21065.46</v>
      </c>
    </row>
    <row r="563" spans="1:2" x14ac:dyDescent="0.25">
      <c r="A563" s="3" t="s">
        <v>6</v>
      </c>
      <c r="B563" s="8">
        <v>2644.21</v>
      </c>
    </row>
    <row r="564" spans="1:2" x14ac:dyDescent="0.25">
      <c r="A564" s="3" t="s">
        <v>7</v>
      </c>
      <c r="B564" s="8">
        <v>65880.539999999994</v>
      </c>
    </row>
    <row r="565" spans="1:2" x14ac:dyDescent="0.25">
      <c r="A565" s="3" t="s">
        <v>8</v>
      </c>
      <c r="B565" s="8">
        <v>234401.85</v>
      </c>
    </row>
    <row r="566" spans="1:2" x14ac:dyDescent="0.25">
      <c r="A566" s="3" t="s">
        <v>9</v>
      </c>
      <c r="B566" s="8">
        <v>36713</v>
      </c>
    </row>
    <row r="567" spans="1:2" x14ac:dyDescent="0.25">
      <c r="A567" s="3" t="s">
        <v>10</v>
      </c>
      <c r="B567" s="8">
        <v>89577.57</v>
      </c>
    </row>
    <row r="568" spans="1:2" x14ac:dyDescent="0.25">
      <c r="A568" s="3" t="s">
        <v>11</v>
      </c>
      <c r="B568" s="8">
        <v>241713.01</v>
      </c>
    </row>
    <row r="569" spans="1:2" x14ac:dyDescent="0.25">
      <c r="A569" s="3" t="s">
        <v>12</v>
      </c>
      <c r="B569" s="8">
        <v>53067</v>
      </c>
    </row>
    <row r="570" spans="1:2" x14ac:dyDescent="0.25">
      <c r="A570" s="3" t="s">
        <v>13</v>
      </c>
      <c r="B570" s="8">
        <v>70974.490000000005</v>
      </c>
    </row>
    <row r="571" spans="1:2" x14ac:dyDescent="0.25">
      <c r="A571" s="3" t="s">
        <v>15</v>
      </c>
      <c r="B571" s="8">
        <v>10367.780000000001</v>
      </c>
    </row>
    <row r="572" spans="1:2" x14ac:dyDescent="0.25">
      <c r="A572" s="3" t="s">
        <v>17</v>
      </c>
      <c r="B572" s="8">
        <v>93582.63</v>
      </c>
    </row>
    <row r="573" spans="1:2" x14ac:dyDescent="0.25">
      <c r="A573" s="3" t="s">
        <v>18</v>
      </c>
      <c r="B573" s="8">
        <v>22289.759999999998</v>
      </c>
    </row>
    <row r="574" spans="1:2" x14ac:dyDescent="0.25">
      <c r="A574" s="3" t="s">
        <v>19</v>
      </c>
      <c r="B574" s="8">
        <v>69970.22</v>
      </c>
    </row>
    <row r="575" spans="1:2" x14ac:dyDescent="0.25">
      <c r="A575" s="3" t="s">
        <v>22</v>
      </c>
      <c r="B575" s="8">
        <v>3559</v>
      </c>
    </row>
    <row r="576" spans="1:2" x14ac:dyDescent="0.25">
      <c r="A576" s="3" t="s">
        <v>24</v>
      </c>
      <c r="B576" s="8">
        <v>4162</v>
      </c>
    </row>
    <row r="577" spans="1:2" x14ac:dyDescent="0.25">
      <c r="A577" s="3" t="s">
        <v>25</v>
      </c>
      <c r="B577" s="8">
        <v>35963.07</v>
      </c>
    </row>
    <row r="578" spans="1:2" x14ac:dyDescent="0.25">
      <c r="A578" s="3" t="s">
        <v>26</v>
      </c>
      <c r="B578" s="8">
        <v>81556.039999999994</v>
      </c>
    </row>
    <row r="579" spans="1:2" x14ac:dyDescent="0.25">
      <c r="A579" s="3" t="s">
        <v>27</v>
      </c>
      <c r="B579" s="8">
        <v>134725.87</v>
      </c>
    </row>
    <row r="580" spans="1:2" x14ac:dyDescent="0.25">
      <c r="A580" s="3" t="s">
        <v>2</v>
      </c>
      <c r="B580" s="8">
        <v>52</v>
      </c>
    </row>
    <row r="581" spans="1:2" x14ac:dyDescent="0.25">
      <c r="A581" s="3" t="s">
        <v>3</v>
      </c>
      <c r="B581" s="8">
        <v>32556.080000000002</v>
      </c>
    </row>
    <row r="582" spans="1:2" x14ac:dyDescent="0.25">
      <c r="A582" s="3" t="s">
        <v>4</v>
      </c>
      <c r="B582" s="8">
        <v>21335.22</v>
      </c>
    </row>
    <row r="583" spans="1:2" x14ac:dyDescent="0.25">
      <c r="A583" s="3" t="s">
        <v>6</v>
      </c>
      <c r="B583" s="8">
        <v>1084.03</v>
      </c>
    </row>
    <row r="584" spans="1:2" x14ac:dyDescent="0.25">
      <c r="A584" s="3" t="s">
        <v>7</v>
      </c>
      <c r="B584" s="8">
        <v>39419.79</v>
      </c>
    </row>
    <row r="585" spans="1:2" x14ac:dyDescent="0.25">
      <c r="A585" s="3" t="s">
        <v>8</v>
      </c>
      <c r="B585" s="8">
        <v>182495.08</v>
      </c>
    </row>
    <row r="586" spans="1:2" x14ac:dyDescent="0.25">
      <c r="A586" s="3" t="s">
        <v>9</v>
      </c>
      <c r="B586" s="8">
        <v>30349</v>
      </c>
    </row>
    <row r="587" spans="1:2" x14ac:dyDescent="0.25">
      <c r="A587" s="3" t="s">
        <v>10</v>
      </c>
      <c r="B587" s="8">
        <v>67916.11</v>
      </c>
    </row>
    <row r="588" spans="1:2" x14ac:dyDescent="0.25">
      <c r="A588" s="3" t="s">
        <v>11</v>
      </c>
      <c r="B588" s="8">
        <v>160994.49</v>
      </c>
    </row>
    <row r="589" spans="1:2" x14ac:dyDescent="0.25">
      <c r="A589" s="3" t="s">
        <v>12</v>
      </c>
      <c r="B589" s="8">
        <v>56761.919999999998</v>
      </c>
    </row>
    <row r="590" spans="1:2" x14ac:dyDescent="0.25">
      <c r="A590" s="3" t="s">
        <v>13</v>
      </c>
      <c r="B590" s="8">
        <v>25285</v>
      </c>
    </row>
    <row r="591" spans="1:2" x14ac:dyDescent="0.25">
      <c r="A591" s="3" t="s">
        <v>15</v>
      </c>
      <c r="B591" s="8">
        <v>1399.7</v>
      </c>
    </row>
    <row r="592" spans="1:2" x14ac:dyDescent="0.25">
      <c r="A592" s="3" t="s">
        <v>17</v>
      </c>
      <c r="B592" s="8">
        <v>60743.38</v>
      </c>
    </row>
    <row r="593" spans="1:2" x14ac:dyDescent="0.25">
      <c r="A593" s="3" t="s">
        <v>18</v>
      </c>
      <c r="B593" s="8">
        <v>5621.42</v>
      </c>
    </row>
    <row r="594" spans="1:2" x14ac:dyDescent="0.25">
      <c r="A594" s="3" t="s">
        <v>19</v>
      </c>
      <c r="B594" s="8">
        <v>36075.58</v>
      </c>
    </row>
    <row r="595" spans="1:2" x14ac:dyDescent="0.25">
      <c r="A595" s="3" t="s">
        <v>22</v>
      </c>
      <c r="B595" s="8">
        <v>6797.64</v>
      </c>
    </row>
    <row r="596" spans="1:2" x14ac:dyDescent="0.25">
      <c r="A596" s="3" t="s">
        <v>24</v>
      </c>
      <c r="B596" s="8">
        <v>1914</v>
      </c>
    </row>
    <row r="597" spans="1:2" x14ac:dyDescent="0.25">
      <c r="A597" s="3" t="s">
        <v>25</v>
      </c>
      <c r="B597" s="8">
        <v>23864.54</v>
      </c>
    </row>
    <row r="598" spans="1:2" x14ac:dyDescent="0.25">
      <c r="A598" s="3" t="s">
        <v>26</v>
      </c>
      <c r="B598" s="8">
        <v>63795.47</v>
      </c>
    </row>
    <row r="599" spans="1:2" x14ac:dyDescent="0.25">
      <c r="A599" s="3" t="s">
        <v>27</v>
      </c>
      <c r="B599" s="8">
        <v>71639.16</v>
      </c>
    </row>
    <row r="600" spans="1:2" x14ac:dyDescent="0.25">
      <c r="A600" s="3" t="s">
        <v>2</v>
      </c>
      <c r="B600" s="8">
        <v>832</v>
      </c>
    </row>
    <row r="601" spans="1:2" x14ac:dyDescent="0.25">
      <c r="A601" s="3" t="s">
        <v>3</v>
      </c>
      <c r="B601" s="8">
        <v>17468.7</v>
      </c>
    </row>
    <row r="602" spans="1:2" x14ac:dyDescent="0.25">
      <c r="A602" s="3" t="s">
        <v>4</v>
      </c>
      <c r="B602" s="8">
        <v>10317.209999999999</v>
      </c>
    </row>
    <row r="603" spans="1:2" x14ac:dyDescent="0.25">
      <c r="A603" s="3" t="s">
        <v>7</v>
      </c>
      <c r="B603" s="8">
        <v>31213.32</v>
      </c>
    </row>
    <row r="604" spans="1:2" x14ac:dyDescent="0.25">
      <c r="A604" s="3" t="s">
        <v>8</v>
      </c>
      <c r="B604" s="8">
        <v>115937.73</v>
      </c>
    </row>
    <row r="605" spans="1:2" x14ac:dyDescent="0.25">
      <c r="A605" s="3" t="s">
        <v>9</v>
      </c>
      <c r="B605" s="8">
        <v>8209</v>
      </c>
    </row>
    <row r="606" spans="1:2" x14ac:dyDescent="0.25">
      <c r="A606" s="3" t="s">
        <v>10</v>
      </c>
      <c r="B606" s="8">
        <v>40516.379999999997</v>
      </c>
    </row>
    <row r="607" spans="1:2" x14ac:dyDescent="0.25">
      <c r="A607" s="3" t="s">
        <v>11</v>
      </c>
      <c r="B607" s="8">
        <v>60675.96</v>
      </c>
    </row>
    <row r="608" spans="1:2" x14ac:dyDescent="0.25">
      <c r="A608" s="3" t="s">
        <v>12</v>
      </c>
      <c r="B608" s="8">
        <v>28739.4</v>
      </c>
    </row>
    <row r="609" spans="1:2" x14ac:dyDescent="0.25">
      <c r="A609" s="3" t="s">
        <v>13</v>
      </c>
      <c r="B609" s="8">
        <v>9703</v>
      </c>
    </row>
    <row r="610" spans="1:2" x14ac:dyDescent="0.25">
      <c r="A610" s="3" t="s">
        <v>15</v>
      </c>
      <c r="B610" s="8">
        <v>1935.26</v>
      </c>
    </row>
    <row r="611" spans="1:2" x14ac:dyDescent="0.25">
      <c r="A611" s="3" t="s">
        <v>17</v>
      </c>
      <c r="B611" s="8">
        <v>50918.03</v>
      </c>
    </row>
    <row r="612" spans="1:2" x14ac:dyDescent="0.25">
      <c r="A612" s="3" t="s">
        <v>18</v>
      </c>
      <c r="B612" s="8">
        <v>2110.42</v>
      </c>
    </row>
    <row r="613" spans="1:2" x14ac:dyDescent="0.25">
      <c r="A613" s="3" t="s">
        <v>19</v>
      </c>
      <c r="B613" s="8">
        <v>42622.89</v>
      </c>
    </row>
    <row r="614" spans="1:2" x14ac:dyDescent="0.25">
      <c r="A614" s="3" t="s">
        <v>22</v>
      </c>
      <c r="B614" s="8">
        <v>2678</v>
      </c>
    </row>
    <row r="615" spans="1:2" x14ac:dyDescent="0.25">
      <c r="A615" s="3" t="s">
        <v>24</v>
      </c>
      <c r="B615" s="8">
        <v>866</v>
      </c>
    </row>
    <row r="616" spans="1:2" x14ac:dyDescent="0.25">
      <c r="A616" s="3" t="s">
        <v>25</v>
      </c>
      <c r="B616" s="8">
        <v>8767.77</v>
      </c>
    </row>
    <row r="617" spans="1:2" x14ac:dyDescent="0.25">
      <c r="A617" s="3" t="s">
        <v>26</v>
      </c>
      <c r="B617" s="8">
        <v>35663.18</v>
      </c>
    </row>
    <row r="618" spans="1:2" x14ac:dyDescent="0.25">
      <c r="A618" s="3" t="s">
        <v>27</v>
      </c>
      <c r="B618" s="8">
        <v>42835.57</v>
      </c>
    </row>
    <row r="619" spans="1:2" x14ac:dyDescent="0.25">
      <c r="A619" s="3" t="s">
        <v>2</v>
      </c>
      <c r="B619" s="8">
        <v>208</v>
      </c>
    </row>
    <row r="620" spans="1:2" x14ac:dyDescent="0.25">
      <c r="A620" s="3" t="s">
        <v>3</v>
      </c>
      <c r="B620" s="8">
        <v>14818.77</v>
      </c>
    </row>
    <row r="621" spans="1:2" x14ac:dyDescent="0.25">
      <c r="A621" s="3" t="s">
        <v>4</v>
      </c>
      <c r="B621" s="8">
        <v>15570.14</v>
      </c>
    </row>
    <row r="622" spans="1:2" x14ac:dyDescent="0.25">
      <c r="A622" s="3" t="s">
        <v>6</v>
      </c>
      <c r="B622" s="8">
        <v>994</v>
      </c>
    </row>
    <row r="623" spans="1:2" x14ac:dyDescent="0.25">
      <c r="A623" s="3" t="s">
        <v>7</v>
      </c>
      <c r="B623" s="8">
        <v>25721.3</v>
      </c>
    </row>
    <row r="624" spans="1:2" x14ac:dyDescent="0.25">
      <c r="A624" s="3" t="s">
        <v>8</v>
      </c>
      <c r="B624" s="8">
        <v>163616.85</v>
      </c>
    </row>
    <row r="625" spans="1:2" x14ac:dyDescent="0.25">
      <c r="A625" s="3" t="s">
        <v>9</v>
      </c>
      <c r="B625" s="8">
        <v>16424</v>
      </c>
    </row>
    <row r="626" spans="1:2" x14ac:dyDescent="0.25">
      <c r="A626" s="3" t="s">
        <v>10</v>
      </c>
      <c r="B626" s="8">
        <v>52739.02</v>
      </c>
    </row>
    <row r="627" spans="1:2" x14ac:dyDescent="0.25">
      <c r="A627" s="3" t="s">
        <v>11</v>
      </c>
      <c r="B627" s="8">
        <v>90960.97</v>
      </c>
    </row>
    <row r="628" spans="1:2" x14ac:dyDescent="0.25">
      <c r="A628" s="3" t="s">
        <v>12</v>
      </c>
      <c r="B628" s="8">
        <v>55333.71</v>
      </c>
    </row>
    <row r="629" spans="1:2" x14ac:dyDescent="0.25">
      <c r="A629" s="3" t="s">
        <v>13</v>
      </c>
      <c r="B629" s="8">
        <v>14179.49</v>
      </c>
    </row>
    <row r="630" spans="1:2" x14ac:dyDescent="0.25">
      <c r="A630" s="3" t="s">
        <v>15</v>
      </c>
      <c r="B630" s="8">
        <v>2655.26</v>
      </c>
    </row>
    <row r="631" spans="1:2" x14ac:dyDescent="0.25">
      <c r="A631" s="3" t="s">
        <v>17</v>
      </c>
      <c r="B631" s="8">
        <v>68280.45</v>
      </c>
    </row>
    <row r="632" spans="1:2" x14ac:dyDescent="0.25">
      <c r="A632" s="3" t="s">
        <v>18</v>
      </c>
      <c r="B632" s="8">
        <v>4296.9399999999996</v>
      </c>
    </row>
    <row r="633" spans="1:2" x14ac:dyDescent="0.25">
      <c r="A633" s="3" t="s">
        <v>19</v>
      </c>
      <c r="B633" s="8">
        <v>26463.31</v>
      </c>
    </row>
    <row r="634" spans="1:2" x14ac:dyDescent="0.25">
      <c r="A634" s="3" t="s">
        <v>22</v>
      </c>
      <c r="B634" s="8">
        <v>3231</v>
      </c>
    </row>
    <row r="635" spans="1:2" x14ac:dyDescent="0.25">
      <c r="A635" s="3" t="s">
        <v>24</v>
      </c>
      <c r="B635" s="8">
        <v>2381</v>
      </c>
    </row>
    <row r="636" spans="1:2" x14ac:dyDescent="0.25">
      <c r="A636" s="3" t="s">
        <v>25</v>
      </c>
      <c r="B636" s="8">
        <v>17021.22</v>
      </c>
    </row>
    <row r="637" spans="1:2" x14ac:dyDescent="0.25">
      <c r="A637" s="3" t="s">
        <v>26</v>
      </c>
      <c r="B637" s="8">
        <v>53981.09</v>
      </c>
    </row>
    <row r="638" spans="1:2" x14ac:dyDescent="0.25">
      <c r="A638" s="3" t="s">
        <v>27</v>
      </c>
      <c r="B638" s="8">
        <v>73658.679999999993</v>
      </c>
    </row>
    <row r="639" spans="1:2" x14ac:dyDescent="0.25">
      <c r="A639" s="3" t="s">
        <v>2</v>
      </c>
      <c r="B639" s="8">
        <v>416</v>
      </c>
    </row>
    <row r="640" spans="1:2" x14ac:dyDescent="0.25">
      <c r="A640" s="3" t="s">
        <v>3</v>
      </c>
      <c r="B640" s="8">
        <v>14744.93</v>
      </c>
    </row>
    <row r="641" spans="1:2" x14ac:dyDescent="0.25">
      <c r="A641" s="3" t="s">
        <v>4</v>
      </c>
      <c r="B641" s="8">
        <v>17400.43</v>
      </c>
    </row>
    <row r="642" spans="1:2" x14ac:dyDescent="0.25">
      <c r="A642" s="3" t="s">
        <v>6</v>
      </c>
      <c r="B642" s="8">
        <v>3453.3</v>
      </c>
    </row>
    <row r="643" spans="1:2" x14ac:dyDescent="0.25">
      <c r="A643" s="3" t="s">
        <v>7</v>
      </c>
      <c r="B643" s="8">
        <v>31380.47</v>
      </c>
    </row>
    <row r="644" spans="1:2" x14ac:dyDescent="0.25">
      <c r="A644" s="3" t="s">
        <v>8</v>
      </c>
      <c r="B644" s="8">
        <v>147418.29999999999</v>
      </c>
    </row>
    <row r="645" spans="1:2" x14ac:dyDescent="0.25">
      <c r="A645" s="3" t="s">
        <v>9</v>
      </c>
      <c r="B645" s="8">
        <v>10362.299999999999</v>
      </c>
    </row>
    <row r="646" spans="1:2" x14ac:dyDescent="0.25">
      <c r="A646" s="3" t="s">
        <v>10</v>
      </c>
      <c r="B646" s="8">
        <v>41024.36</v>
      </c>
    </row>
    <row r="647" spans="1:2" x14ac:dyDescent="0.25">
      <c r="A647" s="3" t="s">
        <v>11</v>
      </c>
      <c r="B647" s="8">
        <v>70986.05</v>
      </c>
    </row>
    <row r="648" spans="1:2" x14ac:dyDescent="0.25">
      <c r="A648" s="3" t="s">
        <v>12</v>
      </c>
      <c r="B648" s="8">
        <v>54138.400000000001</v>
      </c>
    </row>
    <row r="649" spans="1:2" x14ac:dyDescent="0.25">
      <c r="A649" s="3" t="s">
        <v>13</v>
      </c>
      <c r="B649" s="8">
        <v>13721.5</v>
      </c>
    </row>
    <row r="650" spans="1:2" x14ac:dyDescent="0.25">
      <c r="A650" s="3" t="s">
        <v>15</v>
      </c>
      <c r="B650" s="8">
        <v>960.6</v>
      </c>
    </row>
    <row r="651" spans="1:2" x14ac:dyDescent="0.25">
      <c r="A651" s="3" t="s">
        <v>17</v>
      </c>
      <c r="B651" s="8">
        <v>33663.35</v>
      </c>
    </row>
    <row r="652" spans="1:2" x14ac:dyDescent="0.25">
      <c r="A652" s="3" t="s">
        <v>18</v>
      </c>
      <c r="B652" s="8">
        <v>2431.3000000000002</v>
      </c>
    </row>
    <row r="653" spans="1:2" x14ac:dyDescent="0.25">
      <c r="A653" s="3" t="s">
        <v>19</v>
      </c>
      <c r="B653" s="8">
        <v>25603.32</v>
      </c>
    </row>
    <row r="654" spans="1:2" x14ac:dyDescent="0.25">
      <c r="A654" s="3" t="s">
        <v>22</v>
      </c>
      <c r="B654" s="8">
        <v>2038</v>
      </c>
    </row>
    <row r="655" spans="1:2" x14ac:dyDescent="0.25">
      <c r="A655" s="3" t="s">
        <v>24</v>
      </c>
      <c r="B655" s="8">
        <v>1082</v>
      </c>
    </row>
    <row r="656" spans="1:2" x14ac:dyDescent="0.25">
      <c r="A656" s="3" t="s">
        <v>25</v>
      </c>
      <c r="B656" s="8">
        <v>13452.36</v>
      </c>
    </row>
    <row r="657" spans="1:2" x14ac:dyDescent="0.25">
      <c r="A657" s="3" t="s">
        <v>26</v>
      </c>
      <c r="B657" s="8">
        <v>43897.02</v>
      </c>
    </row>
    <row r="658" spans="1:2" x14ac:dyDescent="0.25">
      <c r="A658" s="3" t="s">
        <v>27</v>
      </c>
      <c r="B658" s="8">
        <v>25466.68</v>
      </c>
    </row>
    <row r="659" spans="1:2" x14ac:dyDescent="0.25">
      <c r="A659" s="3" t="s">
        <v>2</v>
      </c>
      <c r="B659" s="8">
        <v>416</v>
      </c>
    </row>
    <row r="660" spans="1:2" x14ac:dyDescent="0.25">
      <c r="A660" s="3" t="s">
        <v>3</v>
      </c>
      <c r="B660" s="8">
        <v>15708.04</v>
      </c>
    </row>
    <row r="661" spans="1:2" x14ac:dyDescent="0.25">
      <c r="A661" s="3" t="s">
        <v>4</v>
      </c>
      <c r="B661" s="8">
        <v>19417.78</v>
      </c>
    </row>
    <row r="662" spans="1:2" x14ac:dyDescent="0.25">
      <c r="A662" s="3" t="s">
        <v>6</v>
      </c>
      <c r="B662" s="8">
        <v>3986.58</v>
      </c>
    </row>
    <row r="663" spans="1:2" x14ac:dyDescent="0.25">
      <c r="A663" s="3" t="s">
        <v>7</v>
      </c>
      <c r="B663" s="8">
        <v>31208.97</v>
      </c>
    </row>
    <row r="664" spans="1:2" x14ac:dyDescent="0.25">
      <c r="A664" s="3" t="s">
        <v>8</v>
      </c>
      <c r="B664" s="8">
        <v>147872.76</v>
      </c>
    </row>
    <row r="665" spans="1:2" x14ac:dyDescent="0.25">
      <c r="A665" s="3" t="s">
        <v>9</v>
      </c>
      <c r="B665" s="8">
        <v>25436.34</v>
      </c>
    </row>
    <row r="666" spans="1:2" x14ac:dyDescent="0.25">
      <c r="A666" s="3" t="s">
        <v>10</v>
      </c>
      <c r="B666" s="8">
        <v>42772.15</v>
      </c>
    </row>
    <row r="667" spans="1:2" x14ac:dyDescent="0.25">
      <c r="A667" s="3" t="s">
        <v>11</v>
      </c>
      <c r="B667" s="8">
        <v>119602.5</v>
      </c>
    </row>
    <row r="668" spans="1:2" x14ac:dyDescent="0.25">
      <c r="A668" s="3" t="s">
        <v>12</v>
      </c>
      <c r="B668" s="8">
        <v>33300.9</v>
      </c>
    </row>
    <row r="669" spans="1:2" x14ac:dyDescent="0.25">
      <c r="A669" s="3" t="s">
        <v>13</v>
      </c>
      <c r="B669" s="8">
        <v>38101.49</v>
      </c>
    </row>
    <row r="670" spans="1:2" x14ac:dyDescent="0.25">
      <c r="A670" s="3" t="s">
        <v>15</v>
      </c>
      <c r="B670" s="8">
        <v>343.2</v>
      </c>
    </row>
    <row r="671" spans="1:2" x14ac:dyDescent="0.25">
      <c r="A671" s="3" t="s">
        <v>17</v>
      </c>
      <c r="B671" s="8">
        <v>50068.68</v>
      </c>
    </row>
    <row r="672" spans="1:2" x14ac:dyDescent="0.25">
      <c r="A672" s="3" t="s">
        <v>18</v>
      </c>
      <c r="B672" s="8">
        <v>7339.76</v>
      </c>
    </row>
    <row r="673" spans="1:2" x14ac:dyDescent="0.25">
      <c r="A673" s="3" t="s">
        <v>19</v>
      </c>
      <c r="B673" s="8">
        <v>39315.24</v>
      </c>
    </row>
    <row r="674" spans="1:2" x14ac:dyDescent="0.25">
      <c r="A674" s="3" t="s">
        <v>22</v>
      </c>
      <c r="B674" s="8">
        <v>5332.82</v>
      </c>
    </row>
    <row r="675" spans="1:2" x14ac:dyDescent="0.25">
      <c r="A675" s="3" t="s">
        <v>24</v>
      </c>
      <c r="B675" s="8">
        <v>1815</v>
      </c>
    </row>
    <row r="676" spans="1:2" x14ac:dyDescent="0.25">
      <c r="A676" s="3" t="s">
        <v>25</v>
      </c>
      <c r="B676" s="8">
        <v>13407.82</v>
      </c>
    </row>
    <row r="677" spans="1:2" x14ac:dyDescent="0.25">
      <c r="A677" s="3" t="s">
        <v>26</v>
      </c>
      <c r="B677" s="8">
        <v>39835.67</v>
      </c>
    </row>
    <row r="678" spans="1:2" x14ac:dyDescent="0.25">
      <c r="A678" s="3" t="s">
        <v>27</v>
      </c>
      <c r="B678" s="8">
        <v>51306.09</v>
      </c>
    </row>
    <row r="679" spans="1:2" x14ac:dyDescent="0.25">
      <c r="A679" s="3" t="s">
        <v>2</v>
      </c>
      <c r="B679" s="8">
        <v>468</v>
      </c>
    </row>
    <row r="680" spans="1:2" x14ac:dyDescent="0.25">
      <c r="A680" s="3" t="s">
        <v>3</v>
      </c>
      <c r="B680" s="8">
        <v>21618.43</v>
      </c>
    </row>
    <row r="681" spans="1:2" x14ac:dyDescent="0.25">
      <c r="A681" s="3" t="s">
        <v>4</v>
      </c>
      <c r="B681" s="8">
        <v>23137.08</v>
      </c>
    </row>
    <row r="682" spans="1:2" x14ac:dyDescent="0.25">
      <c r="A682" s="3" t="s">
        <v>5</v>
      </c>
      <c r="B682" s="8">
        <v>810</v>
      </c>
    </row>
    <row r="683" spans="1:2" x14ac:dyDescent="0.25">
      <c r="A683" s="3" t="s">
        <v>6</v>
      </c>
      <c r="B683" s="8">
        <v>142</v>
      </c>
    </row>
    <row r="684" spans="1:2" x14ac:dyDescent="0.25">
      <c r="A684" s="3" t="s">
        <v>7</v>
      </c>
      <c r="B684" s="8">
        <v>30193.48</v>
      </c>
    </row>
    <row r="685" spans="1:2" x14ac:dyDescent="0.25">
      <c r="A685" s="3" t="s">
        <v>8</v>
      </c>
      <c r="B685" s="8">
        <v>136205.81</v>
      </c>
    </row>
    <row r="686" spans="1:2" x14ac:dyDescent="0.25">
      <c r="A686" s="3" t="s">
        <v>9</v>
      </c>
      <c r="B686" s="8">
        <v>20380.55</v>
      </c>
    </row>
    <row r="687" spans="1:2" x14ac:dyDescent="0.25">
      <c r="A687" s="3" t="s">
        <v>10</v>
      </c>
      <c r="B687" s="8">
        <v>36287.81</v>
      </c>
    </row>
    <row r="688" spans="1:2" x14ac:dyDescent="0.25">
      <c r="A688" s="3" t="s">
        <v>11</v>
      </c>
      <c r="B688" s="8">
        <v>181511.5</v>
      </c>
    </row>
    <row r="689" spans="1:2" x14ac:dyDescent="0.25">
      <c r="A689" s="3" t="s">
        <v>12</v>
      </c>
      <c r="B689" s="8">
        <v>39589.81</v>
      </c>
    </row>
    <row r="690" spans="1:2" x14ac:dyDescent="0.25">
      <c r="A690" s="3" t="s">
        <v>13</v>
      </c>
      <c r="B690" s="8">
        <v>49758.5</v>
      </c>
    </row>
    <row r="691" spans="1:2" x14ac:dyDescent="0.25">
      <c r="A691" s="3" t="s">
        <v>15</v>
      </c>
      <c r="B691" s="8">
        <v>818.36</v>
      </c>
    </row>
    <row r="692" spans="1:2" x14ac:dyDescent="0.25">
      <c r="A692" s="3" t="s">
        <v>17</v>
      </c>
      <c r="B692" s="8">
        <v>45598.05</v>
      </c>
    </row>
    <row r="693" spans="1:2" x14ac:dyDescent="0.25">
      <c r="A693" s="3" t="s">
        <v>18</v>
      </c>
      <c r="B693" s="8">
        <v>6348.74</v>
      </c>
    </row>
    <row r="694" spans="1:2" x14ac:dyDescent="0.25">
      <c r="A694" s="3" t="s">
        <v>19</v>
      </c>
      <c r="B694" s="8">
        <v>23922.43</v>
      </c>
    </row>
    <row r="695" spans="1:2" x14ac:dyDescent="0.25">
      <c r="A695" s="3" t="s">
        <v>22</v>
      </c>
      <c r="B695" s="8">
        <v>2377</v>
      </c>
    </row>
    <row r="696" spans="1:2" x14ac:dyDescent="0.25">
      <c r="A696" s="3" t="s">
        <v>24</v>
      </c>
      <c r="B696" s="8">
        <v>1333</v>
      </c>
    </row>
    <row r="697" spans="1:2" x14ac:dyDescent="0.25">
      <c r="A697" s="3" t="s">
        <v>25</v>
      </c>
      <c r="B697" s="8">
        <v>18964.78</v>
      </c>
    </row>
    <row r="698" spans="1:2" x14ac:dyDescent="0.25">
      <c r="A698" s="3" t="s">
        <v>26</v>
      </c>
      <c r="B698" s="8">
        <v>40353.25</v>
      </c>
    </row>
    <row r="699" spans="1:2" x14ac:dyDescent="0.25">
      <c r="A699" s="3" t="s">
        <v>27</v>
      </c>
      <c r="B699" s="8">
        <v>63567</v>
      </c>
    </row>
    <row r="700" spans="1:2" x14ac:dyDescent="0.25">
      <c r="A700" s="3" t="s">
        <v>2</v>
      </c>
      <c r="B700" s="8">
        <v>520</v>
      </c>
    </row>
    <row r="701" spans="1:2" x14ac:dyDescent="0.25">
      <c r="A701" s="3" t="s">
        <v>3</v>
      </c>
      <c r="B701" s="8">
        <v>29805.040000000001</v>
      </c>
    </row>
    <row r="702" spans="1:2" x14ac:dyDescent="0.25">
      <c r="A702" s="3" t="s">
        <v>4</v>
      </c>
      <c r="B702" s="8">
        <v>40558.230000000003</v>
      </c>
    </row>
    <row r="703" spans="1:2" x14ac:dyDescent="0.25">
      <c r="A703" s="3" t="s">
        <v>6</v>
      </c>
      <c r="B703" s="8">
        <v>746</v>
      </c>
    </row>
    <row r="704" spans="1:2" x14ac:dyDescent="0.25">
      <c r="A704" s="3" t="s">
        <v>7</v>
      </c>
      <c r="B704" s="8">
        <v>63494.17</v>
      </c>
    </row>
    <row r="705" spans="1:2" x14ac:dyDescent="0.25">
      <c r="A705" s="3" t="s">
        <v>8</v>
      </c>
      <c r="B705" s="8">
        <v>210915.72</v>
      </c>
    </row>
    <row r="706" spans="1:2" x14ac:dyDescent="0.25">
      <c r="A706" s="3" t="s">
        <v>9</v>
      </c>
      <c r="B706" s="8">
        <v>52300.34</v>
      </c>
    </row>
    <row r="707" spans="1:2" x14ac:dyDescent="0.25">
      <c r="A707" s="3" t="s">
        <v>10</v>
      </c>
      <c r="B707" s="8">
        <v>68094.53</v>
      </c>
    </row>
    <row r="708" spans="1:2" x14ac:dyDescent="0.25">
      <c r="A708" s="3" t="s">
        <v>11</v>
      </c>
      <c r="B708" s="8">
        <v>211193.55</v>
      </c>
    </row>
    <row r="709" spans="1:2" x14ac:dyDescent="0.25">
      <c r="A709" s="3" t="s">
        <v>12</v>
      </c>
      <c r="B709" s="8">
        <v>71975</v>
      </c>
    </row>
    <row r="710" spans="1:2" x14ac:dyDescent="0.25">
      <c r="A710" s="3" t="s">
        <v>13</v>
      </c>
      <c r="B710" s="8">
        <v>37547.49</v>
      </c>
    </row>
    <row r="711" spans="1:2" x14ac:dyDescent="0.25">
      <c r="A711" s="3" t="s">
        <v>15</v>
      </c>
      <c r="B711" s="8">
        <v>8602.86</v>
      </c>
    </row>
    <row r="712" spans="1:2" x14ac:dyDescent="0.25">
      <c r="A712" s="3" t="s">
        <v>17</v>
      </c>
      <c r="B712" s="8">
        <v>81350</v>
      </c>
    </row>
    <row r="713" spans="1:2" x14ac:dyDescent="0.25">
      <c r="A713" s="3" t="s">
        <v>18</v>
      </c>
      <c r="B713" s="8">
        <v>13850.9</v>
      </c>
    </row>
    <row r="714" spans="1:2" x14ac:dyDescent="0.25">
      <c r="A714" s="3" t="s">
        <v>19</v>
      </c>
      <c r="B714" s="8">
        <v>42331.75</v>
      </c>
    </row>
    <row r="715" spans="1:2" x14ac:dyDescent="0.25">
      <c r="A715" s="3" t="s">
        <v>22</v>
      </c>
      <c r="B715" s="8">
        <v>10130.459999999999</v>
      </c>
    </row>
    <row r="716" spans="1:2" x14ac:dyDescent="0.25">
      <c r="A716" s="3" t="s">
        <v>24</v>
      </c>
      <c r="B716" s="8">
        <v>4319</v>
      </c>
    </row>
    <row r="717" spans="1:2" x14ac:dyDescent="0.25">
      <c r="A717" s="3" t="s">
        <v>25</v>
      </c>
      <c r="B717" s="8">
        <v>33027.65</v>
      </c>
    </row>
    <row r="718" spans="1:2" x14ac:dyDescent="0.25">
      <c r="A718" s="3" t="s">
        <v>26</v>
      </c>
      <c r="B718" s="8">
        <v>194809.21</v>
      </c>
    </row>
    <row r="719" spans="1:2" x14ac:dyDescent="0.25">
      <c r="A719" s="3" t="s">
        <v>27</v>
      </c>
      <c r="B719" s="8">
        <v>81886.66</v>
      </c>
    </row>
    <row r="720" spans="1:2" x14ac:dyDescent="0.25">
      <c r="A720" s="3" t="s">
        <v>2</v>
      </c>
      <c r="B720" s="8">
        <v>832</v>
      </c>
    </row>
    <row r="721" spans="1:2" x14ac:dyDescent="0.25">
      <c r="A721" s="3" t="s">
        <v>3</v>
      </c>
      <c r="B721" s="8">
        <v>27324.48</v>
      </c>
    </row>
    <row r="722" spans="1:2" x14ac:dyDescent="0.25">
      <c r="A722" s="3" t="s">
        <v>4</v>
      </c>
      <c r="B722" s="8">
        <v>34763.629999999997</v>
      </c>
    </row>
    <row r="723" spans="1:2" x14ac:dyDescent="0.25">
      <c r="A723" s="3" t="s">
        <v>5</v>
      </c>
      <c r="B723" s="8">
        <v>2230</v>
      </c>
    </row>
    <row r="724" spans="1:2" x14ac:dyDescent="0.25">
      <c r="A724" s="3" t="s">
        <v>6</v>
      </c>
      <c r="B724" s="8">
        <v>4266.1499999999996</v>
      </c>
    </row>
    <row r="725" spans="1:2" x14ac:dyDescent="0.25">
      <c r="A725" s="3" t="s">
        <v>7</v>
      </c>
      <c r="B725" s="8">
        <v>52949.88</v>
      </c>
    </row>
    <row r="726" spans="1:2" x14ac:dyDescent="0.25">
      <c r="A726" s="3" t="s">
        <v>8</v>
      </c>
      <c r="B726" s="8">
        <v>226504.67</v>
      </c>
    </row>
    <row r="727" spans="1:2" x14ac:dyDescent="0.25">
      <c r="A727" s="3" t="s">
        <v>9</v>
      </c>
      <c r="B727" s="8">
        <v>37601.68</v>
      </c>
    </row>
    <row r="728" spans="1:2" x14ac:dyDescent="0.25">
      <c r="A728" s="3" t="s">
        <v>10</v>
      </c>
      <c r="B728" s="8">
        <v>66097.03</v>
      </c>
    </row>
    <row r="729" spans="1:2" x14ac:dyDescent="0.25">
      <c r="A729" s="3" t="s">
        <v>11</v>
      </c>
      <c r="B729" s="8">
        <v>213137.16</v>
      </c>
    </row>
    <row r="730" spans="1:2" x14ac:dyDescent="0.25">
      <c r="A730" s="3" t="s">
        <v>12</v>
      </c>
      <c r="B730" s="8">
        <v>67494.81</v>
      </c>
    </row>
    <row r="731" spans="1:2" x14ac:dyDescent="0.25">
      <c r="A731" s="3" t="s">
        <v>13</v>
      </c>
      <c r="B731" s="8">
        <v>41609.94</v>
      </c>
    </row>
    <row r="732" spans="1:2" x14ac:dyDescent="0.25">
      <c r="A732" s="3" t="s">
        <v>15</v>
      </c>
      <c r="B732" s="8">
        <v>9984</v>
      </c>
    </row>
    <row r="733" spans="1:2" x14ac:dyDescent="0.25">
      <c r="A733" s="3" t="s">
        <v>17</v>
      </c>
      <c r="B733" s="8">
        <v>81065.02</v>
      </c>
    </row>
    <row r="734" spans="1:2" x14ac:dyDescent="0.25">
      <c r="A734" s="3" t="s">
        <v>18</v>
      </c>
      <c r="B734" s="8">
        <v>13016.94</v>
      </c>
    </row>
    <row r="735" spans="1:2" x14ac:dyDescent="0.25">
      <c r="A735" s="3" t="s">
        <v>19</v>
      </c>
      <c r="B735" s="8">
        <v>43441.68</v>
      </c>
    </row>
    <row r="736" spans="1:2" x14ac:dyDescent="0.25">
      <c r="A736" s="3" t="s">
        <v>22</v>
      </c>
      <c r="B736" s="8">
        <v>5749.82</v>
      </c>
    </row>
    <row r="737" spans="1:2" x14ac:dyDescent="0.25">
      <c r="A737" s="3" t="s">
        <v>24</v>
      </c>
      <c r="B737" s="8">
        <v>3090</v>
      </c>
    </row>
    <row r="738" spans="1:2" x14ac:dyDescent="0.25">
      <c r="A738" s="3" t="s">
        <v>25</v>
      </c>
      <c r="B738" s="8">
        <v>35759.370000000003</v>
      </c>
    </row>
    <row r="739" spans="1:2" x14ac:dyDescent="0.25">
      <c r="A739" s="3" t="s">
        <v>26</v>
      </c>
      <c r="B739" s="8">
        <v>57982.06</v>
      </c>
    </row>
    <row r="740" spans="1:2" x14ac:dyDescent="0.25">
      <c r="A740" s="3" t="s">
        <v>27</v>
      </c>
      <c r="B740" s="8">
        <v>68787.11</v>
      </c>
    </row>
    <row r="741" spans="1:2" x14ac:dyDescent="0.25">
      <c r="A741" s="3" t="s">
        <v>2</v>
      </c>
      <c r="B741" s="8">
        <v>208</v>
      </c>
    </row>
    <row r="742" spans="1:2" x14ac:dyDescent="0.25">
      <c r="A742" s="3" t="s">
        <v>3</v>
      </c>
      <c r="B742" s="8">
        <v>23254.68</v>
      </c>
    </row>
    <row r="743" spans="1:2" x14ac:dyDescent="0.25">
      <c r="A743" s="3" t="s">
        <v>4</v>
      </c>
      <c r="B743" s="8">
        <v>29581.93</v>
      </c>
    </row>
    <row r="744" spans="1:2" x14ac:dyDescent="0.25">
      <c r="A744" s="3" t="s">
        <v>6</v>
      </c>
      <c r="B744" s="8">
        <v>2014.65</v>
      </c>
    </row>
    <row r="745" spans="1:2" x14ac:dyDescent="0.25">
      <c r="A745" s="3" t="s">
        <v>7</v>
      </c>
      <c r="B745" s="8">
        <v>27735.59</v>
      </c>
    </row>
    <row r="746" spans="1:2" x14ac:dyDescent="0.25">
      <c r="A746" s="3" t="s">
        <v>8</v>
      </c>
      <c r="B746" s="8">
        <v>143945.48000000001</v>
      </c>
    </row>
    <row r="747" spans="1:2" x14ac:dyDescent="0.25">
      <c r="A747" s="3" t="s">
        <v>9</v>
      </c>
      <c r="B747" s="8">
        <v>31248.46</v>
      </c>
    </row>
    <row r="748" spans="1:2" x14ac:dyDescent="0.25">
      <c r="A748" s="3" t="s">
        <v>10</v>
      </c>
      <c r="B748" s="8">
        <v>45886.2</v>
      </c>
    </row>
    <row r="749" spans="1:2" x14ac:dyDescent="0.25">
      <c r="A749" s="3" t="s">
        <v>11</v>
      </c>
      <c r="B749" s="8">
        <v>183601.5</v>
      </c>
    </row>
    <row r="750" spans="1:2" x14ac:dyDescent="0.25">
      <c r="A750" s="3" t="s">
        <v>12</v>
      </c>
      <c r="B750" s="8">
        <v>57998.71</v>
      </c>
    </row>
    <row r="751" spans="1:2" x14ac:dyDescent="0.25">
      <c r="A751" s="3" t="s">
        <v>13</v>
      </c>
      <c r="B751" s="8">
        <v>49768.99</v>
      </c>
    </row>
    <row r="752" spans="1:2" x14ac:dyDescent="0.25">
      <c r="A752" s="3" t="s">
        <v>15</v>
      </c>
      <c r="B752" s="8">
        <v>11606.64</v>
      </c>
    </row>
    <row r="753" spans="1:2" x14ac:dyDescent="0.25">
      <c r="A753" s="3" t="s">
        <v>17</v>
      </c>
      <c r="B753" s="8">
        <v>66088.850000000006</v>
      </c>
    </row>
    <row r="754" spans="1:2" x14ac:dyDescent="0.25">
      <c r="A754" s="3" t="s">
        <v>18</v>
      </c>
      <c r="B754" s="8">
        <v>8993.5</v>
      </c>
    </row>
    <row r="755" spans="1:2" x14ac:dyDescent="0.25">
      <c r="A755" s="3" t="s">
        <v>19</v>
      </c>
      <c r="B755" s="8">
        <v>39863.19</v>
      </c>
    </row>
    <row r="756" spans="1:2" x14ac:dyDescent="0.25">
      <c r="A756" s="3" t="s">
        <v>22</v>
      </c>
      <c r="B756" s="8">
        <v>4413.82</v>
      </c>
    </row>
    <row r="757" spans="1:2" x14ac:dyDescent="0.25">
      <c r="A757" s="3" t="s">
        <v>24</v>
      </c>
      <c r="B757" s="8">
        <v>4673</v>
      </c>
    </row>
    <row r="758" spans="1:2" x14ac:dyDescent="0.25">
      <c r="A758" s="3" t="s">
        <v>25</v>
      </c>
      <c r="B758" s="8">
        <v>25827.77</v>
      </c>
    </row>
    <row r="759" spans="1:2" x14ac:dyDescent="0.25">
      <c r="A759" s="3" t="s">
        <v>26</v>
      </c>
      <c r="B759" s="8">
        <v>37662.11</v>
      </c>
    </row>
    <row r="760" spans="1:2" x14ac:dyDescent="0.25">
      <c r="A760" s="3" t="s">
        <v>27</v>
      </c>
      <c r="B760" s="8">
        <v>58589.19</v>
      </c>
    </row>
    <row r="761" spans="1:2" x14ac:dyDescent="0.25">
      <c r="A761" s="3" t="s">
        <v>2</v>
      </c>
      <c r="B761" s="8">
        <v>780</v>
      </c>
    </row>
    <row r="762" spans="1:2" x14ac:dyDescent="0.25">
      <c r="A762" s="3" t="s">
        <v>3</v>
      </c>
      <c r="B762" s="8">
        <v>14730.11</v>
      </c>
    </row>
    <row r="763" spans="1:2" x14ac:dyDescent="0.25">
      <c r="A763" s="3" t="s">
        <v>4</v>
      </c>
      <c r="B763" s="8">
        <v>14346.82</v>
      </c>
    </row>
    <row r="764" spans="1:2" x14ac:dyDescent="0.25">
      <c r="A764" s="3" t="s">
        <v>6</v>
      </c>
      <c r="B764" s="8">
        <v>2059.56</v>
      </c>
    </row>
    <row r="765" spans="1:2" x14ac:dyDescent="0.25">
      <c r="A765" s="3" t="s">
        <v>7</v>
      </c>
      <c r="B765" s="8">
        <v>20195.78</v>
      </c>
    </row>
    <row r="766" spans="1:2" x14ac:dyDescent="0.25">
      <c r="A766" s="3" t="s">
        <v>8</v>
      </c>
      <c r="B766" s="8">
        <v>129931.47</v>
      </c>
    </row>
    <row r="767" spans="1:2" x14ac:dyDescent="0.25">
      <c r="A767" s="3" t="s">
        <v>9</v>
      </c>
      <c r="B767" s="8">
        <v>18377.3</v>
      </c>
    </row>
    <row r="768" spans="1:2" x14ac:dyDescent="0.25">
      <c r="A768" s="3" t="s">
        <v>10</v>
      </c>
      <c r="B768" s="8">
        <v>20968.45</v>
      </c>
    </row>
    <row r="769" spans="1:2" x14ac:dyDescent="0.25">
      <c r="A769" s="3" t="s">
        <v>11</v>
      </c>
      <c r="B769" s="8">
        <v>62715.63</v>
      </c>
    </row>
    <row r="770" spans="1:2" x14ac:dyDescent="0.25">
      <c r="A770" s="3" t="s">
        <v>12</v>
      </c>
      <c r="B770" s="8">
        <v>21763.51</v>
      </c>
    </row>
    <row r="771" spans="1:2" x14ac:dyDescent="0.25">
      <c r="A771" s="3" t="s">
        <v>13</v>
      </c>
      <c r="B771" s="8">
        <v>21786.5</v>
      </c>
    </row>
    <row r="772" spans="1:2" x14ac:dyDescent="0.25">
      <c r="A772" s="3" t="s">
        <v>15</v>
      </c>
      <c r="B772" s="8">
        <v>4301.12</v>
      </c>
    </row>
    <row r="773" spans="1:2" x14ac:dyDescent="0.25">
      <c r="A773" s="3" t="s">
        <v>17</v>
      </c>
      <c r="B773" s="8">
        <v>38450.050000000003</v>
      </c>
    </row>
    <row r="774" spans="1:2" x14ac:dyDescent="0.25">
      <c r="A774" s="3" t="s">
        <v>18</v>
      </c>
      <c r="B774" s="8">
        <v>3540.12</v>
      </c>
    </row>
    <row r="775" spans="1:2" x14ac:dyDescent="0.25">
      <c r="A775" s="3" t="s">
        <v>19</v>
      </c>
      <c r="B775" s="8">
        <v>21769.39</v>
      </c>
    </row>
    <row r="776" spans="1:2" x14ac:dyDescent="0.25">
      <c r="A776" s="3" t="s">
        <v>22</v>
      </c>
      <c r="B776" s="8">
        <v>2207</v>
      </c>
    </row>
    <row r="777" spans="1:2" x14ac:dyDescent="0.25">
      <c r="A777" s="3" t="s">
        <v>24</v>
      </c>
      <c r="B777" s="8">
        <v>1899</v>
      </c>
    </row>
    <row r="778" spans="1:2" x14ac:dyDescent="0.25">
      <c r="A778" s="3" t="s">
        <v>25</v>
      </c>
      <c r="B778" s="8">
        <v>17115.79</v>
      </c>
    </row>
    <row r="779" spans="1:2" x14ac:dyDescent="0.25">
      <c r="A779" s="3" t="s">
        <v>26</v>
      </c>
      <c r="B779" s="8">
        <v>25152.98</v>
      </c>
    </row>
    <row r="780" spans="1:2" x14ac:dyDescent="0.25">
      <c r="A780" s="3" t="s">
        <v>27</v>
      </c>
      <c r="B780" s="8">
        <v>47710.25</v>
      </c>
    </row>
    <row r="781" spans="1:2" x14ac:dyDescent="0.25">
      <c r="A781" s="3" t="s">
        <v>3</v>
      </c>
      <c r="B781" s="8">
        <v>14884.88</v>
      </c>
    </row>
    <row r="782" spans="1:2" x14ac:dyDescent="0.25">
      <c r="A782" s="3" t="s">
        <v>4</v>
      </c>
      <c r="B782" s="8">
        <v>13670.61</v>
      </c>
    </row>
    <row r="783" spans="1:2" x14ac:dyDescent="0.25">
      <c r="A783" s="3" t="s">
        <v>5</v>
      </c>
      <c r="B783" s="8">
        <v>710</v>
      </c>
    </row>
    <row r="784" spans="1:2" x14ac:dyDescent="0.25">
      <c r="A784" s="3" t="s">
        <v>6</v>
      </c>
      <c r="B784" s="8">
        <v>1578.65</v>
      </c>
    </row>
    <row r="785" spans="1:2" x14ac:dyDescent="0.25">
      <c r="A785" s="3" t="s">
        <v>7</v>
      </c>
      <c r="B785" s="8">
        <v>18787.98</v>
      </c>
    </row>
    <row r="786" spans="1:2" x14ac:dyDescent="0.25">
      <c r="A786" s="3" t="s">
        <v>8</v>
      </c>
      <c r="B786" s="8">
        <v>117542.45</v>
      </c>
    </row>
    <row r="787" spans="1:2" x14ac:dyDescent="0.25">
      <c r="A787" s="3" t="s">
        <v>9</v>
      </c>
      <c r="B787" s="8">
        <v>12339.38</v>
      </c>
    </row>
    <row r="788" spans="1:2" x14ac:dyDescent="0.25">
      <c r="A788" s="3" t="s">
        <v>10</v>
      </c>
      <c r="B788" s="8">
        <v>25499.08</v>
      </c>
    </row>
    <row r="789" spans="1:2" x14ac:dyDescent="0.25">
      <c r="A789" s="3" t="s">
        <v>11</v>
      </c>
      <c r="B789" s="8">
        <v>58477.15</v>
      </c>
    </row>
    <row r="790" spans="1:2" x14ac:dyDescent="0.25">
      <c r="A790" s="3" t="s">
        <v>12</v>
      </c>
      <c r="B790" s="8">
        <v>29577.200000000001</v>
      </c>
    </row>
    <row r="791" spans="1:2" x14ac:dyDescent="0.25">
      <c r="A791" s="3" t="s">
        <v>13</v>
      </c>
      <c r="B791" s="8">
        <v>22116</v>
      </c>
    </row>
    <row r="792" spans="1:2" x14ac:dyDescent="0.25">
      <c r="A792" s="3" t="s">
        <v>15</v>
      </c>
      <c r="B792" s="8">
        <v>4369.28</v>
      </c>
    </row>
    <row r="793" spans="1:2" x14ac:dyDescent="0.25">
      <c r="A793" s="3" t="s">
        <v>17</v>
      </c>
      <c r="B793" s="8">
        <v>41318.67</v>
      </c>
    </row>
    <row r="794" spans="1:2" x14ac:dyDescent="0.25">
      <c r="A794" s="3" t="s">
        <v>18</v>
      </c>
      <c r="B794" s="8">
        <v>3908.74</v>
      </c>
    </row>
    <row r="795" spans="1:2" x14ac:dyDescent="0.25">
      <c r="A795" s="3" t="s">
        <v>19</v>
      </c>
      <c r="B795" s="8">
        <v>15443.45</v>
      </c>
    </row>
    <row r="796" spans="1:2" x14ac:dyDescent="0.25">
      <c r="A796" s="3" t="s">
        <v>22</v>
      </c>
      <c r="B796" s="8">
        <v>1998</v>
      </c>
    </row>
    <row r="797" spans="1:2" x14ac:dyDescent="0.25">
      <c r="A797" s="3" t="s">
        <v>24</v>
      </c>
      <c r="B797" s="8">
        <v>4766</v>
      </c>
    </row>
    <row r="798" spans="1:2" x14ac:dyDescent="0.25">
      <c r="A798" s="3" t="s">
        <v>25</v>
      </c>
      <c r="B798" s="8">
        <v>17481.79</v>
      </c>
    </row>
    <row r="799" spans="1:2" x14ac:dyDescent="0.25">
      <c r="A799" s="3" t="s">
        <v>26</v>
      </c>
      <c r="B799" s="8">
        <v>44243.1</v>
      </c>
    </row>
    <row r="800" spans="1:2" x14ac:dyDescent="0.25">
      <c r="A800" s="3" t="s">
        <v>27</v>
      </c>
      <c r="B800" s="8">
        <v>30083.119999999999</v>
      </c>
    </row>
    <row r="801" spans="1:2" x14ac:dyDescent="0.25">
      <c r="A801" s="3" t="s">
        <v>2</v>
      </c>
      <c r="B801" s="8">
        <v>624</v>
      </c>
    </row>
    <row r="802" spans="1:2" x14ac:dyDescent="0.25">
      <c r="A802" s="3" t="s">
        <v>3</v>
      </c>
      <c r="B802" s="8">
        <v>10923.19</v>
      </c>
    </row>
    <row r="803" spans="1:2" x14ac:dyDescent="0.25">
      <c r="A803" s="3" t="s">
        <v>4</v>
      </c>
      <c r="B803" s="8">
        <v>8593.84</v>
      </c>
    </row>
    <row r="804" spans="1:2" x14ac:dyDescent="0.25">
      <c r="A804" s="3" t="s">
        <v>6</v>
      </c>
      <c r="B804" s="8">
        <v>426</v>
      </c>
    </row>
    <row r="805" spans="1:2" x14ac:dyDescent="0.25">
      <c r="A805" s="3" t="s">
        <v>7</v>
      </c>
      <c r="B805" s="8">
        <v>18452.11</v>
      </c>
    </row>
    <row r="806" spans="1:2" x14ac:dyDescent="0.25">
      <c r="A806" s="3" t="s">
        <v>8</v>
      </c>
      <c r="B806" s="8">
        <v>76679.86</v>
      </c>
    </row>
    <row r="807" spans="1:2" x14ac:dyDescent="0.25">
      <c r="A807" s="3" t="s">
        <v>9</v>
      </c>
      <c r="B807" s="8">
        <v>12048.58</v>
      </c>
    </row>
    <row r="808" spans="1:2" x14ac:dyDescent="0.25">
      <c r="A808" s="3" t="s">
        <v>10</v>
      </c>
      <c r="B808" s="8">
        <v>22962.65</v>
      </c>
    </row>
    <row r="809" spans="1:2" x14ac:dyDescent="0.25">
      <c r="A809" s="3" t="s">
        <v>11</v>
      </c>
      <c r="B809" s="8">
        <v>25539</v>
      </c>
    </row>
    <row r="810" spans="1:2" x14ac:dyDescent="0.25">
      <c r="A810" s="3" t="s">
        <v>12</v>
      </c>
      <c r="B810" s="8">
        <v>12036.3</v>
      </c>
    </row>
    <row r="811" spans="1:2" x14ac:dyDescent="0.25">
      <c r="A811" s="3" t="s">
        <v>13</v>
      </c>
      <c r="B811" s="8">
        <v>12834.99</v>
      </c>
    </row>
    <row r="812" spans="1:2" x14ac:dyDescent="0.25">
      <c r="A812" s="3" t="s">
        <v>15</v>
      </c>
      <c r="B812" s="8">
        <v>4019.5</v>
      </c>
    </row>
    <row r="813" spans="1:2" x14ac:dyDescent="0.25">
      <c r="A813" s="3" t="s">
        <v>17</v>
      </c>
      <c r="B813" s="8">
        <v>48908.73</v>
      </c>
    </row>
    <row r="814" spans="1:2" x14ac:dyDescent="0.25">
      <c r="A814" s="3" t="s">
        <v>18</v>
      </c>
      <c r="B814" s="8">
        <v>2826.82</v>
      </c>
    </row>
    <row r="815" spans="1:2" x14ac:dyDescent="0.25">
      <c r="A815" s="3" t="s">
        <v>19</v>
      </c>
      <c r="B815" s="8">
        <v>12460.43</v>
      </c>
    </row>
    <row r="816" spans="1:2" x14ac:dyDescent="0.25">
      <c r="A816" s="3" t="s">
        <v>22</v>
      </c>
      <c r="B816" s="8">
        <v>2332</v>
      </c>
    </row>
    <row r="817" spans="1:2" x14ac:dyDescent="0.25">
      <c r="A817" s="3" t="s">
        <v>24</v>
      </c>
      <c r="B817" s="8">
        <v>266</v>
      </c>
    </row>
    <row r="818" spans="1:2" x14ac:dyDescent="0.25">
      <c r="A818" s="3" t="s">
        <v>25</v>
      </c>
      <c r="B818" s="8">
        <v>10071.24</v>
      </c>
    </row>
    <row r="819" spans="1:2" x14ac:dyDescent="0.25">
      <c r="A819" s="3" t="s">
        <v>26</v>
      </c>
      <c r="B819" s="8">
        <v>21528.13</v>
      </c>
    </row>
    <row r="820" spans="1:2" x14ac:dyDescent="0.25">
      <c r="A820" s="3" t="s">
        <v>27</v>
      </c>
      <c r="B820" s="8">
        <v>21436.639999999999</v>
      </c>
    </row>
    <row r="821" spans="1:2" x14ac:dyDescent="0.25">
      <c r="A821" s="3" t="s">
        <v>2</v>
      </c>
      <c r="B821" s="8">
        <v>780</v>
      </c>
    </row>
    <row r="822" spans="1:2" x14ac:dyDescent="0.25">
      <c r="A822" s="3" t="s">
        <v>3</v>
      </c>
      <c r="B822" s="8">
        <v>15893.66</v>
      </c>
    </row>
    <row r="823" spans="1:2" x14ac:dyDescent="0.25">
      <c r="A823" s="3" t="s">
        <v>4</v>
      </c>
      <c r="B823" s="8">
        <v>10659.04</v>
      </c>
    </row>
    <row r="824" spans="1:2" x14ac:dyDescent="0.25">
      <c r="A824" s="3" t="s">
        <v>6</v>
      </c>
      <c r="B824" s="8">
        <v>1430</v>
      </c>
    </row>
    <row r="825" spans="1:2" x14ac:dyDescent="0.25">
      <c r="A825" s="3" t="s">
        <v>7</v>
      </c>
      <c r="B825" s="8">
        <v>16553</v>
      </c>
    </row>
    <row r="826" spans="1:2" x14ac:dyDescent="0.25">
      <c r="A826" s="3" t="s">
        <v>8</v>
      </c>
      <c r="B826" s="8">
        <v>120142.28</v>
      </c>
    </row>
    <row r="827" spans="1:2" x14ac:dyDescent="0.25">
      <c r="A827" s="3" t="s">
        <v>9</v>
      </c>
      <c r="B827" s="8">
        <v>18577.59</v>
      </c>
    </row>
    <row r="828" spans="1:2" x14ac:dyDescent="0.25">
      <c r="A828" s="3" t="s">
        <v>10</v>
      </c>
      <c r="B828" s="8">
        <v>29949.98</v>
      </c>
    </row>
    <row r="829" spans="1:2" x14ac:dyDescent="0.25">
      <c r="A829" s="3" t="s">
        <v>11</v>
      </c>
      <c r="B829" s="8">
        <v>94735.52</v>
      </c>
    </row>
    <row r="830" spans="1:2" x14ac:dyDescent="0.25">
      <c r="A830" s="3" t="s">
        <v>12</v>
      </c>
      <c r="B830" s="8">
        <v>28968.9</v>
      </c>
    </row>
    <row r="831" spans="1:2" x14ac:dyDescent="0.25">
      <c r="A831" s="3" t="s">
        <v>13</v>
      </c>
      <c r="B831" s="8">
        <v>27848.5</v>
      </c>
    </row>
    <row r="832" spans="1:2" x14ac:dyDescent="0.25">
      <c r="A832" s="3" t="s">
        <v>15</v>
      </c>
      <c r="B832" s="8">
        <v>3644.1</v>
      </c>
    </row>
    <row r="833" spans="1:2" x14ac:dyDescent="0.25">
      <c r="A833" s="3" t="s">
        <v>17</v>
      </c>
      <c r="B833" s="8">
        <v>38010.550000000003</v>
      </c>
    </row>
    <row r="834" spans="1:2" x14ac:dyDescent="0.25">
      <c r="A834" s="3" t="s">
        <v>18</v>
      </c>
      <c r="B834" s="8">
        <v>3790.48</v>
      </c>
    </row>
    <row r="835" spans="1:2" x14ac:dyDescent="0.25">
      <c r="A835" s="3" t="s">
        <v>19</v>
      </c>
      <c r="B835" s="8">
        <v>17066.88</v>
      </c>
    </row>
    <row r="836" spans="1:2" x14ac:dyDescent="0.25">
      <c r="A836" s="3" t="s">
        <v>22</v>
      </c>
      <c r="B836" s="8">
        <v>2736.5</v>
      </c>
    </row>
    <row r="837" spans="1:2" x14ac:dyDescent="0.25">
      <c r="A837" s="3" t="s">
        <v>24</v>
      </c>
      <c r="B837" s="8">
        <v>2115</v>
      </c>
    </row>
    <row r="838" spans="1:2" x14ac:dyDescent="0.25">
      <c r="A838" s="3" t="s">
        <v>25</v>
      </c>
      <c r="B838" s="8">
        <v>15881.9</v>
      </c>
    </row>
    <row r="839" spans="1:2" x14ac:dyDescent="0.25">
      <c r="A839" s="3" t="s">
        <v>26</v>
      </c>
      <c r="B839" s="8">
        <v>25162.67</v>
      </c>
    </row>
    <row r="840" spans="1:2" x14ac:dyDescent="0.25">
      <c r="A840" s="3" t="s">
        <v>27</v>
      </c>
      <c r="B840" s="8">
        <v>38562.129999999997</v>
      </c>
    </row>
    <row r="841" spans="1:2" x14ac:dyDescent="0.25">
      <c r="A841" s="3" t="s">
        <v>2</v>
      </c>
      <c r="B841" s="8">
        <v>416</v>
      </c>
    </row>
    <row r="842" spans="1:2" x14ac:dyDescent="0.25">
      <c r="A842" s="3" t="s">
        <v>3</v>
      </c>
      <c r="B842" s="8">
        <v>20661.96</v>
      </c>
    </row>
    <row r="843" spans="1:2" x14ac:dyDescent="0.25">
      <c r="A843" s="3" t="s">
        <v>4</v>
      </c>
      <c r="B843" s="8">
        <v>23791.68</v>
      </c>
    </row>
    <row r="844" spans="1:2" x14ac:dyDescent="0.25">
      <c r="A844" s="3" t="s">
        <v>6</v>
      </c>
      <c r="B844" s="8">
        <v>6998.15</v>
      </c>
    </row>
    <row r="845" spans="1:2" x14ac:dyDescent="0.25">
      <c r="A845" s="3" t="s">
        <v>7</v>
      </c>
      <c r="B845" s="8">
        <v>23169.53</v>
      </c>
    </row>
    <row r="846" spans="1:2" x14ac:dyDescent="0.25">
      <c r="A846" s="3" t="s">
        <v>8</v>
      </c>
      <c r="B846" s="8">
        <v>179556.75</v>
      </c>
    </row>
    <row r="847" spans="1:2" x14ac:dyDescent="0.25">
      <c r="A847" s="3" t="s">
        <v>9</v>
      </c>
      <c r="B847" s="8">
        <v>32884.54</v>
      </c>
    </row>
    <row r="848" spans="1:2" x14ac:dyDescent="0.25">
      <c r="A848" s="3" t="s">
        <v>10</v>
      </c>
      <c r="B848" s="8">
        <v>38039.99</v>
      </c>
    </row>
    <row r="849" spans="1:2" x14ac:dyDescent="0.25">
      <c r="A849" s="3" t="s">
        <v>11</v>
      </c>
      <c r="B849" s="8">
        <v>72348.03</v>
      </c>
    </row>
    <row r="850" spans="1:2" x14ac:dyDescent="0.25">
      <c r="A850" s="3" t="s">
        <v>12</v>
      </c>
      <c r="B850" s="8">
        <v>25276.7</v>
      </c>
    </row>
    <row r="851" spans="1:2" x14ac:dyDescent="0.25">
      <c r="A851" s="3" t="s">
        <v>13</v>
      </c>
      <c r="B851" s="8">
        <v>32449.98</v>
      </c>
    </row>
    <row r="852" spans="1:2" x14ac:dyDescent="0.25">
      <c r="A852" s="3" t="s">
        <v>15</v>
      </c>
      <c r="B852" s="8">
        <v>1187.3</v>
      </c>
    </row>
    <row r="853" spans="1:2" x14ac:dyDescent="0.25">
      <c r="A853" s="3" t="s">
        <v>17</v>
      </c>
      <c r="B853" s="8">
        <v>49610.47</v>
      </c>
    </row>
    <row r="854" spans="1:2" x14ac:dyDescent="0.25">
      <c r="A854" s="3" t="s">
        <v>18</v>
      </c>
      <c r="B854" s="8">
        <v>963.88</v>
      </c>
    </row>
    <row r="855" spans="1:2" x14ac:dyDescent="0.25">
      <c r="A855" s="3" t="s">
        <v>19</v>
      </c>
      <c r="B855" s="8">
        <v>27744.04</v>
      </c>
    </row>
    <row r="856" spans="1:2" x14ac:dyDescent="0.25">
      <c r="A856" s="3" t="s">
        <v>22</v>
      </c>
      <c r="B856" s="8">
        <v>1979.5</v>
      </c>
    </row>
    <row r="857" spans="1:2" x14ac:dyDescent="0.25">
      <c r="A857" s="3" t="s">
        <v>24</v>
      </c>
      <c r="B857" s="8">
        <v>1599</v>
      </c>
    </row>
    <row r="858" spans="1:2" x14ac:dyDescent="0.25">
      <c r="A858" s="3" t="s">
        <v>25</v>
      </c>
      <c r="B858" s="8">
        <v>16102.11</v>
      </c>
    </row>
    <row r="859" spans="1:2" x14ac:dyDescent="0.25">
      <c r="A859" s="3" t="s">
        <v>26</v>
      </c>
      <c r="B859" s="8">
        <v>41330.82</v>
      </c>
    </row>
    <row r="860" spans="1:2" x14ac:dyDescent="0.25">
      <c r="A860" s="3" t="s">
        <v>27</v>
      </c>
      <c r="B860" s="8">
        <v>41695.68</v>
      </c>
    </row>
    <row r="861" spans="1:2" x14ac:dyDescent="0.25">
      <c r="A861" s="3" t="s">
        <v>2</v>
      </c>
      <c r="B861" s="8">
        <v>728</v>
      </c>
    </row>
    <row r="862" spans="1:2" x14ac:dyDescent="0.25">
      <c r="A862" s="3" t="s">
        <v>3</v>
      </c>
      <c r="B862" s="8">
        <v>18480.830000000002</v>
      </c>
    </row>
    <row r="863" spans="1:2" x14ac:dyDescent="0.25">
      <c r="A863" s="3" t="s">
        <v>4</v>
      </c>
      <c r="B863" s="8">
        <v>26017.360000000001</v>
      </c>
    </row>
    <row r="864" spans="1:2" x14ac:dyDescent="0.25">
      <c r="A864" s="3" t="s">
        <v>6</v>
      </c>
      <c r="B864" s="8">
        <v>568</v>
      </c>
    </row>
    <row r="865" spans="1:2" x14ac:dyDescent="0.25">
      <c r="A865" s="3" t="s">
        <v>7</v>
      </c>
      <c r="B865" s="8">
        <v>33522.160000000003</v>
      </c>
    </row>
    <row r="866" spans="1:2" x14ac:dyDescent="0.25">
      <c r="A866" s="3" t="s">
        <v>8</v>
      </c>
      <c r="B866" s="8">
        <v>164910.19</v>
      </c>
    </row>
    <row r="867" spans="1:2" x14ac:dyDescent="0.25">
      <c r="A867" s="3" t="s">
        <v>9</v>
      </c>
      <c r="B867" s="8">
        <v>31164.74</v>
      </c>
    </row>
    <row r="868" spans="1:2" x14ac:dyDescent="0.25">
      <c r="A868" s="3" t="s">
        <v>10</v>
      </c>
      <c r="B868" s="8">
        <v>45307.62</v>
      </c>
    </row>
    <row r="869" spans="1:2" x14ac:dyDescent="0.25">
      <c r="A869" s="3" t="s">
        <v>11</v>
      </c>
      <c r="B869" s="8">
        <v>63222.01</v>
      </c>
    </row>
    <row r="870" spans="1:2" x14ac:dyDescent="0.25">
      <c r="A870" s="3" t="s">
        <v>12</v>
      </c>
      <c r="B870" s="8">
        <v>18442.91</v>
      </c>
    </row>
    <row r="871" spans="1:2" x14ac:dyDescent="0.25">
      <c r="A871" s="3" t="s">
        <v>13</v>
      </c>
      <c r="B871" s="8">
        <v>39214.5</v>
      </c>
    </row>
    <row r="872" spans="1:2" x14ac:dyDescent="0.25">
      <c r="A872" s="3" t="s">
        <v>15</v>
      </c>
      <c r="B872" s="8">
        <v>2137.3200000000002</v>
      </c>
    </row>
    <row r="873" spans="1:2" x14ac:dyDescent="0.25">
      <c r="A873" s="3" t="s">
        <v>17</v>
      </c>
      <c r="B873" s="8">
        <v>40432.339999999997</v>
      </c>
    </row>
    <row r="874" spans="1:2" x14ac:dyDescent="0.25">
      <c r="A874" s="3" t="s">
        <v>18</v>
      </c>
      <c r="B874" s="8">
        <v>2093.86</v>
      </c>
    </row>
    <row r="875" spans="1:2" x14ac:dyDescent="0.25">
      <c r="A875" s="3" t="s">
        <v>19</v>
      </c>
      <c r="B875" s="8">
        <v>14719.33</v>
      </c>
    </row>
    <row r="876" spans="1:2" x14ac:dyDescent="0.25">
      <c r="A876" s="3" t="s">
        <v>22</v>
      </c>
      <c r="B876" s="8">
        <v>8166.32</v>
      </c>
    </row>
    <row r="877" spans="1:2" x14ac:dyDescent="0.25">
      <c r="A877" s="3" t="s">
        <v>24</v>
      </c>
      <c r="B877" s="8">
        <v>5309</v>
      </c>
    </row>
    <row r="878" spans="1:2" x14ac:dyDescent="0.25">
      <c r="A878" s="3" t="s">
        <v>25</v>
      </c>
      <c r="B878" s="8">
        <v>21912.62</v>
      </c>
    </row>
    <row r="879" spans="1:2" x14ac:dyDescent="0.25">
      <c r="A879" s="3" t="s">
        <v>26</v>
      </c>
      <c r="B879" s="8">
        <v>37637.79</v>
      </c>
    </row>
    <row r="880" spans="1:2" x14ac:dyDescent="0.25">
      <c r="A880" s="3" t="s">
        <v>27</v>
      </c>
      <c r="B880" s="8">
        <v>56972.03</v>
      </c>
    </row>
    <row r="881" spans="1:2" x14ac:dyDescent="0.25">
      <c r="A881" s="3" t="s">
        <v>2</v>
      </c>
      <c r="B881" s="8">
        <v>416</v>
      </c>
    </row>
    <row r="882" spans="1:2" x14ac:dyDescent="0.25">
      <c r="A882" s="3" t="s">
        <v>3</v>
      </c>
      <c r="B882" s="8">
        <v>16261.05</v>
      </c>
    </row>
    <row r="883" spans="1:2" x14ac:dyDescent="0.25">
      <c r="A883" s="3" t="s">
        <v>4</v>
      </c>
      <c r="B883" s="8">
        <v>15203.81</v>
      </c>
    </row>
    <row r="884" spans="1:2" x14ac:dyDescent="0.25">
      <c r="A884" s="3" t="s">
        <v>6</v>
      </c>
      <c r="B884" s="8">
        <v>1705.12</v>
      </c>
    </row>
    <row r="885" spans="1:2" x14ac:dyDescent="0.25">
      <c r="A885" s="3" t="s">
        <v>7</v>
      </c>
      <c r="B885" s="8">
        <v>25549.3</v>
      </c>
    </row>
    <row r="886" spans="1:2" x14ac:dyDescent="0.25">
      <c r="A886" s="3" t="s">
        <v>8</v>
      </c>
      <c r="B886" s="8">
        <v>138308.01</v>
      </c>
    </row>
    <row r="887" spans="1:2" x14ac:dyDescent="0.25">
      <c r="A887" s="3" t="s">
        <v>9</v>
      </c>
      <c r="B887" s="8">
        <v>17303.22</v>
      </c>
    </row>
    <row r="888" spans="1:2" x14ac:dyDescent="0.25">
      <c r="A888" s="3" t="s">
        <v>10</v>
      </c>
      <c r="B888" s="8">
        <v>30357.29</v>
      </c>
    </row>
    <row r="889" spans="1:2" x14ac:dyDescent="0.25">
      <c r="A889" s="3" t="s">
        <v>11</v>
      </c>
      <c r="B889" s="8">
        <v>46440</v>
      </c>
    </row>
    <row r="890" spans="1:2" x14ac:dyDescent="0.25">
      <c r="A890" s="3" t="s">
        <v>12</v>
      </c>
      <c r="B890" s="8">
        <v>43674.2</v>
      </c>
    </row>
    <row r="891" spans="1:2" x14ac:dyDescent="0.25">
      <c r="A891" s="3" t="s">
        <v>13</v>
      </c>
      <c r="B891" s="8">
        <v>14023.5</v>
      </c>
    </row>
    <row r="892" spans="1:2" x14ac:dyDescent="0.25">
      <c r="A892" s="3" t="s">
        <v>15</v>
      </c>
      <c r="B892" s="8">
        <v>989.7</v>
      </c>
    </row>
    <row r="893" spans="1:2" x14ac:dyDescent="0.25">
      <c r="A893" s="3" t="s">
        <v>17</v>
      </c>
      <c r="B893" s="8">
        <v>36573.040000000001</v>
      </c>
    </row>
    <row r="894" spans="1:2" x14ac:dyDescent="0.25">
      <c r="A894" s="3" t="s">
        <v>18</v>
      </c>
      <c r="B894" s="8">
        <v>434.4</v>
      </c>
    </row>
    <row r="895" spans="1:2" x14ac:dyDescent="0.25">
      <c r="A895" s="3" t="s">
        <v>19</v>
      </c>
      <c r="B895" s="8">
        <v>16530.32</v>
      </c>
    </row>
    <row r="896" spans="1:2" x14ac:dyDescent="0.25">
      <c r="A896" s="3" t="s">
        <v>22</v>
      </c>
      <c r="B896" s="8">
        <v>3769.57</v>
      </c>
    </row>
    <row r="897" spans="1:2" x14ac:dyDescent="0.25">
      <c r="A897" s="3" t="s">
        <v>24</v>
      </c>
      <c r="B897" s="8">
        <v>432</v>
      </c>
    </row>
    <row r="898" spans="1:2" x14ac:dyDescent="0.25">
      <c r="A898" s="3" t="s">
        <v>25</v>
      </c>
      <c r="B898" s="8">
        <v>13421.04</v>
      </c>
    </row>
    <row r="899" spans="1:2" x14ac:dyDescent="0.25">
      <c r="A899" s="3" t="s">
        <v>26</v>
      </c>
      <c r="B899" s="8">
        <v>18797.900000000001</v>
      </c>
    </row>
    <row r="900" spans="1:2" x14ac:dyDescent="0.25">
      <c r="A900" s="3" t="s">
        <v>27</v>
      </c>
      <c r="B900" s="8">
        <v>40366.19</v>
      </c>
    </row>
    <row r="901" spans="1:2" x14ac:dyDescent="0.25">
      <c r="A901" s="3" t="s">
        <v>2</v>
      </c>
      <c r="B901" s="8">
        <v>260</v>
      </c>
    </row>
    <row r="902" spans="1:2" x14ac:dyDescent="0.25">
      <c r="A902" s="3" t="s">
        <v>3</v>
      </c>
      <c r="B902" s="8">
        <v>16679.43</v>
      </c>
    </row>
    <row r="903" spans="1:2" x14ac:dyDescent="0.25">
      <c r="A903" s="3" t="s">
        <v>4</v>
      </c>
      <c r="B903" s="8">
        <v>15421.75</v>
      </c>
    </row>
    <row r="904" spans="1:2" x14ac:dyDescent="0.25">
      <c r="A904" s="3" t="s">
        <v>6</v>
      </c>
      <c r="B904" s="8">
        <v>1879.3</v>
      </c>
    </row>
    <row r="905" spans="1:2" x14ac:dyDescent="0.25">
      <c r="A905" s="3" t="s">
        <v>7</v>
      </c>
      <c r="B905" s="8">
        <v>13143.87</v>
      </c>
    </row>
    <row r="906" spans="1:2" x14ac:dyDescent="0.25">
      <c r="A906" s="3" t="s">
        <v>8</v>
      </c>
      <c r="B906" s="8">
        <v>95329.91</v>
      </c>
    </row>
    <row r="907" spans="1:2" x14ac:dyDescent="0.25">
      <c r="A907" s="3" t="s">
        <v>9</v>
      </c>
      <c r="B907" s="8">
        <v>16108.9</v>
      </c>
    </row>
    <row r="908" spans="1:2" x14ac:dyDescent="0.25">
      <c r="A908" s="3" t="s">
        <v>10</v>
      </c>
      <c r="B908" s="8">
        <v>33105.51</v>
      </c>
    </row>
    <row r="909" spans="1:2" x14ac:dyDescent="0.25">
      <c r="A909" s="3" t="s">
        <v>11</v>
      </c>
      <c r="B909" s="8">
        <v>21303</v>
      </c>
    </row>
    <row r="910" spans="1:2" x14ac:dyDescent="0.25">
      <c r="A910" s="3" t="s">
        <v>12</v>
      </c>
      <c r="B910" s="8">
        <v>20083.5</v>
      </c>
    </row>
    <row r="911" spans="1:2" x14ac:dyDescent="0.25">
      <c r="A911" s="3" t="s">
        <v>13</v>
      </c>
      <c r="B911" s="8">
        <v>13643</v>
      </c>
    </row>
    <row r="912" spans="1:2" x14ac:dyDescent="0.25">
      <c r="A912" s="3" t="s">
        <v>15</v>
      </c>
      <c r="B912" s="8">
        <v>1378.62</v>
      </c>
    </row>
    <row r="913" spans="1:2" x14ac:dyDescent="0.25">
      <c r="A913" s="3" t="s">
        <v>17</v>
      </c>
      <c r="B913" s="8">
        <v>31063.03</v>
      </c>
    </row>
    <row r="914" spans="1:2" x14ac:dyDescent="0.25">
      <c r="A914" s="3" t="s">
        <v>18</v>
      </c>
      <c r="B914" s="8">
        <v>1890.6</v>
      </c>
    </row>
    <row r="915" spans="1:2" x14ac:dyDescent="0.25">
      <c r="A915" s="3" t="s">
        <v>19</v>
      </c>
      <c r="B915" s="8">
        <v>27369.73</v>
      </c>
    </row>
    <row r="916" spans="1:2" x14ac:dyDescent="0.25">
      <c r="A916" s="3" t="s">
        <v>22</v>
      </c>
      <c r="B916" s="8">
        <v>4628.57</v>
      </c>
    </row>
    <row r="917" spans="1:2" x14ac:dyDescent="0.25">
      <c r="A917" s="3" t="s">
        <v>25</v>
      </c>
      <c r="B917" s="8">
        <v>11623.4</v>
      </c>
    </row>
    <row r="918" spans="1:2" x14ac:dyDescent="0.25">
      <c r="A918" s="3" t="s">
        <v>26</v>
      </c>
      <c r="B918" s="8">
        <v>31796.1</v>
      </c>
    </row>
    <row r="919" spans="1:2" x14ac:dyDescent="0.25">
      <c r="A919" s="3" t="s">
        <v>27</v>
      </c>
      <c r="B919" s="8">
        <v>51422.25</v>
      </c>
    </row>
    <row r="920" spans="1:2" x14ac:dyDescent="0.25">
      <c r="A920" s="3" t="s">
        <v>2</v>
      </c>
      <c r="B920" s="8">
        <v>520</v>
      </c>
    </row>
    <row r="921" spans="1:2" x14ac:dyDescent="0.25">
      <c r="A921" s="3" t="s">
        <v>3</v>
      </c>
      <c r="B921" s="8">
        <v>19925.849999999999</v>
      </c>
    </row>
    <row r="922" spans="1:2" x14ac:dyDescent="0.25">
      <c r="A922" s="3" t="s">
        <v>4</v>
      </c>
      <c r="B922" s="8">
        <v>22948.1</v>
      </c>
    </row>
    <row r="923" spans="1:2" x14ac:dyDescent="0.25">
      <c r="A923" s="3" t="s">
        <v>6</v>
      </c>
      <c r="B923" s="8">
        <v>2221.15</v>
      </c>
    </row>
    <row r="924" spans="1:2" x14ac:dyDescent="0.25">
      <c r="A924" s="3" t="s">
        <v>7</v>
      </c>
      <c r="B924" s="8">
        <v>22473.94</v>
      </c>
    </row>
    <row r="925" spans="1:2" x14ac:dyDescent="0.25">
      <c r="A925" s="3" t="s">
        <v>8</v>
      </c>
      <c r="B925" s="8">
        <v>120436.54</v>
      </c>
    </row>
    <row r="926" spans="1:2" x14ac:dyDescent="0.25">
      <c r="A926" s="3" t="s">
        <v>9</v>
      </c>
      <c r="B926" s="8">
        <v>24066.06</v>
      </c>
    </row>
    <row r="927" spans="1:2" x14ac:dyDescent="0.25">
      <c r="A927" s="3" t="s">
        <v>10</v>
      </c>
      <c r="B927" s="8">
        <v>37291.47</v>
      </c>
    </row>
    <row r="928" spans="1:2" x14ac:dyDescent="0.25">
      <c r="A928" s="3" t="s">
        <v>11</v>
      </c>
      <c r="B928" s="8">
        <v>42815</v>
      </c>
    </row>
    <row r="929" spans="1:2" x14ac:dyDescent="0.25">
      <c r="A929" s="3" t="s">
        <v>12</v>
      </c>
      <c r="B929" s="8">
        <v>17377.61</v>
      </c>
    </row>
    <row r="930" spans="1:2" x14ac:dyDescent="0.25">
      <c r="A930" s="3" t="s">
        <v>13</v>
      </c>
      <c r="B930" s="8">
        <v>20593.5</v>
      </c>
    </row>
    <row r="931" spans="1:2" x14ac:dyDescent="0.25">
      <c r="A931" s="3" t="s">
        <v>15</v>
      </c>
      <c r="B931" s="8">
        <v>7186.36</v>
      </c>
    </row>
    <row r="932" spans="1:2" x14ac:dyDescent="0.25">
      <c r="A932" s="3" t="s">
        <v>17</v>
      </c>
      <c r="B932" s="8">
        <v>30031.19</v>
      </c>
    </row>
    <row r="933" spans="1:2" x14ac:dyDescent="0.25">
      <c r="A933" s="3" t="s">
        <v>18</v>
      </c>
      <c r="B933" s="8">
        <v>2711.28</v>
      </c>
    </row>
    <row r="934" spans="1:2" x14ac:dyDescent="0.25">
      <c r="A934" s="3" t="s">
        <v>19</v>
      </c>
      <c r="B934" s="8">
        <v>25869.06</v>
      </c>
    </row>
    <row r="935" spans="1:2" x14ac:dyDescent="0.25">
      <c r="A935" s="3" t="s">
        <v>22</v>
      </c>
      <c r="B935" s="8">
        <v>2078.5</v>
      </c>
    </row>
    <row r="936" spans="1:2" x14ac:dyDescent="0.25">
      <c r="A936" s="3" t="s">
        <v>24</v>
      </c>
      <c r="B936" s="8">
        <v>2048</v>
      </c>
    </row>
    <row r="937" spans="1:2" x14ac:dyDescent="0.25">
      <c r="A937" s="3" t="s">
        <v>25</v>
      </c>
      <c r="B937" s="8">
        <v>22005.11</v>
      </c>
    </row>
    <row r="938" spans="1:2" x14ac:dyDescent="0.25">
      <c r="A938" s="3" t="s">
        <v>26</v>
      </c>
      <c r="B938" s="8">
        <v>34413.089999999997</v>
      </c>
    </row>
    <row r="939" spans="1:2" x14ac:dyDescent="0.25">
      <c r="A939" s="3" t="s">
        <v>27</v>
      </c>
      <c r="B939" s="8">
        <v>59991.19</v>
      </c>
    </row>
    <row r="940" spans="1:2" x14ac:dyDescent="0.25">
      <c r="A940" s="3" t="s">
        <v>2</v>
      </c>
      <c r="B940" s="8">
        <v>364</v>
      </c>
    </row>
    <row r="941" spans="1:2" x14ac:dyDescent="0.25">
      <c r="A941" s="3" t="s">
        <v>3</v>
      </c>
      <c r="B941" s="8">
        <v>21712.11</v>
      </c>
    </row>
    <row r="942" spans="1:2" x14ac:dyDescent="0.25">
      <c r="A942" s="3" t="s">
        <v>4</v>
      </c>
      <c r="B942" s="8">
        <v>20885.07</v>
      </c>
    </row>
    <row r="943" spans="1:2" x14ac:dyDescent="0.25">
      <c r="A943" s="3" t="s">
        <v>6</v>
      </c>
      <c r="B943" s="8">
        <v>1010.65</v>
      </c>
    </row>
    <row r="944" spans="1:2" x14ac:dyDescent="0.25">
      <c r="A944" s="3" t="s">
        <v>7</v>
      </c>
      <c r="B944" s="8">
        <v>15385.3</v>
      </c>
    </row>
    <row r="945" spans="1:2" x14ac:dyDescent="0.25">
      <c r="A945" s="3" t="s">
        <v>8</v>
      </c>
      <c r="B945" s="8">
        <v>133728.49</v>
      </c>
    </row>
    <row r="946" spans="1:2" x14ac:dyDescent="0.25">
      <c r="A946" s="3" t="s">
        <v>9</v>
      </c>
      <c r="B946" s="8">
        <v>19155.650000000001</v>
      </c>
    </row>
    <row r="947" spans="1:2" x14ac:dyDescent="0.25">
      <c r="A947" s="3" t="s">
        <v>10</v>
      </c>
      <c r="B947" s="8">
        <v>50390.07</v>
      </c>
    </row>
    <row r="948" spans="1:2" x14ac:dyDescent="0.25">
      <c r="A948" s="3" t="s">
        <v>11</v>
      </c>
      <c r="B948" s="8">
        <v>37327.03</v>
      </c>
    </row>
    <row r="949" spans="1:2" x14ac:dyDescent="0.25">
      <c r="A949" s="3" t="s">
        <v>12</v>
      </c>
      <c r="B949" s="8">
        <v>36279.410000000003</v>
      </c>
    </row>
    <row r="950" spans="1:2" x14ac:dyDescent="0.25">
      <c r="A950" s="3" t="s">
        <v>13</v>
      </c>
      <c r="B950" s="8">
        <v>20854</v>
      </c>
    </row>
    <row r="951" spans="1:2" x14ac:dyDescent="0.25">
      <c r="A951" s="3" t="s">
        <v>15</v>
      </c>
      <c r="B951" s="8">
        <v>1993.78</v>
      </c>
    </row>
    <row r="952" spans="1:2" x14ac:dyDescent="0.25">
      <c r="A952" s="3" t="s">
        <v>17</v>
      </c>
      <c r="B952" s="8">
        <v>35856.129999999997</v>
      </c>
    </row>
    <row r="953" spans="1:2" x14ac:dyDescent="0.25">
      <c r="A953" s="3" t="s">
        <v>18</v>
      </c>
      <c r="B953" s="8">
        <v>451.4</v>
      </c>
    </row>
    <row r="954" spans="1:2" x14ac:dyDescent="0.25">
      <c r="A954" s="3" t="s">
        <v>19</v>
      </c>
      <c r="B954" s="8">
        <v>14920.91</v>
      </c>
    </row>
    <row r="955" spans="1:2" x14ac:dyDescent="0.25">
      <c r="A955" s="3" t="s">
        <v>22</v>
      </c>
      <c r="B955" s="8">
        <v>679.5</v>
      </c>
    </row>
    <row r="956" spans="1:2" x14ac:dyDescent="0.25">
      <c r="A956" s="3" t="s">
        <v>24</v>
      </c>
      <c r="B956" s="8">
        <v>2666</v>
      </c>
    </row>
    <row r="957" spans="1:2" x14ac:dyDescent="0.25">
      <c r="A957" s="3" t="s">
        <v>25</v>
      </c>
      <c r="B957" s="8">
        <v>13651.08</v>
      </c>
    </row>
    <row r="958" spans="1:2" x14ac:dyDescent="0.25">
      <c r="A958" s="3" t="s">
        <v>26</v>
      </c>
      <c r="B958" s="8">
        <v>27586.22</v>
      </c>
    </row>
    <row r="959" spans="1:2" x14ac:dyDescent="0.25">
      <c r="A959" s="3" t="s">
        <v>27</v>
      </c>
      <c r="B959" s="8">
        <v>38145.29</v>
      </c>
    </row>
    <row r="960" spans="1:2" x14ac:dyDescent="0.25">
      <c r="A960" s="3" t="s">
        <v>2</v>
      </c>
      <c r="B960" s="8">
        <v>572</v>
      </c>
    </row>
    <row r="961" spans="1:2" x14ac:dyDescent="0.25">
      <c r="A961" s="3" t="s">
        <v>3</v>
      </c>
      <c r="B961" s="8">
        <v>14802.14</v>
      </c>
    </row>
    <row r="962" spans="1:2" x14ac:dyDescent="0.25">
      <c r="A962" s="3" t="s">
        <v>4</v>
      </c>
      <c r="B962" s="8">
        <v>16488.78</v>
      </c>
    </row>
    <row r="963" spans="1:2" x14ac:dyDescent="0.25">
      <c r="A963" s="3" t="s">
        <v>6</v>
      </c>
      <c r="B963" s="8">
        <v>2908.52</v>
      </c>
    </row>
    <row r="964" spans="1:2" x14ac:dyDescent="0.25">
      <c r="A964" s="3" t="s">
        <v>7</v>
      </c>
      <c r="B964" s="8">
        <v>25784.77</v>
      </c>
    </row>
    <row r="965" spans="1:2" x14ac:dyDescent="0.25">
      <c r="A965" s="3" t="s">
        <v>8</v>
      </c>
      <c r="B965" s="8">
        <v>125863.76</v>
      </c>
    </row>
    <row r="966" spans="1:2" x14ac:dyDescent="0.25">
      <c r="A966" s="3" t="s">
        <v>9</v>
      </c>
      <c r="B966" s="8">
        <v>22349.86</v>
      </c>
    </row>
    <row r="967" spans="1:2" x14ac:dyDescent="0.25">
      <c r="A967" s="3" t="s">
        <v>10</v>
      </c>
      <c r="B967" s="8">
        <v>47273.01</v>
      </c>
    </row>
    <row r="968" spans="1:2" x14ac:dyDescent="0.25">
      <c r="A968" s="3" t="s">
        <v>11</v>
      </c>
      <c r="B968" s="8">
        <v>74628.02</v>
      </c>
    </row>
    <row r="969" spans="1:2" x14ac:dyDescent="0.25">
      <c r="A969" s="3" t="s">
        <v>12</v>
      </c>
      <c r="B969" s="8">
        <v>36235.11</v>
      </c>
    </row>
    <row r="970" spans="1:2" x14ac:dyDescent="0.25">
      <c r="A970" s="3" t="s">
        <v>13</v>
      </c>
      <c r="B970" s="8">
        <v>37273.5</v>
      </c>
    </row>
    <row r="971" spans="1:2" x14ac:dyDescent="0.25">
      <c r="A971" s="3" t="s">
        <v>15</v>
      </c>
      <c r="B971" s="8">
        <v>7210.3</v>
      </c>
    </row>
    <row r="972" spans="1:2" x14ac:dyDescent="0.25">
      <c r="A972" s="3" t="s">
        <v>17</v>
      </c>
      <c r="B972" s="8">
        <v>47437.98</v>
      </c>
    </row>
    <row r="973" spans="1:2" x14ac:dyDescent="0.25">
      <c r="A973" s="3" t="s">
        <v>18</v>
      </c>
      <c r="B973" s="8">
        <v>1400.56</v>
      </c>
    </row>
    <row r="974" spans="1:2" x14ac:dyDescent="0.25">
      <c r="A974" s="3" t="s">
        <v>19</v>
      </c>
      <c r="B974" s="8">
        <v>31566.23</v>
      </c>
    </row>
    <row r="975" spans="1:2" x14ac:dyDescent="0.25">
      <c r="A975" s="3" t="s">
        <v>22</v>
      </c>
      <c r="B975" s="8">
        <v>5869.62</v>
      </c>
    </row>
    <row r="976" spans="1:2" x14ac:dyDescent="0.25">
      <c r="A976" s="3" t="s">
        <v>24</v>
      </c>
      <c r="B976" s="8">
        <v>2215</v>
      </c>
    </row>
    <row r="977" spans="1:2" x14ac:dyDescent="0.25">
      <c r="A977" s="3" t="s">
        <v>25</v>
      </c>
      <c r="B977" s="8">
        <v>19965.64</v>
      </c>
    </row>
    <row r="978" spans="1:2" x14ac:dyDescent="0.25">
      <c r="A978" s="3" t="s">
        <v>26</v>
      </c>
      <c r="B978" s="8">
        <v>38969.919999999998</v>
      </c>
    </row>
    <row r="979" spans="1:2" x14ac:dyDescent="0.25">
      <c r="A979" s="3" t="s">
        <v>27</v>
      </c>
      <c r="B979" s="8">
        <v>36666.839999999997</v>
      </c>
    </row>
    <row r="980" spans="1:2" x14ac:dyDescent="0.25">
      <c r="A980" s="3" t="s">
        <v>2</v>
      </c>
      <c r="B980" s="8">
        <v>780</v>
      </c>
    </row>
    <row r="981" spans="1:2" x14ac:dyDescent="0.25">
      <c r="A981" s="3" t="s">
        <v>3</v>
      </c>
      <c r="B981" s="8">
        <v>27012.31</v>
      </c>
    </row>
    <row r="982" spans="1:2" x14ac:dyDescent="0.25">
      <c r="A982" s="3" t="s">
        <v>4</v>
      </c>
      <c r="B982" s="8">
        <v>22601.599999999999</v>
      </c>
    </row>
    <row r="983" spans="1:2" x14ac:dyDescent="0.25">
      <c r="A983" s="3" t="s">
        <v>6</v>
      </c>
      <c r="B983" s="8">
        <v>2775.56</v>
      </c>
    </row>
    <row r="984" spans="1:2" x14ac:dyDescent="0.25">
      <c r="A984" s="3" t="s">
        <v>7</v>
      </c>
      <c r="B984" s="8">
        <v>28759.919999999998</v>
      </c>
    </row>
    <row r="985" spans="1:2" x14ac:dyDescent="0.25">
      <c r="A985" s="3" t="s">
        <v>8</v>
      </c>
      <c r="B985" s="8">
        <v>167230.15</v>
      </c>
    </row>
    <row r="986" spans="1:2" x14ac:dyDescent="0.25">
      <c r="A986" s="3" t="s">
        <v>9</v>
      </c>
      <c r="B986" s="8">
        <v>28306.1</v>
      </c>
    </row>
    <row r="987" spans="1:2" x14ac:dyDescent="0.25">
      <c r="A987" s="3" t="s">
        <v>10</v>
      </c>
      <c r="B987" s="8">
        <v>49333.59</v>
      </c>
    </row>
    <row r="988" spans="1:2" x14ac:dyDescent="0.25">
      <c r="A988" s="3" t="s">
        <v>11</v>
      </c>
      <c r="B988" s="8">
        <v>132417.94</v>
      </c>
    </row>
    <row r="989" spans="1:2" x14ac:dyDescent="0.25">
      <c r="A989" s="3" t="s">
        <v>12</v>
      </c>
      <c r="B989" s="8">
        <v>44732.61</v>
      </c>
    </row>
    <row r="990" spans="1:2" x14ac:dyDescent="0.25">
      <c r="A990" s="3" t="s">
        <v>13</v>
      </c>
      <c r="B990" s="8">
        <v>45661</v>
      </c>
    </row>
    <row r="991" spans="1:2" x14ac:dyDescent="0.25">
      <c r="A991" s="3" t="s">
        <v>15</v>
      </c>
      <c r="B991" s="8">
        <v>4991.12</v>
      </c>
    </row>
    <row r="992" spans="1:2" x14ac:dyDescent="0.25">
      <c r="A992" s="3" t="s">
        <v>17</v>
      </c>
      <c r="B992" s="8">
        <v>59960.77</v>
      </c>
    </row>
    <row r="993" spans="1:2" x14ac:dyDescent="0.25">
      <c r="A993" s="3" t="s">
        <v>18</v>
      </c>
      <c r="B993" s="8">
        <v>3341.2</v>
      </c>
    </row>
    <row r="994" spans="1:2" x14ac:dyDescent="0.25">
      <c r="A994" s="3" t="s">
        <v>19</v>
      </c>
      <c r="B994" s="8">
        <v>35267.5</v>
      </c>
    </row>
    <row r="995" spans="1:2" x14ac:dyDescent="0.25">
      <c r="A995" s="3" t="s">
        <v>22</v>
      </c>
      <c r="B995" s="8">
        <v>6266.64</v>
      </c>
    </row>
    <row r="996" spans="1:2" x14ac:dyDescent="0.25">
      <c r="A996" s="3" t="s">
        <v>24</v>
      </c>
      <c r="B996" s="8">
        <v>566</v>
      </c>
    </row>
    <row r="997" spans="1:2" x14ac:dyDescent="0.25">
      <c r="A997" s="3" t="s">
        <v>25</v>
      </c>
      <c r="B997" s="8">
        <v>22018.2</v>
      </c>
    </row>
    <row r="998" spans="1:2" x14ac:dyDescent="0.25">
      <c r="A998" s="3" t="s">
        <v>26</v>
      </c>
      <c r="B998" s="8">
        <v>45685.05</v>
      </c>
    </row>
    <row r="999" spans="1:2" x14ac:dyDescent="0.25">
      <c r="A999" s="3" t="s">
        <v>27</v>
      </c>
      <c r="B999" s="8">
        <v>52760.24</v>
      </c>
    </row>
    <row r="1000" spans="1:2" x14ac:dyDescent="0.25">
      <c r="A1000" s="3" t="s">
        <v>2</v>
      </c>
      <c r="B1000" s="8">
        <v>468</v>
      </c>
    </row>
    <row r="1001" spans="1:2" x14ac:dyDescent="0.25">
      <c r="A1001" s="3" t="s">
        <v>3</v>
      </c>
      <c r="B1001" s="8">
        <v>18121.32</v>
      </c>
    </row>
    <row r="1002" spans="1:2" x14ac:dyDescent="0.25">
      <c r="A1002" s="3" t="s">
        <v>4</v>
      </c>
      <c r="B1002" s="8">
        <v>13724.16</v>
      </c>
    </row>
    <row r="1003" spans="1:2" x14ac:dyDescent="0.25">
      <c r="A1003" s="3" t="s">
        <v>5</v>
      </c>
      <c r="B1003" s="8">
        <v>1112.1500000000001</v>
      </c>
    </row>
    <row r="1004" spans="1:2" x14ac:dyDescent="0.25">
      <c r="A1004" s="3" t="s">
        <v>7</v>
      </c>
      <c r="B1004" s="8">
        <v>14926.98</v>
      </c>
    </row>
    <row r="1005" spans="1:2" x14ac:dyDescent="0.25">
      <c r="A1005" s="3" t="s">
        <v>8</v>
      </c>
      <c r="B1005" s="8">
        <v>87723.22</v>
      </c>
    </row>
    <row r="1006" spans="1:2" x14ac:dyDescent="0.25">
      <c r="A1006" s="3" t="s">
        <v>9</v>
      </c>
      <c r="B1006" s="8">
        <v>12862.13</v>
      </c>
    </row>
    <row r="1007" spans="1:2" x14ac:dyDescent="0.25">
      <c r="A1007" s="3" t="s">
        <v>10</v>
      </c>
      <c r="B1007" s="8">
        <v>22727.98</v>
      </c>
    </row>
    <row r="1008" spans="1:2" x14ac:dyDescent="0.25">
      <c r="A1008" s="3" t="s">
        <v>11</v>
      </c>
      <c r="B1008" s="8">
        <v>90085.97</v>
      </c>
    </row>
    <row r="1009" spans="1:2" x14ac:dyDescent="0.25">
      <c r="A1009" s="3" t="s">
        <v>12</v>
      </c>
      <c r="B1009" s="8">
        <v>13145.51</v>
      </c>
    </row>
    <row r="1010" spans="1:2" x14ac:dyDescent="0.25">
      <c r="A1010" s="3" t="s">
        <v>13</v>
      </c>
      <c r="B1010" s="8">
        <v>20327</v>
      </c>
    </row>
    <row r="1011" spans="1:2" x14ac:dyDescent="0.25">
      <c r="A1011" s="3" t="s">
        <v>15</v>
      </c>
      <c r="B1011" s="8">
        <v>1021.34</v>
      </c>
    </row>
    <row r="1012" spans="1:2" x14ac:dyDescent="0.25">
      <c r="A1012" s="3" t="s">
        <v>17</v>
      </c>
      <c r="B1012" s="8">
        <v>30328.720000000001</v>
      </c>
    </row>
    <row r="1013" spans="1:2" x14ac:dyDescent="0.25">
      <c r="A1013" s="3" t="s">
        <v>18</v>
      </c>
      <c r="B1013" s="8">
        <v>1165.1199999999999</v>
      </c>
    </row>
    <row r="1014" spans="1:2" x14ac:dyDescent="0.25">
      <c r="A1014" s="3" t="s">
        <v>19</v>
      </c>
      <c r="B1014" s="8">
        <v>17088.04</v>
      </c>
    </row>
    <row r="1015" spans="1:2" x14ac:dyDescent="0.25">
      <c r="A1015" s="3" t="s">
        <v>22</v>
      </c>
      <c r="B1015" s="8">
        <v>1679.5</v>
      </c>
    </row>
    <row r="1016" spans="1:2" x14ac:dyDescent="0.25">
      <c r="A1016" s="3" t="s">
        <v>25</v>
      </c>
      <c r="B1016" s="8">
        <v>11329.74</v>
      </c>
    </row>
    <row r="1017" spans="1:2" x14ac:dyDescent="0.25">
      <c r="A1017" s="3" t="s">
        <v>26</v>
      </c>
      <c r="B1017" s="8">
        <v>28669.86</v>
      </c>
    </row>
    <row r="1018" spans="1:2" x14ac:dyDescent="0.25">
      <c r="A1018" s="3" t="s">
        <v>27</v>
      </c>
      <c r="B1018" s="8">
        <v>39014.42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62"/>
  <sheetViews>
    <sheetView workbookViewId="0">
      <selection sqref="A1:B1"/>
    </sheetView>
  </sheetViews>
  <sheetFormatPr defaultRowHeight="15" x14ac:dyDescent="0.25"/>
  <cols>
    <col min="1" max="1" width="40.7109375" bestFit="1" customWidth="1"/>
    <col min="2" max="2" width="13.28515625" style="9" bestFit="1" customWidth="1"/>
  </cols>
  <sheetData>
    <row r="1" spans="1:2" ht="16.5" thickBot="1" x14ac:dyDescent="0.3">
      <c r="A1" s="16" t="s">
        <v>0</v>
      </c>
      <c r="B1" s="17" t="s">
        <v>1</v>
      </c>
    </row>
    <row r="2" spans="1:2" x14ac:dyDescent="0.25">
      <c r="A2" s="4" t="s">
        <v>2</v>
      </c>
      <c r="B2" s="8">
        <v>11892</v>
      </c>
    </row>
    <row r="3" spans="1:2" x14ac:dyDescent="0.25">
      <c r="A3" s="4" t="s">
        <v>3</v>
      </c>
      <c r="B3" s="8">
        <v>247618.59</v>
      </c>
    </row>
    <row r="4" spans="1:2" x14ac:dyDescent="0.25">
      <c r="A4" s="4" t="s">
        <v>4</v>
      </c>
      <c r="B4" s="8">
        <v>102169.72</v>
      </c>
    </row>
    <row r="5" spans="1:2" x14ac:dyDescent="0.25">
      <c r="A5" s="4" t="s">
        <v>5</v>
      </c>
      <c r="B5" s="8">
        <v>3142</v>
      </c>
    </row>
    <row r="6" spans="1:2" x14ac:dyDescent="0.25">
      <c r="A6" s="4" t="s">
        <v>6</v>
      </c>
      <c r="B6" s="8">
        <v>8925.64</v>
      </c>
    </row>
    <row r="7" spans="1:2" x14ac:dyDescent="0.25">
      <c r="A7" s="4" t="s">
        <v>7</v>
      </c>
      <c r="B7" s="8">
        <v>178547.47</v>
      </c>
    </row>
    <row r="8" spans="1:2" x14ac:dyDescent="0.25">
      <c r="A8" s="4" t="s">
        <v>8</v>
      </c>
      <c r="B8" s="8">
        <v>542280.32999999996</v>
      </c>
    </row>
    <row r="9" spans="1:2" x14ac:dyDescent="0.25">
      <c r="A9" s="4" t="s">
        <v>9</v>
      </c>
      <c r="B9" s="8">
        <v>173640.95999999999</v>
      </c>
    </row>
    <row r="10" spans="1:2" x14ac:dyDescent="0.25">
      <c r="A10" s="4" t="s">
        <v>10</v>
      </c>
      <c r="B10" s="8">
        <v>229364.07</v>
      </c>
    </row>
    <row r="11" spans="1:2" x14ac:dyDescent="0.25">
      <c r="A11" s="4" t="s">
        <v>11</v>
      </c>
      <c r="B11" s="8">
        <v>418815.5</v>
      </c>
    </row>
    <row r="12" spans="1:2" x14ac:dyDescent="0.25">
      <c r="A12" s="4" t="s">
        <v>12</v>
      </c>
      <c r="B12" s="8">
        <v>150539.4</v>
      </c>
    </row>
    <row r="13" spans="1:2" x14ac:dyDescent="0.25">
      <c r="A13" s="4" t="s">
        <v>13</v>
      </c>
      <c r="B13" s="8">
        <v>66334</v>
      </c>
    </row>
    <row r="14" spans="1:2" x14ac:dyDescent="0.25">
      <c r="A14" s="4" t="s">
        <v>14</v>
      </c>
      <c r="B14" s="8">
        <v>23515.4</v>
      </c>
    </row>
    <row r="15" spans="1:2" x14ac:dyDescent="0.25">
      <c r="A15" s="4" t="s">
        <v>28</v>
      </c>
      <c r="B15" s="8">
        <v>3945.72</v>
      </c>
    </row>
    <row r="16" spans="1:2" x14ac:dyDescent="0.25">
      <c r="A16" s="4" t="s">
        <v>15</v>
      </c>
      <c r="B16" s="8">
        <v>108562.12</v>
      </c>
    </row>
    <row r="17" spans="1:2" x14ac:dyDescent="0.25">
      <c r="A17" s="4" t="s">
        <v>16</v>
      </c>
      <c r="B17" s="8">
        <v>36251.06</v>
      </c>
    </row>
    <row r="18" spans="1:2" x14ac:dyDescent="0.25">
      <c r="A18" s="4" t="s">
        <v>17</v>
      </c>
      <c r="B18" s="8">
        <v>380078.83</v>
      </c>
    </row>
    <row r="19" spans="1:2" x14ac:dyDescent="0.25">
      <c r="A19" s="4" t="s">
        <v>18</v>
      </c>
      <c r="B19" s="8">
        <v>62852.76</v>
      </c>
    </row>
    <row r="20" spans="1:2" x14ac:dyDescent="0.25">
      <c r="A20" s="4" t="s">
        <v>20</v>
      </c>
      <c r="B20" s="8">
        <v>17835.349999999999</v>
      </c>
    </row>
    <row r="21" spans="1:2" x14ac:dyDescent="0.25">
      <c r="A21" s="4" t="s">
        <v>21</v>
      </c>
      <c r="B21" s="8">
        <v>27065.040000000001</v>
      </c>
    </row>
    <row r="22" spans="1:2" x14ac:dyDescent="0.25">
      <c r="A22" s="4" t="s">
        <v>22</v>
      </c>
      <c r="B22" s="8">
        <v>250788.01</v>
      </c>
    </row>
    <row r="23" spans="1:2" x14ac:dyDescent="0.25">
      <c r="A23" s="4" t="s">
        <v>23</v>
      </c>
      <c r="B23" s="8">
        <v>892</v>
      </c>
    </row>
    <row r="24" spans="1:2" x14ac:dyDescent="0.25">
      <c r="A24" s="4" t="s">
        <v>24</v>
      </c>
      <c r="B24" s="8">
        <v>2942.28</v>
      </c>
    </row>
    <row r="25" spans="1:2" x14ac:dyDescent="0.25">
      <c r="A25" s="4" t="s">
        <v>25</v>
      </c>
      <c r="B25" s="8">
        <v>131536.6</v>
      </c>
    </row>
    <row r="26" spans="1:2" x14ac:dyDescent="0.25">
      <c r="A26" s="4" t="s">
        <v>26</v>
      </c>
      <c r="B26" s="8">
        <v>319370.98</v>
      </c>
    </row>
    <row r="27" spans="1:2" x14ac:dyDescent="0.25">
      <c r="A27" s="4" t="s">
        <v>27</v>
      </c>
      <c r="B27" s="8">
        <v>201596.47</v>
      </c>
    </row>
    <row r="28" spans="1:2" x14ac:dyDescent="0.25">
      <c r="A28" s="4" t="s">
        <v>2</v>
      </c>
      <c r="B28" s="8">
        <v>25924</v>
      </c>
    </row>
    <row r="29" spans="1:2" x14ac:dyDescent="0.25">
      <c r="A29" s="4" t="s">
        <v>3</v>
      </c>
      <c r="B29" s="8">
        <v>198417.13</v>
      </c>
    </row>
    <row r="30" spans="1:2" x14ac:dyDescent="0.25">
      <c r="A30" s="4" t="s">
        <v>4</v>
      </c>
      <c r="B30" s="8">
        <v>69037.429999999993</v>
      </c>
    </row>
    <row r="31" spans="1:2" x14ac:dyDescent="0.25">
      <c r="A31" s="4" t="s">
        <v>5</v>
      </c>
      <c r="B31" s="8">
        <v>3322</v>
      </c>
    </row>
    <row r="32" spans="1:2" x14ac:dyDescent="0.25">
      <c r="A32" s="4" t="s">
        <v>6</v>
      </c>
      <c r="B32" s="8">
        <v>11791.87</v>
      </c>
    </row>
    <row r="33" spans="1:2" x14ac:dyDescent="0.25">
      <c r="A33" s="4" t="s">
        <v>7</v>
      </c>
      <c r="B33" s="8">
        <v>151464.42000000001</v>
      </c>
    </row>
    <row r="34" spans="1:2" x14ac:dyDescent="0.25">
      <c r="A34" s="4" t="s">
        <v>8</v>
      </c>
      <c r="B34" s="8">
        <v>626863.75</v>
      </c>
    </row>
    <row r="35" spans="1:2" x14ac:dyDescent="0.25">
      <c r="A35" s="4" t="s">
        <v>9</v>
      </c>
      <c r="B35" s="8">
        <v>134719.96</v>
      </c>
    </row>
    <row r="36" spans="1:2" x14ac:dyDescent="0.25">
      <c r="A36" s="4" t="s">
        <v>10</v>
      </c>
      <c r="B36" s="8">
        <v>187358.49</v>
      </c>
    </row>
    <row r="37" spans="1:2" x14ac:dyDescent="0.25">
      <c r="A37" s="4" t="s">
        <v>11</v>
      </c>
      <c r="B37" s="8">
        <v>257556.5</v>
      </c>
    </row>
    <row r="38" spans="1:2" x14ac:dyDescent="0.25">
      <c r="A38" s="4" t="s">
        <v>12</v>
      </c>
      <c r="B38" s="8">
        <v>144916.20000000001</v>
      </c>
    </row>
    <row r="39" spans="1:2" x14ac:dyDescent="0.25">
      <c r="A39" s="4" t="s">
        <v>13</v>
      </c>
      <c r="B39" s="8">
        <v>78236</v>
      </c>
    </row>
    <row r="40" spans="1:2" x14ac:dyDescent="0.25">
      <c r="A40" s="4" t="s">
        <v>14</v>
      </c>
      <c r="B40" s="8">
        <v>28127.65</v>
      </c>
    </row>
    <row r="41" spans="1:2" x14ac:dyDescent="0.25">
      <c r="A41" s="4" t="s">
        <v>28</v>
      </c>
      <c r="B41" s="8">
        <v>8061.32</v>
      </c>
    </row>
    <row r="42" spans="1:2" x14ac:dyDescent="0.25">
      <c r="A42" s="4" t="s">
        <v>15</v>
      </c>
      <c r="B42" s="8">
        <v>158605.5</v>
      </c>
    </row>
    <row r="43" spans="1:2" x14ac:dyDescent="0.25">
      <c r="A43" s="4" t="s">
        <v>16</v>
      </c>
      <c r="B43" s="8">
        <v>110477.63</v>
      </c>
    </row>
    <row r="44" spans="1:2" x14ac:dyDescent="0.25">
      <c r="A44" s="4" t="s">
        <v>17</v>
      </c>
      <c r="B44" s="8">
        <v>483576.33</v>
      </c>
    </row>
    <row r="45" spans="1:2" x14ac:dyDescent="0.25">
      <c r="A45" s="4" t="s">
        <v>18</v>
      </c>
      <c r="B45" s="8">
        <v>22091</v>
      </c>
    </row>
    <row r="46" spans="1:2" x14ac:dyDescent="0.25">
      <c r="A46" s="4" t="s">
        <v>19</v>
      </c>
      <c r="B46" s="8">
        <v>80</v>
      </c>
    </row>
    <row r="47" spans="1:2" x14ac:dyDescent="0.25">
      <c r="A47" s="4" t="s">
        <v>20</v>
      </c>
      <c r="B47" s="8">
        <v>15087.23</v>
      </c>
    </row>
    <row r="48" spans="1:2" x14ac:dyDescent="0.25">
      <c r="A48" s="4" t="s">
        <v>21</v>
      </c>
      <c r="B48" s="8">
        <v>31279.51</v>
      </c>
    </row>
    <row r="49" spans="1:2" x14ac:dyDescent="0.25">
      <c r="A49" s="4" t="s">
        <v>22</v>
      </c>
      <c r="B49" s="8">
        <v>243890.44</v>
      </c>
    </row>
    <row r="50" spans="1:2" x14ac:dyDescent="0.25">
      <c r="A50" s="4" t="s">
        <v>23</v>
      </c>
      <c r="B50" s="8">
        <v>152</v>
      </c>
    </row>
    <row r="51" spans="1:2" x14ac:dyDescent="0.25">
      <c r="A51" s="4" t="s">
        <v>24</v>
      </c>
      <c r="B51" s="8">
        <v>2935.56</v>
      </c>
    </row>
    <row r="52" spans="1:2" x14ac:dyDescent="0.25">
      <c r="A52" s="4" t="s">
        <v>25</v>
      </c>
      <c r="B52" s="8">
        <v>132689.14000000001</v>
      </c>
    </row>
    <row r="53" spans="1:2" x14ac:dyDescent="0.25">
      <c r="A53" s="4" t="s">
        <v>26</v>
      </c>
      <c r="B53" s="8">
        <v>331624.52</v>
      </c>
    </row>
    <row r="54" spans="1:2" x14ac:dyDescent="0.25">
      <c r="A54" s="4" t="s">
        <v>27</v>
      </c>
      <c r="B54" s="8">
        <v>196987.15</v>
      </c>
    </row>
    <row r="55" spans="1:2" x14ac:dyDescent="0.25">
      <c r="A55" s="4" t="s">
        <v>2</v>
      </c>
      <c r="B55" s="8">
        <v>21459</v>
      </c>
    </row>
    <row r="56" spans="1:2" x14ac:dyDescent="0.25">
      <c r="A56" s="4" t="s">
        <v>3</v>
      </c>
      <c r="B56" s="8">
        <v>206057.19</v>
      </c>
    </row>
    <row r="57" spans="1:2" x14ac:dyDescent="0.25">
      <c r="A57" s="4" t="s">
        <v>4</v>
      </c>
      <c r="B57" s="8">
        <v>54515.93</v>
      </c>
    </row>
    <row r="58" spans="1:2" x14ac:dyDescent="0.25">
      <c r="A58" s="4" t="s">
        <v>5</v>
      </c>
      <c r="B58" s="8">
        <v>3050</v>
      </c>
    </row>
    <row r="59" spans="1:2" x14ac:dyDescent="0.25">
      <c r="A59" s="4" t="s">
        <v>6</v>
      </c>
      <c r="B59" s="8">
        <v>11747.92</v>
      </c>
    </row>
    <row r="60" spans="1:2" x14ac:dyDescent="0.25">
      <c r="A60" s="4" t="s">
        <v>7</v>
      </c>
      <c r="B60" s="8">
        <v>246892.64</v>
      </c>
    </row>
    <row r="61" spans="1:2" x14ac:dyDescent="0.25">
      <c r="A61" s="4" t="s">
        <v>8</v>
      </c>
      <c r="B61" s="8">
        <v>578337.67000000004</v>
      </c>
    </row>
    <row r="62" spans="1:2" x14ac:dyDescent="0.25">
      <c r="A62" s="4" t="s">
        <v>9</v>
      </c>
      <c r="B62" s="8">
        <v>142102.94</v>
      </c>
    </row>
    <row r="63" spans="1:2" x14ac:dyDescent="0.25">
      <c r="A63" s="4" t="s">
        <v>10</v>
      </c>
      <c r="B63" s="8">
        <v>244903.41</v>
      </c>
    </row>
    <row r="64" spans="1:2" x14ac:dyDescent="0.25">
      <c r="A64" s="4" t="s">
        <v>11</v>
      </c>
      <c r="B64" s="8">
        <v>328219</v>
      </c>
    </row>
    <row r="65" spans="1:2" x14ac:dyDescent="0.25">
      <c r="A65" s="4" t="s">
        <v>12</v>
      </c>
      <c r="B65" s="8">
        <v>146231.79999999999</v>
      </c>
    </row>
    <row r="66" spans="1:2" x14ac:dyDescent="0.25">
      <c r="A66" s="4" t="s">
        <v>13</v>
      </c>
      <c r="B66" s="8">
        <v>85455</v>
      </c>
    </row>
    <row r="67" spans="1:2" x14ac:dyDescent="0.25">
      <c r="A67" s="4" t="s">
        <v>14</v>
      </c>
      <c r="B67" s="8">
        <v>16737.900000000001</v>
      </c>
    </row>
    <row r="68" spans="1:2" x14ac:dyDescent="0.25">
      <c r="A68" s="4" t="s">
        <v>28</v>
      </c>
      <c r="B68" s="8">
        <v>6810.66</v>
      </c>
    </row>
    <row r="69" spans="1:2" x14ac:dyDescent="0.25">
      <c r="A69" s="4" t="s">
        <v>15</v>
      </c>
      <c r="B69" s="8">
        <v>146351.78</v>
      </c>
    </row>
    <row r="70" spans="1:2" x14ac:dyDescent="0.25">
      <c r="A70" s="4" t="s">
        <v>16</v>
      </c>
      <c r="B70" s="8">
        <v>177225.05</v>
      </c>
    </row>
    <row r="71" spans="1:2" x14ac:dyDescent="0.25">
      <c r="A71" s="4" t="s">
        <v>17</v>
      </c>
      <c r="B71" s="8">
        <v>555246.67000000004</v>
      </c>
    </row>
    <row r="72" spans="1:2" x14ac:dyDescent="0.25">
      <c r="A72" s="4" t="s">
        <v>18</v>
      </c>
      <c r="B72" s="8">
        <v>136787.9</v>
      </c>
    </row>
    <row r="73" spans="1:2" x14ac:dyDescent="0.25">
      <c r="A73" s="4" t="s">
        <v>19</v>
      </c>
      <c r="B73" s="8">
        <v>80</v>
      </c>
    </row>
    <row r="74" spans="1:2" x14ac:dyDescent="0.25">
      <c r="A74" s="4" t="s">
        <v>20</v>
      </c>
      <c r="B74" s="8">
        <v>23873.64</v>
      </c>
    </row>
    <row r="75" spans="1:2" x14ac:dyDescent="0.25">
      <c r="A75" s="4" t="s">
        <v>21</v>
      </c>
      <c r="B75" s="8">
        <v>17740.79</v>
      </c>
    </row>
    <row r="76" spans="1:2" x14ac:dyDescent="0.25">
      <c r="A76" s="4" t="s">
        <v>22</v>
      </c>
      <c r="B76" s="8">
        <v>234256.57</v>
      </c>
    </row>
    <row r="77" spans="1:2" x14ac:dyDescent="0.25">
      <c r="A77" s="4" t="s">
        <v>23</v>
      </c>
      <c r="B77" s="8">
        <v>456</v>
      </c>
    </row>
    <row r="78" spans="1:2" x14ac:dyDescent="0.25">
      <c r="A78" s="4" t="s">
        <v>24</v>
      </c>
      <c r="B78" s="8">
        <v>3661.84</v>
      </c>
    </row>
    <row r="79" spans="1:2" x14ac:dyDescent="0.25">
      <c r="A79" s="4" t="s">
        <v>25</v>
      </c>
      <c r="B79" s="8">
        <v>166918.82999999999</v>
      </c>
    </row>
    <row r="80" spans="1:2" x14ac:dyDescent="0.25">
      <c r="A80" s="4" t="s">
        <v>26</v>
      </c>
      <c r="B80" s="8">
        <v>350468.96</v>
      </c>
    </row>
    <row r="81" spans="1:2" x14ac:dyDescent="0.25">
      <c r="A81" s="4" t="s">
        <v>27</v>
      </c>
      <c r="B81" s="8">
        <v>255133.91</v>
      </c>
    </row>
    <row r="82" spans="1:2" x14ac:dyDescent="0.25">
      <c r="A82" s="4" t="s">
        <v>2</v>
      </c>
      <c r="B82" s="8">
        <v>18460</v>
      </c>
    </row>
    <row r="83" spans="1:2" x14ac:dyDescent="0.25">
      <c r="A83" s="4" t="s">
        <v>3</v>
      </c>
      <c r="B83" s="8">
        <v>253021.76</v>
      </c>
    </row>
    <row r="84" spans="1:2" x14ac:dyDescent="0.25">
      <c r="A84" s="4" t="s">
        <v>4</v>
      </c>
      <c r="B84" s="8">
        <v>77768.47</v>
      </c>
    </row>
    <row r="85" spans="1:2" x14ac:dyDescent="0.25">
      <c r="A85" s="4" t="s">
        <v>5</v>
      </c>
      <c r="B85" s="8">
        <v>3957</v>
      </c>
    </row>
    <row r="86" spans="1:2" x14ac:dyDescent="0.25">
      <c r="A86" s="4" t="s">
        <v>6</v>
      </c>
      <c r="B86" s="8">
        <v>19068.669999999998</v>
      </c>
    </row>
    <row r="87" spans="1:2" x14ac:dyDescent="0.25">
      <c r="A87" s="4" t="s">
        <v>7</v>
      </c>
      <c r="B87" s="8">
        <v>150242.07</v>
      </c>
    </row>
    <row r="88" spans="1:2" x14ac:dyDescent="0.25">
      <c r="A88" s="4" t="s">
        <v>8</v>
      </c>
      <c r="B88" s="8">
        <v>428261.27</v>
      </c>
    </row>
    <row r="89" spans="1:2" x14ac:dyDescent="0.25">
      <c r="A89" s="4" t="s">
        <v>9</v>
      </c>
      <c r="B89" s="8">
        <v>141345.03</v>
      </c>
    </row>
    <row r="90" spans="1:2" x14ac:dyDescent="0.25">
      <c r="A90" s="4" t="s">
        <v>10</v>
      </c>
      <c r="B90" s="8">
        <v>231460.17</v>
      </c>
    </row>
    <row r="91" spans="1:2" x14ac:dyDescent="0.25">
      <c r="A91" s="4" t="s">
        <v>11</v>
      </c>
      <c r="B91" s="8">
        <v>332180.5</v>
      </c>
    </row>
    <row r="92" spans="1:2" x14ac:dyDescent="0.25">
      <c r="A92" s="4" t="s">
        <v>12</v>
      </c>
      <c r="B92" s="8">
        <v>152980.20000000001</v>
      </c>
    </row>
    <row r="93" spans="1:2" x14ac:dyDescent="0.25">
      <c r="A93" s="4" t="s">
        <v>13</v>
      </c>
      <c r="B93" s="8">
        <v>94061</v>
      </c>
    </row>
    <row r="94" spans="1:2" x14ac:dyDescent="0.25">
      <c r="A94" s="4" t="s">
        <v>14</v>
      </c>
      <c r="B94" s="8">
        <v>21224.5</v>
      </c>
    </row>
    <row r="95" spans="1:2" x14ac:dyDescent="0.25">
      <c r="A95" s="4" t="s">
        <v>28</v>
      </c>
      <c r="B95" s="8">
        <v>2365.2199999999998</v>
      </c>
    </row>
    <row r="96" spans="1:2" x14ac:dyDescent="0.25">
      <c r="A96" s="4" t="s">
        <v>15</v>
      </c>
      <c r="B96" s="8">
        <v>164223.10999999999</v>
      </c>
    </row>
    <row r="97" spans="1:2" x14ac:dyDescent="0.25">
      <c r="A97" s="4" t="s">
        <v>16</v>
      </c>
      <c r="B97" s="8">
        <v>158682.94</v>
      </c>
    </row>
    <row r="98" spans="1:2" x14ac:dyDescent="0.25">
      <c r="A98" s="4" t="s">
        <v>17</v>
      </c>
      <c r="B98" s="8">
        <v>567322.67000000004</v>
      </c>
    </row>
    <row r="99" spans="1:2" x14ac:dyDescent="0.25">
      <c r="A99" s="4" t="s">
        <v>18</v>
      </c>
      <c r="B99" s="8">
        <v>171220.88</v>
      </c>
    </row>
    <row r="100" spans="1:2" x14ac:dyDescent="0.25">
      <c r="A100" s="4" t="s">
        <v>19</v>
      </c>
      <c r="B100" s="8">
        <v>120</v>
      </c>
    </row>
    <row r="101" spans="1:2" x14ac:dyDescent="0.25">
      <c r="A101" s="4" t="s">
        <v>20</v>
      </c>
      <c r="B101" s="8">
        <v>31724.12</v>
      </c>
    </row>
    <row r="102" spans="1:2" x14ac:dyDescent="0.25">
      <c r="A102" s="4" t="s">
        <v>21</v>
      </c>
      <c r="B102" s="8">
        <v>17101.02</v>
      </c>
    </row>
    <row r="103" spans="1:2" x14ac:dyDescent="0.25">
      <c r="A103" s="4" t="s">
        <v>22</v>
      </c>
      <c r="B103" s="8">
        <v>233709.02</v>
      </c>
    </row>
    <row r="104" spans="1:2" x14ac:dyDescent="0.25">
      <c r="A104" s="4" t="s">
        <v>24</v>
      </c>
      <c r="B104" s="8">
        <v>2994.72</v>
      </c>
    </row>
    <row r="105" spans="1:2" x14ac:dyDescent="0.25">
      <c r="A105" s="4" t="s">
        <v>25</v>
      </c>
      <c r="B105" s="8">
        <v>116003.27</v>
      </c>
    </row>
    <row r="106" spans="1:2" x14ac:dyDescent="0.25">
      <c r="A106" s="4" t="s">
        <v>26</v>
      </c>
      <c r="B106" s="8">
        <v>353730.8</v>
      </c>
    </row>
    <row r="107" spans="1:2" x14ac:dyDescent="0.25">
      <c r="A107" s="4" t="s">
        <v>27</v>
      </c>
      <c r="B107" s="8">
        <v>194234.28</v>
      </c>
    </row>
    <row r="108" spans="1:2" x14ac:dyDescent="0.25">
      <c r="A108" s="4" t="s">
        <v>2</v>
      </c>
      <c r="B108" s="8">
        <v>18234</v>
      </c>
    </row>
    <row r="109" spans="1:2" x14ac:dyDescent="0.25">
      <c r="A109" s="4" t="s">
        <v>3</v>
      </c>
      <c r="B109" s="8">
        <v>281896.87</v>
      </c>
    </row>
    <row r="110" spans="1:2" x14ac:dyDescent="0.25">
      <c r="A110" s="4" t="s">
        <v>4</v>
      </c>
      <c r="B110" s="8">
        <v>79276.22</v>
      </c>
    </row>
    <row r="111" spans="1:2" x14ac:dyDescent="0.25">
      <c r="A111" s="4" t="s">
        <v>5</v>
      </c>
      <c r="B111" s="8">
        <v>1420</v>
      </c>
    </row>
    <row r="112" spans="1:2" x14ac:dyDescent="0.25">
      <c r="A112" s="4" t="s">
        <v>6</v>
      </c>
      <c r="B112" s="8">
        <v>8250.51</v>
      </c>
    </row>
    <row r="113" spans="1:2" x14ac:dyDescent="0.25">
      <c r="A113" s="4" t="s">
        <v>7</v>
      </c>
      <c r="B113" s="8">
        <v>149328.26</v>
      </c>
    </row>
    <row r="114" spans="1:2" x14ac:dyDescent="0.25">
      <c r="A114" s="4" t="s">
        <v>8</v>
      </c>
      <c r="B114" s="8">
        <v>534792.36</v>
      </c>
    </row>
    <row r="115" spans="1:2" x14ac:dyDescent="0.25">
      <c r="A115" s="4" t="s">
        <v>9</v>
      </c>
      <c r="B115" s="8">
        <v>155714.23000000001</v>
      </c>
    </row>
    <row r="116" spans="1:2" x14ac:dyDescent="0.25">
      <c r="A116" s="4" t="s">
        <v>10</v>
      </c>
      <c r="B116" s="8">
        <v>243283.89</v>
      </c>
    </row>
    <row r="117" spans="1:2" x14ac:dyDescent="0.25">
      <c r="A117" s="4" t="s">
        <v>11</v>
      </c>
      <c r="B117" s="8">
        <v>621335.36</v>
      </c>
    </row>
    <row r="118" spans="1:2" x14ac:dyDescent="0.25">
      <c r="A118" s="4" t="s">
        <v>12</v>
      </c>
      <c r="B118" s="8">
        <v>196121</v>
      </c>
    </row>
    <row r="119" spans="1:2" x14ac:dyDescent="0.25">
      <c r="A119" s="4" t="s">
        <v>13</v>
      </c>
      <c r="B119" s="8">
        <v>150426</v>
      </c>
    </row>
    <row r="120" spans="1:2" x14ac:dyDescent="0.25">
      <c r="A120" s="4" t="s">
        <v>14</v>
      </c>
      <c r="B120" s="8">
        <v>15704.85</v>
      </c>
    </row>
    <row r="121" spans="1:2" x14ac:dyDescent="0.25">
      <c r="A121" s="4" t="s">
        <v>28</v>
      </c>
      <c r="B121" s="8">
        <v>21695.31</v>
      </c>
    </row>
    <row r="122" spans="1:2" x14ac:dyDescent="0.25">
      <c r="A122" s="4" t="s">
        <v>15</v>
      </c>
      <c r="B122" s="8">
        <v>196639.58</v>
      </c>
    </row>
    <row r="123" spans="1:2" x14ac:dyDescent="0.25">
      <c r="A123" s="4" t="s">
        <v>16</v>
      </c>
      <c r="B123" s="8">
        <v>151101.35</v>
      </c>
    </row>
    <row r="124" spans="1:2" x14ac:dyDescent="0.25">
      <c r="A124" s="4" t="s">
        <v>17</v>
      </c>
      <c r="B124" s="8">
        <v>596058</v>
      </c>
    </row>
    <row r="125" spans="1:2" x14ac:dyDescent="0.25">
      <c r="A125" s="4" t="s">
        <v>18</v>
      </c>
      <c r="B125" s="8">
        <v>184648.24</v>
      </c>
    </row>
    <row r="126" spans="1:2" x14ac:dyDescent="0.25">
      <c r="A126" s="4" t="s">
        <v>19</v>
      </c>
      <c r="B126" s="8">
        <v>680</v>
      </c>
    </row>
    <row r="127" spans="1:2" x14ac:dyDescent="0.25">
      <c r="A127" s="4" t="s">
        <v>20</v>
      </c>
      <c r="B127" s="8">
        <v>33151.26</v>
      </c>
    </row>
    <row r="128" spans="1:2" x14ac:dyDescent="0.25">
      <c r="A128" s="4" t="s">
        <v>21</v>
      </c>
      <c r="B128" s="8">
        <v>20564.189999999999</v>
      </c>
    </row>
    <row r="129" spans="1:2" x14ac:dyDescent="0.25">
      <c r="A129" s="4" t="s">
        <v>22</v>
      </c>
      <c r="B129" s="8">
        <v>290604.61</v>
      </c>
    </row>
    <row r="130" spans="1:2" x14ac:dyDescent="0.25">
      <c r="A130" s="4" t="s">
        <v>24</v>
      </c>
      <c r="B130" s="8">
        <v>2158.8000000000002</v>
      </c>
    </row>
    <row r="131" spans="1:2" x14ac:dyDescent="0.25">
      <c r="A131" s="4" t="s">
        <v>25</v>
      </c>
      <c r="B131" s="8">
        <v>143122.65</v>
      </c>
    </row>
    <row r="132" spans="1:2" x14ac:dyDescent="0.25">
      <c r="A132" s="4" t="s">
        <v>26</v>
      </c>
      <c r="B132" s="8">
        <v>347115.49</v>
      </c>
    </row>
    <row r="133" spans="1:2" x14ac:dyDescent="0.25">
      <c r="A133" s="4" t="s">
        <v>27</v>
      </c>
      <c r="B133" s="8">
        <v>294215.46000000002</v>
      </c>
    </row>
    <row r="134" spans="1:2" x14ac:dyDescent="0.25">
      <c r="A134" s="4" t="s">
        <v>2</v>
      </c>
      <c r="B134" s="8">
        <v>21617</v>
      </c>
    </row>
    <row r="135" spans="1:2" x14ac:dyDescent="0.25">
      <c r="A135" s="4" t="s">
        <v>3</v>
      </c>
      <c r="B135" s="8">
        <v>408951.66</v>
      </c>
    </row>
    <row r="136" spans="1:2" x14ac:dyDescent="0.25">
      <c r="A136" s="4" t="s">
        <v>4</v>
      </c>
      <c r="B136" s="8">
        <v>121135.32</v>
      </c>
    </row>
    <row r="137" spans="1:2" x14ac:dyDescent="0.25">
      <c r="A137" s="4" t="s">
        <v>5</v>
      </c>
      <c r="B137" s="8">
        <v>3433</v>
      </c>
    </row>
    <row r="138" spans="1:2" x14ac:dyDescent="0.25">
      <c r="A138" s="4" t="s">
        <v>6</v>
      </c>
      <c r="B138" s="8">
        <v>8699.0300000000007</v>
      </c>
    </row>
    <row r="139" spans="1:2" x14ac:dyDescent="0.25">
      <c r="A139" s="4" t="s">
        <v>7</v>
      </c>
      <c r="B139" s="8">
        <v>242252.13</v>
      </c>
    </row>
    <row r="140" spans="1:2" x14ac:dyDescent="0.25">
      <c r="A140" s="4" t="s">
        <v>8</v>
      </c>
      <c r="B140" s="8">
        <v>642982.51</v>
      </c>
    </row>
    <row r="141" spans="1:2" x14ac:dyDescent="0.25">
      <c r="A141" s="4" t="s">
        <v>9</v>
      </c>
      <c r="B141" s="8">
        <v>234457.96</v>
      </c>
    </row>
    <row r="142" spans="1:2" x14ac:dyDescent="0.25">
      <c r="A142" s="4" t="s">
        <v>10</v>
      </c>
      <c r="B142" s="8">
        <v>396566.05</v>
      </c>
    </row>
    <row r="143" spans="1:2" x14ac:dyDescent="0.25">
      <c r="A143" s="4" t="s">
        <v>11</v>
      </c>
      <c r="B143" s="8">
        <v>602387.64</v>
      </c>
    </row>
    <row r="144" spans="1:2" x14ac:dyDescent="0.25">
      <c r="A144" s="4" t="s">
        <v>12</v>
      </c>
      <c r="B144" s="8">
        <v>281714.40000000002</v>
      </c>
    </row>
    <row r="145" spans="1:2" x14ac:dyDescent="0.25">
      <c r="A145" s="4" t="s">
        <v>13</v>
      </c>
      <c r="B145" s="8">
        <v>146463</v>
      </c>
    </row>
    <row r="146" spans="1:2" x14ac:dyDescent="0.25">
      <c r="A146" s="4" t="s">
        <v>14</v>
      </c>
      <c r="B146" s="8">
        <v>28789.75</v>
      </c>
    </row>
    <row r="147" spans="1:2" x14ac:dyDescent="0.25">
      <c r="A147" s="4" t="s">
        <v>28</v>
      </c>
      <c r="B147" s="8">
        <v>44259.38</v>
      </c>
    </row>
    <row r="148" spans="1:2" x14ac:dyDescent="0.25">
      <c r="A148" s="4" t="s">
        <v>15</v>
      </c>
      <c r="B148" s="8">
        <v>200541.46</v>
      </c>
    </row>
    <row r="149" spans="1:2" x14ac:dyDescent="0.25">
      <c r="A149" s="4" t="s">
        <v>16</v>
      </c>
      <c r="B149" s="8">
        <v>131011.61</v>
      </c>
    </row>
    <row r="150" spans="1:2" x14ac:dyDescent="0.25">
      <c r="A150" s="4" t="s">
        <v>17</v>
      </c>
      <c r="B150" s="8">
        <v>1059869</v>
      </c>
    </row>
    <row r="151" spans="1:2" x14ac:dyDescent="0.25">
      <c r="A151" s="4" t="s">
        <v>18</v>
      </c>
      <c r="B151" s="8">
        <v>266731.08</v>
      </c>
    </row>
    <row r="152" spans="1:2" x14ac:dyDescent="0.25">
      <c r="A152" s="4" t="s">
        <v>19</v>
      </c>
      <c r="B152" s="8">
        <v>1520</v>
      </c>
    </row>
    <row r="153" spans="1:2" x14ac:dyDescent="0.25">
      <c r="A153" s="4" t="s">
        <v>20</v>
      </c>
      <c r="B153" s="8">
        <v>54327.7</v>
      </c>
    </row>
    <row r="154" spans="1:2" x14ac:dyDescent="0.25">
      <c r="A154" s="4" t="s">
        <v>21</v>
      </c>
      <c r="B154" s="8">
        <v>56700.55</v>
      </c>
    </row>
    <row r="155" spans="1:2" x14ac:dyDescent="0.25">
      <c r="A155" s="4" t="s">
        <v>22</v>
      </c>
      <c r="B155" s="8">
        <v>379295.85</v>
      </c>
    </row>
    <row r="156" spans="1:2" x14ac:dyDescent="0.25">
      <c r="A156" s="4" t="s">
        <v>24</v>
      </c>
      <c r="B156" s="8">
        <v>3444.2</v>
      </c>
    </row>
    <row r="157" spans="1:2" x14ac:dyDescent="0.25">
      <c r="A157" s="4" t="s">
        <v>25</v>
      </c>
      <c r="B157" s="8">
        <v>226984.34</v>
      </c>
    </row>
    <row r="158" spans="1:2" x14ac:dyDescent="0.25">
      <c r="A158" s="4" t="s">
        <v>26</v>
      </c>
      <c r="B158" s="8">
        <v>596846.01</v>
      </c>
    </row>
    <row r="159" spans="1:2" x14ac:dyDescent="0.25">
      <c r="A159" s="4" t="s">
        <v>27</v>
      </c>
      <c r="B159" s="8">
        <v>407829.92</v>
      </c>
    </row>
    <row r="160" spans="1:2" x14ac:dyDescent="0.25">
      <c r="A160" s="4" t="s">
        <v>2</v>
      </c>
      <c r="B160" s="8">
        <v>14145</v>
      </c>
    </row>
    <row r="161" spans="1:2" x14ac:dyDescent="0.25">
      <c r="A161" s="4" t="s">
        <v>3</v>
      </c>
      <c r="B161" s="8">
        <v>315423.78000000003</v>
      </c>
    </row>
    <row r="162" spans="1:2" x14ac:dyDescent="0.25">
      <c r="A162" s="4" t="s">
        <v>4</v>
      </c>
      <c r="B162" s="8">
        <v>116703.92</v>
      </c>
    </row>
    <row r="163" spans="1:2" x14ac:dyDescent="0.25">
      <c r="A163" s="4" t="s">
        <v>5</v>
      </c>
      <c r="B163" s="8">
        <v>2074</v>
      </c>
    </row>
    <row r="164" spans="1:2" x14ac:dyDescent="0.25">
      <c r="A164" s="4" t="s">
        <v>6</v>
      </c>
      <c r="B164" s="8">
        <v>13369.54</v>
      </c>
    </row>
    <row r="165" spans="1:2" x14ac:dyDescent="0.25">
      <c r="A165" s="4" t="s">
        <v>7</v>
      </c>
      <c r="B165" s="8">
        <v>208289.24</v>
      </c>
    </row>
    <row r="166" spans="1:2" x14ac:dyDescent="0.25">
      <c r="A166" s="4" t="s">
        <v>8</v>
      </c>
      <c r="B166" s="8">
        <v>726807.45</v>
      </c>
    </row>
    <row r="167" spans="1:2" x14ac:dyDescent="0.25">
      <c r="A167" s="4" t="s">
        <v>9</v>
      </c>
      <c r="B167" s="8">
        <v>187942.95</v>
      </c>
    </row>
    <row r="168" spans="1:2" x14ac:dyDescent="0.25">
      <c r="A168" s="4" t="s">
        <v>10</v>
      </c>
      <c r="B168" s="8">
        <v>333945.87</v>
      </c>
    </row>
    <row r="169" spans="1:2" x14ac:dyDescent="0.25">
      <c r="A169" s="4" t="s">
        <v>11</v>
      </c>
      <c r="B169" s="8">
        <v>404340.5</v>
      </c>
    </row>
    <row r="170" spans="1:2" x14ac:dyDescent="0.25">
      <c r="A170" s="4" t="s">
        <v>12</v>
      </c>
      <c r="B170" s="8">
        <v>253882.4</v>
      </c>
    </row>
    <row r="171" spans="1:2" x14ac:dyDescent="0.25">
      <c r="A171" s="4" t="s">
        <v>13</v>
      </c>
      <c r="B171" s="8">
        <v>90248</v>
      </c>
    </row>
    <row r="172" spans="1:2" x14ac:dyDescent="0.25">
      <c r="A172" s="4" t="s">
        <v>14</v>
      </c>
      <c r="B172" s="8">
        <v>25483.1</v>
      </c>
    </row>
    <row r="173" spans="1:2" x14ac:dyDescent="0.25">
      <c r="A173" s="4" t="s">
        <v>28</v>
      </c>
      <c r="B173" s="8">
        <v>36207.279999999999</v>
      </c>
    </row>
    <row r="174" spans="1:2" x14ac:dyDescent="0.25">
      <c r="A174" s="4" t="s">
        <v>15</v>
      </c>
      <c r="B174" s="8">
        <v>153237.54</v>
      </c>
    </row>
    <row r="175" spans="1:2" x14ac:dyDescent="0.25">
      <c r="A175" s="4" t="s">
        <v>16</v>
      </c>
      <c r="B175" s="8">
        <v>93246.35</v>
      </c>
    </row>
    <row r="176" spans="1:2" x14ac:dyDescent="0.25">
      <c r="A176" s="4" t="s">
        <v>17</v>
      </c>
      <c r="B176" s="8">
        <v>1000761.33</v>
      </c>
    </row>
    <row r="177" spans="1:2" x14ac:dyDescent="0.25">
      <c r="A177" s="4" t="s">
        <v>18</v>
      </c>
      <c r="B177" s="8">
        <v>175485.7</v>
      </c>
    </row>
    <row r="178" spans="1:2" x14ac:dyDescent="0.25">
      <c r="A178" s="4" t="s">
        <v>19</v>
      </c>
      <c r="B178" s="8">
        <v>760</v>
      </c>
    </row>
    <row r="179" spans="1:2" x14ac:dyDescent="0.25">
      <c r="A179" s="4" t="s">
        <v>20</v>
      </c>
      <c r="B179" s="8">
        <v>31501.919999999998</v>
      </c>
    </row>
    <row r="180" spans="1:2" x14ac:dyDescent="0.25">
      <c r="A180" s="4" t="s">
        <v>21</v>
      </c>
      <c r="B180" s="8">
        <v>42066.79</v>
      </c>
    </row>
    <row r="181" spans="1:2" x14ac:dyDescent="0.25">
      <c r="A181" s="4" t="s">
        <v>22</v>
      </c>
      <c r="B181" s="8">
        <v>264362.77</v>
      </c>
    </row>
    <row r="182" spans="1:2" x14ac:dyDescent="0.25">
      <c r="A182" s="4" t="s">
        <v>23</v>
      </c>
      <c r="B182" s="8">
        <v>380</v>
      </c>
    </row>
    <row r="183" spans="1:2" x14ac:dyDescent="0.25">
      <c r="A183" s="4" t="s">
        <v>24</v>
      </c>
      <c r="B183" s="8">
        <v>1573.88</v>
      </c>
    </row>
    <row r="184" spans="1:2" x14ac:dyDescent="0.25">
      <c r="A184" s="4" t="s">
        <v>25</v>
      </c>
      <c r="B184" s="8">
        <v>254190.85</v>
      </c>
    </row>
    <row r="185" spans="1:2" x14ac:dyDescent="0.25">
      <c r="A185" s="4" t="s">
        <v>26</v>
      </c>
      <c r="B185" s="8">
        <v>517836.01</v>
      </c>
    </row>
    <row r="186" spans="1:2" x14ac:dyDescent="0.25">
      <c r="A186" s="4" t="s">
        <v>27</v>
      </c>
      <c r="B186" s="8">
        <v>462276.13</v>
      </c>
    </row>
    <row r="187" spans="1:2" x14ac:dyDescent="0.25">
      <c r="A187" s="4" t="s">
        <v>2</v>
      </c>
      <c r="B187" s="8">
        <v>7842</v>
      </c>
    </row>
    <row r="188" spans="1:2" x14ac:dyDescent="0.25">
      <c r="A188" s="4" t="s">
        <v>3</v>
      </c>
      <c r="B188" s="8">
        <v>295709.12</v>
      </c>
    </row>
    <row r="189" spans="1:2" x14ac:dyDescent="0.25">
      <c r="A189" s="4" t="s">
        <v>4</v>
      </c>
      <c r="B189" s="8">
        <v>103644.75</v>
      </c>
    </row>
    <row r="190" spans="1:2" x14ac:dyDescent="0.25">
      <c r="A190" s="4" t="s">
        <v>5</v>
      </c>
      <c r="B190" s="8">
        <v>1420</v>
      </c>
    </row>
    <row r="191" spans="1:2" x14ac:dyDescent="0.25">
      <c r="A191" s="4" t="s">
        <v>6</v>
      </c>
      <c r="B191" s="8">
        <v>6569.77</v>
      </c>
    </row>
    <row r="192" spans="1:2" x14ac:dyDescent="0.25">
      <c r="A192" s="4" t="s">
        <v>7</v>
      </c>
      <c r="B192" s="8">
        <v>154747.39000000001</v>
      </c>
    </row>
    <row r="193" spans="1:2" x14ac:dyDescent="0.25">
      <c r="A193" s="4" t="s">
        <v>8</v>
      </c>
      <c r="B193" s="8">
        <v>304174.94</v>
      </c>
    </row>
    <row r="194" spans="1:2" x14ac:dyDescent="0.25">
      <c r="A194" s="4" t="s">
        <v>9</v>
      </c>
      <c r="B194" s="8">
        <v>110522.1</v>
      </c>
    </row>
    <row r="195" spans="1:2" x14ac:dyDescent="0.25">
      <c r="A195" s="4" t="s">
        <v>10</v>
      </c>
      <c r="B195" s="8">
        <v>189824.15</v>
      </c>
    </row>
    <row r="196" spans="1:2" x14ac:dyDescent="0.25">
      <c r="A196" s="4" t="s">
        <v>11</v>
      </c>
      <c r="B196" s="8">
        <v>386576.5</v>
      </c>
    </row>
    <row r="197" spans="1:2" x14ac:dyDescent="0.25">
      <c r="A197" s="4" t="s">
        <v>12</v>
      </c>
      <c r="B197" s="8">
        <v>165053.70000000001</v>
      </c>
    </row>
    <row r="198" spans="1:2" x14ac:dyDescent="0.25">
      <c r="A198" s="4" t="s">
        <v>13</v>
      </c>
      <c r="B198" s="8">
        <v>76558</v>
      </c>
    </row>
    <row r="199" spans="1:2" x14ac:dyDescent="0.25">
      <c r="A199" s="4" t="s">
        <v>14</v>
      </c>
      <c r="B199" s="8">
        <v>20136.25</v>
      </c>
    </row>
    <row r="200" spans="1:2" x14ac:dyDescent="0.25">
      <c r="A200" s="4" t="s">
        <v>28</v>
      </c>
      <c r="B200" s="8">
        <v>16473.86</v>
      </c>
    </row>
    <row r="201" spans="1:2" x14ac:dyDescent="0.25">
      <c r="A201" s="4" t="s">
        <v>15</v>
      </c>
      <c r="B201" s="8">
        <v>116028.28</v>
      </c>
    </row>
    <row r="202" spans="1:2" x14ac:dyDescent="0.25">
      <c r="A202" s="4" t="s">
        <v>16</v>
      </c>
      <c r="B202" s="8">
        <v>92995.41</v>
      </c>
    </row>
    <row r="203" spans="1:2" x14ac:dyDescent="0.25">
      <c r="A203" s="4" t="s">
        <v>17</v>
      </c>
      <c r="B203" s="8">
        <v>588220.82999999996</v>
      </c>
    </row>
    <row r="204" spans="1:2" x14ac:dyDescent="0.25">
      <c r="A204" s="4" t="s">
        <v>18</v>
      </c>
      <c r="B204" s="8">
        <v>46366.400000000001</v>
      </c>
    </row>
    <row r="205" spans="1:2" x14ac:dyDescent="0.25">
      <c r="A205" s="4" t="s">
        <v>19</v>
      </c>
      <c r="B205" s="8">
        <v>240</v>
      </c>
    </row>
    <row r="206" spans="1:2" x14ac:dyDescent="0.25">
      <c r="A206" s="4" t="s">
        <v>20</v>
      </c>
      <c r="B206" s="8">
        <v>22738.639999999999</v>
      </c>
    </row>
    <row r="207" spans="1:2" x14ac:dyDescent="0.25">
      <c r="A207" s="4" t="s">
        <v>21</v>
      </c>
      <c r="B207" s="8">
        <v>18720.939999999999</v>
      </c>
    </row>
    <row r="208" spans="1:2" x14ac:dyDescent="0.25">
      <c r="A208" s="4" t="s">
        <v>22</v>
      </c>
      <c r="B208" s="8">
        <v>236108.95</v>
      </c>
    </row>
    <row r="209" spans="1:2" x14ac:dyDescent="0.25">
      <c r="A209" s="4" t="s">
        <v>23</v>
      </c>
      <c r="B209" s="8">
        <v>532</v>
      </c>
    </row>
    <row r="210" spans="1:2" x14ac:dyDescent="0.25">
      <c r="A210" s="4" t="s">
        <v>24</v>
      </c>
      <c r="B210" s="8">
        <v>1009.36</v>
      </c>
    </row>
    <row r="211" spans="1:2" x14ac:dyDescent="0.25">
      <c r="A211" s="4" t="s">
        <v>25</v>
      </c>
      <c r="B211" s="8">
        <v>112666.19</v>
      </c>
    </row>
    <row r="212" spans="1:2" x14ac:dyDescent="0.25">
      <c r="A212" s="4" t="s">
        <v>26</v>
      </c>
      <c r="B212" s="8">
        <v>293376.94</v>
      </c>
    </row>
    <row r="213" spans="1:2" x14ac:dyDescent="0.25">
      <c r="A213" s="4" t="s">
        <v>27</v>
      </c>
      <c r="B213" s="8">
        <v>170689.95</v>
      </c>
    </row>
    <row r="214" spans="1:2" x14ac:dyDescent="0.25">
      <c r="A214" s="4" t="s">
        <v>2</v>
      </c>
      <c r="B214" s="8">
        <v>17894</v>
      </c>
    </row>
    <row r="215" spans="1:2" x14ac:dyDescent="0.25">
      <c r="A215" s="4" t="s">
        <v>3</v>
      </c>
      <c r="B215" s="8">
        <v>395096.08</v>
      </c>
    </row>
    <row r="216" spans="1:2" x14ac:dyDescent="0.25">
      <c r="A216" s="4" t="s">
        <v>4</v>
      </c>
      <c r="B216" s="8">
        <v>99361.88</v>
      </c>
    </row>
    <row r="217" spans="1:2" x14ac:dyDescent="0.25">
      <c r="A217" s="4" t="s">
        <v>5</v>
      </c>
      <c r="B217" s="8">
        <v>1722</v>
      </c>
    </row>
    <row r="218" spans="1:2" x14ac:dyDescent="0.25">
      <c r="A218" s="4" t="s">
        <v>6</v>
      </c>
      <c r="B218" s="8">
        <v>13601.48</v>
      </c>
    </row>
    <row r="219" spans="1:2" x14ac:dyDescent="0.25">
      <c r="A219" s="4" t="s">
        <v>7</v>
      </c>
      <c r="B219" s="8">
        <v>121735.96</v>
      </c>
    </row>
    <row r="220" spans="1:2" x14ac:dyDescent="0.25">
      <c r="A220" s="4" t="s">
        <v>8</v>
      </c>
      <c r="B220" s="8">
        <v>367032.22</v>
      </c>
    </row>
    <row r="221" spans="1:2" x14ac:dyDescent="0.25">
      <c r="A221" s="4" t="s">
        <v>9</v>
      </c>
      <c r="B221" s="8">
        <v>91614.85</v>
      </c>
    </row>
    <row r="222" spans="1:2" x14ac:dyDescent="0.25">
      <c r="A222" s="4" t="s">
        <v>10</v>
      </c>
      <c r="B222" s="8">
        <v>194274.53</v>
      </c>
    </row>
    <row r="223" spans="1:2" x14ac:dyDescent="0.25">
      <c r="A223" s="4" t="s">
        <v>11</v>
      </c>
      <c r="B223" s="8">
        <v>435012.49</v>
      </c>
    </row>
    <row r="224" spans="1:2" x14ac:dyDescent="0.25">
      <c r="A224" s="4" t="s">
        <v>12</v>
      </c>
      <c r="B224" s="8">
        <v>134488.6</v>
      </c>
    </row>
    <row r="225" spans="1:2" x14ac:dyDescent="0.25">
      <c r="A225" s="4" t="s">
        <v>13</v>
      </c>
      <c r="B225" s="8">
        <v>113827</v>
      </c>
    </row>
    <row r="226" spans="1:2" x14ac:dyDescent="0.25">
      <c r="A226" s="4" t="s">
        <v>14</v>
      </c>
      <c r="B226" s="8">
        <v>17989.5</v>
      </c>
    </row>
    <row r="227" spans="1:2" x14ac:dyDescent="0.25">
      <c r="A227" s="4" t="s">
        <v>28</v>
      </c>
      <c r="B227" s="8">
        <v>24740.94</v>
      </c>
    </row>
    <row r="228" spans="1:2" x14ac:dyDescent="0.25">
      <c r="A228" s="4" t="s">
        <v>15</v>
      </c>
      <c r="B228" s="8">
        <v>137788.56</v>
      </c>
    </row>
    <row r="229" spans="1:2" x14ac:dyDescent="0.25">
      <c r="A229" s="4" t="s">
        <v>16</v>
      </c>
      <c r="B229" s="8">
        <v>136455.28</v>
      </c>
    </row>
    <row r="230" spans="1:2" x14ac:dyDescent="0.25">
      <c r="A230" s="4" t="s">
        <v>17</v>
      </c>
      <c r="B230" s="8">
        <v>572402</v>
      </c>
    </row>
    <row r="231" spans="1:2" x14ac:dyDescent="0.25">
      <c r="A231" s="4" t="s">
        <v>18</v>
      </c>
      <c r="B231" s="8">
        <v>165992.79999999999</v>
      </c>
    </row>
    <row r="232" spans="1:2" x14ac:dyDescent="0.25">
      <c r="A232" s="4" t="s">
        <v>19</v>
      </c>
      <c r="B232" s="8">
        <v>480</v>
      </c>
    </row>
    <row r="233" spans="1:2" x14ac:dyDescent="0.25">
      <c r="A233" s="4" t="s">
        <v>20</v>
      </c>
      <c r="B233" s="8">
        <v>10823.89</v>
      </c>
    </row>
    <row r="234" spans="1:2" x14ac:dyDescent="0.25">
      <c r="A234" s="4" t="s">
        <v>21</v>
      </c>
      <c r="B234" s="8">
        <v>24909.41</v>
      </c>
    </row>
    <row r="235" spans="1:2" x14ac:dyDescent="0.25">
      <c r="A235" s="4" t="s">
        <v>22</v>
      </c>
      <c r="B235" s="8">
        <v>354011.21</v>
      </c>
    </row>
    <row r="236" spans="1:2" x14ac:dyDescent="0.25">
      <c r="A236" s="4" t="s">
        <v>24</v>
      </c>
      <c r="B236" s="8">
        <v>2286.48</v>
      </c>
    </row>
    <row r="237" spans="1:2" x14ac:dyDescent="0.25">
      <c r="A237" s="4" t="s">
        <v>25</v>
      </c>
      <c r="B237" s="8">
        <v>125909</v>
      </c>
    </row>
    <row r="238" spans="1:2" x14ac:dyDescent="0.25">
      <c r="A238" s="4" t="s">
        <v>26</v>
      </c>
      <c r="B238" s="8">
        <v>287543.45</v>
      </c>
    </row>
    <row r="239" spans="1:2" x14ac:dyDescent="0.25">
      <c r="A239" s="4" t="s">
        <v>27</v>
      </c>
      <c r="B239" s="8">
        <v>257457.19</v>
      </c>
    </row>
    <row r="240" spans="1:2" x14ac:dyDescent="0.25">
      <c r="A240" s="4" t="s">
        <v>2</v>
      </c>
      <c r="B240" s="8">
        <v>11567</v>
      </c>
    </row>
    <row r="241" spans="1:2" x14ac:dyDescent="0.25">
      <c r="A241" s="4" t="s">
        <v>3</v>
      </c>
      <c r="B241" s="8">
        <v>218486.34</v>
      </c>
    </row>
    <row r="242" spans="1:2" x14ac:dyDescent="0.25">
      <c r="A242" s="4" t="s">
        <v>4</v>
      </c>
      <c r="B242" s="8">
        <v>69844.350000000006</v>
      </c>
    </row>
    <row r="243" spans="1:2" x14ac:dyDescent="0.25">
      <c r="A243" s="4" t="s">
        <v>5</v>
      </c>
      <c r="B243" s="8">
        <v>3315</v>
      </c>
    </row>
    <row r="244" spans="1:2" x14ac:dyDescent="0.25">
      <c r="A244" s="4" t="s">
        <v>6</v>
      </c>
      <c r="B244" s="8">
        <v>3653.87</v>
      </c>
    </row>
    <row r="245" spans="1:2" x14ac:dyDescent="0.25">
      <c r="A245" s="4" t="s">
        <v>7</v>
      </c>
      <c r="B245" s="8">
        <v>123586.6</v>
      </c>
    </row>
    <row r="246" spans="1:2" x14ac:dyDescent="0.25">
      <c r="A246" s="4" t="s">
        <v>8</v>
      </c>
      <c r="B246" s="8">
        <v>373623.64</v>
      </c>
    </row>
    <row r="247" spans="1:2" x14ac:dyDescent="0.25">
      <c r="A247" s="4" t="s">
        <v>9</v>
      </c>
      <c r="B247" s="8">
        <v>143828.35999999999</v>
      </c>
    </row>
    <row r="248" spans="1:2" x14ac:dyDescent="0.25">
      <c r="A248" s="4" t="s">
        <v>10</v>
      </c>
      <c r="B248" s="8">
        <v>162737.74</v>
      </c>
    </row>
    <row r="249" spans="1:2" x14ac:dyDescent="0.25">
      <c r="A249" s="4" t="s">
        <v>11</v>
      </c>
      <c r="B249" s="8">
        <v>242355.45</v>
      </c>
    </row>
    <row r="250" spans="1:2" x14ac:dyDescent="0.25">
      <c r="A250" s="4" t="s">
        <v>12</v>
      </c>
      <c r="B250" s="8">
        <v>120574.6</v>
      </c>
    </row>
    <row r="251" spans="1:2" x14ac:dyDescent="0.25">
      <c r="A251" s="4" t="s">
        <v>13</v>
      </c>
      <c r="B251" s="8">
        <v>102343</v>
      </c>
    </row>
    <row r="252" spans="1:2" x14ac:dyDescent="0.25">
      <c r="A252" s="4" t="s">
        <v>14</v>
      </c>
      <c r="B252" s="8">
        <v>21205.45</v>
      </c>
    </row>
    <row r="253" spans="1:2" x14ac:dyDescent="0.25">
      <c r="A253" s="4" t="s">
        <v>28</v>
      </c>
      <c r="B253" s="8">
        <v>16388.400000000001</v>
      </c>
    </row>
    <row r="254" spans="1:2" x14ac:dyDescent="0.25">
      <c r="A254" s="4" t="s">
        <v>15</v>
      </c>
      <c r="B254" s="8">
        <v>150183.9</v>
      </c>
    </row>
    <row r="255" spans="1:2" x14ac:dyDescent="0.25">
      <c r="A255" s="4" t="s">
        <v>16</v>
      </c>
      <c r="B255" s="8">
        <v>111478.07</v>
      </c>
    </row>
    <row r="256" spans="1:2" x14ac:dyDescent="0.25">
      <c r="A256" s="4" t="s">
        <v>17</v>
      </c>
      <c r="B256" s="8">
        <v>515462</v>
      </c>
    </row>
    <row r="257" spans="1:2" x14ac:dyDescent="0.25">
      <c r="A257" s="4" t="s">
        <v>18</v>
      </c>
      <c r="B257" s="8">
        <v>128624.26</v>
      </c>
    </row>
    <row r="258" spans="1:2" x14ac:dyDescent="0.25">
      <c r="A258" s="4" t="s">
        <v>20</v>
      </c>
      <c r="B258" s="8">
        <v>13879.98</v>
      </c>
    </row>
    <row r="259" spans="1:2" x14ac:dyDescent="0.25">
      <c r="A259" s="4" t="s">
        <v>21</v>
      </c>
      <c r="B259" s="8">
        <v>15421.47</v>
      </c>
    </row>
    <row r="260" spans="1:2" x14ac:dyDescent="0.25">
      <c r="A260" s="4" t="s">
        <v>22</v>
      </c>
      <c r="B260" s="8">
        <v>199615.13</v>
      </c>
    </row>
    <row r="261" spans="1:2" x14ac:dyDescent="0.25">
      <c r="A261" s="4" t="s">
        <v>23</v>
      </c>
      <c r="B261" s="8">
        <v>760</v>
      </c>
    </row>
    <row r="262" spans="1:2" x14ac:dyDescent="0.25">
      <c r="A262" s="4" t="s">
        <v>24</v>
      </c>
      <c r="B262" s="8">
        <v>2013.44</v>
      </c>
    </row>
    <row r="263" spans="1:2" x14ac:dyDescent="0.25">
      <c r="A263" s="4" t="s">
        <v>25</v>
      </c>
      <c r="B263" s="8">
        <v>120580.03</v>
      </c>
    </row>
    <row r="264" spans="1:2" x14ac:dyDescent="0.25">
      <c r="A264" s="4" t="s">
        <v>26</v>
      </c>
      <c r="B264" s="8">
        <v>322729.8</v>
      </c>
    </row>
    <row r="265" spans="1:2" x14ac:dyDescent="0.25">
      <c r="A265" s="4" t="s">
        <v>27</v>
      </c>
      <c r="B265" s="8">
        <v>248037.03</v>
      </c>
    </row>
    <row r="266" spans="1:2" x14ac:dyDescent="0.25">
      <c r="A266" s="4" t="s">
        <v>2</v>
      </c>
      <c r="B266" s="8">
        <v>13927</v>
      </c>
    </row>
    <row r="267" spans="1:2" x14ac:dyDescent="0.25">
      <c r="A267" s="4" t="s">
        <v>3</v>
      </c>
      <c r="B267" s="8">
        <v>216638.68</v>
      </c>
    </row>
    <row r="268" spans="1:2" x14ac:dyDescent="0.25">
      <c r="A268" s="4" t="s">
        <v>4</v>
      </c>
      <c r="B268" s="8">
        <v>70091.05</v>
      </c>
    </row>
    <row r="269" spans="1:2" x14ac:dyDescent="0.25">
      <c r="A269" s="4" t="s">
        <v>5</v>
      </c>
      <c r="B269" s="8">
        <v>1722</v>
      </c>
    </row>
    <row r="270" spans="1:2" x14ac:dyDescent="0.25">
      <c r="A270" s="4" t="s">
        <v>6</v>
      </c>
      <c r="B270" s="8">
        <v>3138.87</v>
      </c>
    </row>
    <row r="271" spans="1:2" x14ac:dyDescent="0.25">
      <c r="A271" s="4" t="s">
        <v>7</v>
      </c>
      <c r="B271" s="8">
        <v>128549.71</v>
      </c>
    </row>
    <row r="272" spans="1:2" x14ac:dyDescent="0.25">
      <c r="A272" s="4" t="s">
        <v>8</v>
      </c>
      <c r="B272" s="8">
        <v>437967.44</v>
      </c>
    </row>
    <row r="273" spans="1:2" x14ac:dyDescent="0.25">
      <c r="A273" s="4" t="s">
        <v>9</v>
      </c>
      <c r="B273" s="8">
        <v>124716.68</v>
      </c>
    </row>
    <row r="274" spans="1:2" x14ac:dyDescent="0.25">
      <c r="A274" s="4" t="s">
        <v>10</v>
      </c>
      <c r="B274" s="8">
        <v>183870.91</v>
      </c>
    </row>
    <row r="275" spans="1:2" x14ac:dyDescent="0.25">
      <c r="A275" s="4" t="s">
        <v>11</v>
      </c>
      <c r="B275" s="8">
        <v>361977.32</v>
      </c>
    </row>
    <row r="276" spans="1:2" x14ac:dyDescent="0.25">
      <c r="A276" s="4" t="s">
        <v>12</v>
      </c>
      <c r="B276" s="8">
        <v>132529</v>
      </c>
    </row>
    <row r="277" spans="1:2" x14ac:dyDescent="0.25">
      <c r="A277" s="4" t="s">
        <v>13</v>
      </c>
      <c r="B277" s="8">
        <v>114008</v>
      </c>
    </row>
    <row r="278" spans="1:2" x14ac:dyDescent="0.25">
      <c r="A278" s="4" t="s">
        <v>14</v>
      </c>
      <c r="B278" s="8">
        <v>17623.349999999999</v>
      </c>
    </row>
    <row r="279" spans="1:2" x14ac:dyDescent="0.25">
      <c r="A279" s="4" t="s">
        <v>28</v>
      </c>
      <c r="B279" s="8">
        <v>11670.88</v>
      </c>
    </row>
    <row r="280" spans="1:2" x14ac:dyDescent="0.25">
      <c r="A280" s="4" t="s">
        <v>15</v>
      </c>
      <c r="B280" s="8">
        <v>199939.67</v>
      </c>
    </row>
    <row r="281" spans="1:2" x14ac:dyDescent="0.25">
      <c r="A281" s="4" t="s">
        <v>16</v>
      </c>
      <c r="B281" s="8">
        <v>127030.16</v>
      </c>
    </row>
    <row r="282" spans="1:2" x14ac:dyDescent="0.25">
      <c r="A282" s="4" t="s">
        <v>17</v>
      </c>
      <c r="B282" s="8">
        <v>604649.57999999996</v>
      </c>
    </row>
    <row r="283" spans="1:2" x14ac:dyDescent="0.25">
      <c r="A283" s="4" t="s">
        <v>18</v>
      </c>
      <c r="B283" s="8">
        <v>147344.78</v>
      </c>
    </row>
    <row r="284" spans="1:2" x14ac:dyDescent="0.25">
      <c r="A284" s="4" t="s">
        <v>20</v>
      </c>
      <c r="B284" s="8">
        <v>18844.43</v>
      </c>
    </row>
    <row r="285" spans="1:2" x14ac:dyDescent="0.25">
      <c r="A285" s="4" t="s">
        <v>21</v>
      </c>
      <c r="B285" s="8">
        <v>25499.63</v>
      </c>
    </row>
    <row r="286" spans="1:2" x14ac:dyDescent="0.25">
      <c r="A286" s="4" t="s">
        <v>22</v>
      </c>
      <c r="B286" s="8">
        <v>206847.61</v>
      </c>
    </row>
    <row r="287" spans="1:2" x14ac:dyDescent="0.25">
      <c r="A287" s="4" t="s">
        <v>23</v>
      </c>
      <c r="B287" s="8">
        <v>152</v>
      </c>
    </row>
    <row r="288" spans="1:2" x14ac:dyDescent="0.25">
      <c r="A288" s="4" t="s">
        <v>24</v>
      </c>
      <c r="B288" s="8">
        <v>3625.88</v>
      </c>
    </row>
    <row r="289" spans="1:2" x14ac:dyDescent="0.25">
      <c r="A289" s="4" t="s">
        <v>25</v>
      </c>
      <c r="B289" s="8">
        <v>139079.62</v>
      </c>
    </row>
    <row r="290" spans="1:2" x14ac:dyDescent="0.25">
      <c r="A290" s="4" t="s">
        <v>26</v>
      </c>
      <c r="B290" s="8">
        <v>332840.43</v>
      </c>
    </row>
    <row r="291" spans="1:2" x14ac:dyDescent="0.25">
      <c r="A291" s="4" t="s">
        <v>27</v>
      </c>
      <c r="B291" s="8">
        <v>276529.51</v>
      </c>
    </row>
    <row r="292" spans="1:2" x14ac:dyDescent="0.25">
      <c r="A292" s="4" t="s">
        <v>2</v>
      </c>
      <c r="B292" s="8">
        <v>11137</v>
      </c>
    </row>
    <row r="293" spans="1:2" x14ac:dyDescent="0.25">
      <c r="A293" s="4" t="s">
        <v>3</v>
      </c>
      <c r="B293" s="8">
        <v>293940.44</v>
      </c>
    </row>
    <row r="294" spans="1:2" x14ac:dyDescent="0.25">
      <c r="A294" s="4" t="s">
        <v>4</v>
      </c>
      <c r="B294" s="8">
        <v>90714.35</v>
      </c>
    </row>
    <row r="295" spans="1:2" x14ac:dyDescent="0.25">
      <c r="A295" s="4" t="s">
        <v>5</v>
      </c>
      <c r="B295" s="8">
        <v>574</v>
      </c>
    </row>
    <row r="296" spans="1:2" x14ac:dyDescent="0.25">
      <c r="A296" s="4" t="s">
        <v>6</v>
      </c>
      <c r="B296" s="8">
        <v>3345.61</v>
      </c>
    </row>
    <row r="297" spans="1:2" x14ac:dyDescent="0.25">
      <c r="A297" s="4" t="s">
        <v>7</v>
      </c>
      <c r="B297" s="8">
        <v>180884.37</v>
      </c>
    </row>
    <row r="298" spans="1:2" x14ac:dyDescent="0.25">
      <c r="A298" s="4" t="s">
        <v>8</v>
      </c>
      <c r="B298" s="8">
        <v>609869.49</v>
      </c>
    </row>
    <row r="299" spans="1:2" x14ac:dyDescent="0.25">
      <c r="A299" s="4" t="s">
        <v>9</v>
      </c>
      <c r="B299" s="8">
        <v>140906.16</v>
      </c>
    </row>
    <row r="300" spans="1:2" x14ac:dyDescent="0.25">
      <c r="A300" s="4" t="s">
        <v>10</v>
      </c>
      <c r="B300" s="8">
        <v>259567.82</v>
      </c>
    </row>
    <row r="301" spans="1:2" x14ac:dyDescent="0.25">
      <c r="A301" s="4" t="s">
        <v>11</v>
      </c>
      <c r="B301" s="8">
        <v>515369.44</v>
      </c>
    </row>
    <row r="302" spans="1:2" x14ac:dyDescent="0.25">
      <c r="A302" s="4" t="s">
        <v>12</v>
      </c>
      <c r="B302" s="8">
        <v>148709.67000000001</v>
      </c>
    </row>
    <row r="303" spans="1:2" x14ac:dyDescent="0.25">
      <c r="A303" s="4" t="s">
        <v>13</v>
      </c>
      <c r="B303" s="8">
        <v>170026</v>
      </c>
    </row>
    <row r="304" spans="1:2" x14ac:dyDescent="0.25">
      <c r="A304" s="4" t="s">
        <v>14</v>
      </c>
      <c r="B304" s="8">
        <v>11812.05</v>
      </c>
    </row>
    <row r="305" spans="1:2" x14ac:dyDescent="0.25">
      <c r="A305" s="4" t="s">
        <v>28</v>
      </c>
      <c r="B305" s="8">
        <v>21332.48</v>
      </c>
    </row>
    <row r="306" spans="1:2" x14ac:dyDescent="0.25">
      <c r="A306" s="4" t="s">
        <v>15</v>
      </c>
      <c r="B306" s="8">
        <v>204127.54</v>
      </c>
    </row>
    <row r="307" spans="1:2" x14ac:dyDescent="0.25">
      <c r="A307" s="4" t="s">
        <v>16</v>
      </c>
      <c r="B307" s="8">
        <v>132290.63</v>
      </c>
    </row>
    <row r="308" spans="1:2" x14ac:dyDescent="0.25">
      <c r="A308" s="4" t="s">
        <v>17</v>
      </c>
      <c r="B308" s="8">
        <v>767931.22</v>
      </c>
    </row>
    <row r="309" spans="1:2" x14ac:dyDescent="0.25">
      <c r="A309" s="4" t="s">
        <v>18</v>
      </c>
      <c r="B309" s="8">
        <v>175042.88</v>
      </c>
    </row>
    <row r="310" spans="1:2" x14ac:dyDescent="0.25">
      <c r="A310" s="4" t="s">
        <v>20</v>
      </c>
      <c r="B310" s="8">
        <v>40572.639999999999</v>
      </c>
    </row>
    <row r="311" spans="1:2" x14ac:dyDescent="0.25">
      <c r="A311" s="4" t="s">
        <v>21</v>
      </c>
      <c r="B311" s="8">
        <v>30923.360000000001</v>
      </c>
    </row>
    <row r="312" spans="1:2" x14ac:dyDescent="0.25">
      <c r="A312" s="4" t="s">
        <v>22</v>
      </c>
      <c r="B312" s="8">
        <v>264900</v>
      </c>
    </row>
    <row r="313" spans="1:2" x14ac:dyDescent="0.25">
      <c r="A313" s="4" t="s">
        <v>23</v>
      </c>
      <c r="B313" s="8">
        <v>304</v>
      </c>
    </row>
    <row r="314" spans="1:2" x14ac:dyDescent="0.25">
      <c r="A314" s="4" t="s">
        <v>24</v>
      </c>
      <c r="B314" s="8">
        <v>2417.36</v>
      </c>
    </row>
    <row r="315" spans="1:2" x14ac:dyDescent="0.25">
      <c r="A315" s="4" t="s">
        <v>25</v>
      </c>
      <c r="B315" s="8">
        <v>212600.47</v>
      </c>
    </row>
    <row r="316" spans="1:2" x14ac:dyDescent="0.25">
      <c r="A316" s="4" t="s">
        <v>26</v>
      </c>
      <c r="B316" s="8">
        <v>437579.45</v>
      </c>
    </row>
    <row r="317" spans="1:2" x14ac:dyDescent="0.25">
      <c r="A317" s="4" t="s">
        <v>27</v>
      </c>
      <c r="B317" s="8">
        <v>323699.8</v>
      </c>
    </row>
    <row r="318" spans="1:2" x14ac:dyDescent="0.25">
      <c r="A318" s="4" t="s">
        <v>2</v>
      </c>
      <c r="B318" s="8">
        <v>17763</v>
      </c>
    </row>
    <row r="319" spans="1:2" x14ac:dyDescent="0.25">
      <c r="A319" s="4" t="s">
        <v>3</v>
      </c>
      <c r="B319" s="8">
        <v>436323.15</v>
      </c>
    </row>
    <row r="320" spans="1:2" x14ac:dyDescent="0.25">
      <c r="A320" s="4" t="s">
        <v>4</v>
      </c>
      <c r="B320" s="8">
        <v>115746.68</v>
      </c>
    </row>
    <row r="321" spans="1:2" x14ac:dyDescent="0.25">
      <c r="A321" s="4" t="s">
        <v>5</v>
      </c>
      <c r="B321" s="8">
        <v>1148</v>
      </c>
    </row>
    <row r="322" spans="1:2" x14ac:dyDescent="0.25">
      <c r="A322" s="4" t="s">
        <v>6</v>
      </c>
      <c r="B322" s="8">
        <v>7715.74</v>
      </c>
    </row>
    <row r="323" spans="1:2" x14ac:dyDescent="0.25">
      <c r="A323" s="4" t="s">
        <v>7</v>
      </c>
      <c r="B323" s="8">
        <v>294964.28000000003</v>
      </c>
    </row>
    <row r="324" spans="1:2" x14ac:dyDescent="0.25">
      <c r="A324" s="4" t="s">
        <v>8</v>
      </c>
      <c r="B324" s="8">
        <v>1062826.78</v>
      </c>
    </row>
    <row r="325" spans="1:2" x14ac:dyDescent="0.25">
      <c r="A325" s="4" t="s">
        <v>9</v>
      </c>
      <c r="B325" s="8">
        <v>247331.75</v>
      </c>
    </row>
    <row r="326" spans="1:2" x14ac:dyDescent="0.25">
      <c r="A326" s="4" t="s">
        <v>10</v>
      </c>
      <c r="B326" s="8">
        <v>328847.46999999997</v>
      </c>
    </row>
    <row r="327" spans="1:2" x14ac:dyDescent="0.25">
      <c r="A327" s="4" t="s">
        <v>11</v>
      </c>
      <c r="B327" s="8">
        <v>558773.92000000004</v>
      </c>
    </row>
    <row r="328" spans="1:2" x14ac:dyDescent="0.25">
      <c r="A328" s="4" t="s">
        <v>12</v>
      </c>
      <c r="B328" s="8">
        <v>235396.96</v>
      </c>
    </row>
    <row r="329" spans="1:2" x14ac:dyDescent="0.25">
      <c r="A329" s="4" t="s">
        <v>13</v>
      </c>
      <c r="B329" s="8">
        <v>287561</v>
      </c>
    </row>
    <row r="330" spans="1:2" x14ac:dyDescent="0.25">
      <c r="A330" s="4" t="s">
        <v>14</v>
      </c>
      <c r="B330" s="8">
        <v>31548.15</v>
      </c>
    </row>
    <row r="331" spans="1:2" x14ac:dyDescent="0.25">
      <c r="A331" s="4" t="s">
        <v>28</v>
      </c>
      <c r="B331" s="8">
        <v>48039.61</v>
      </c>
    </row>
    <row r="332" spans="1:2" x14ac:dyDescent="0.25">
      <c r="A332" s="4" t="s">
        <v>15</v>
      </c>
      <c r="B332" s="8">
        <v>311908.98</v>
      </c>
    </row>
    <row r="333" spans="1:2" x14ac:dyDescent="0.25">
      <c r="A333" s="4" t="s">
        <v>16</v>
      </c>
      <c r="B333" s="8">
        <v>248834.68</v>
      </c>
    </row>
    <row r="334" spans="1:2" x14ac:dyDescent="0.25">
      <c r="A334" s="4" t="s">
        <v>17</v>
      </c>
      <c r="B334" s="8">
        <v>1327410.24</v>
      </c>
    </row>
    <row r="335" spans="1:2" x14ac:dyDescent="0.25">
      <c r="A335" s="4" t="s">
        <v>18</v>
      </c>
      <c r="B335" s="8">
        <v>324515.48</v>
      </c>
    </row>
    <row r="336" spans="1:2" x14ac:dyDescent="0.25">
      <c r="A336" s="4" t="s">
        <v>20</v>
      </c>
      <c r="B336" s="8">
        <v>62729.48</v>
      </c>
    </row>
    <row r="337" spans="1:2" x14ac:dyDescent="0.25">
      <c r="A337" s="4" t="s">
        <v>21</v>
      </c>
      <c r="B337" s="8">
        <v>53030.97</v>
      </c>
    </row>
    <row r="338" spans="1:2" x14ac:dyDescent="0.25">
      <c r="A338" s="4" t="s">
        <v>22</v>
      </c>
      <c r="B338" s="8">
        <v>311334.46999999997</v>
      </c>
    </row>
    <row r="339" spans="1:2" x14ac:dyDescent="0.25">
      <c r="A339" s="4" t="s">
        <v>23</v>
      </c>
      <c r="B339" s="8">
        <v>684</v>
      </c>
    </row>
    <row r="340" spans="1:2" x14ac:dyDescent="0.25">
      <c r="A340" s="4" t="s">
        <v>24</v>
      </c>
      <c r="B340" s="8">
        <v>8859.33</v>
      </c>
    </row>
    <row r="341" spans="1:2" x14ac:dyDescent="0.25">
      <c r="A341" s="4" t="s">
        <v>25</v>
      </c>
      <c r="B341" s="8">
        <v>324090.87</v>
      </c>
    </row>
    <row r="342" spans="1:2" x14ac:dyDescent="0.25">
      <c r="A342" s="4" t="s">
        <v>26</v>
      </c>
      <c r="B342" s="8">
        <v>701342.17</v>
      </c>
    </row>
    <row r="343" spans="1:2" x14ac:dyDescent="0.25">
      <c r="A343" s="4" t="s">
        <v>27</v>
      </c>
      <c r="B343" s="8">
        <v>624773.87</v>
      </c>
    </row>
    <row r="344" spans="1:2" x14ac:dyDescent="0.25">
      <c r="A344" s="4" t="s">
        <v>2</v>
      </c>
      <c r="B344" s="8">
        <v>11817</v>
      </c>
    </row>
    <row r="345" spans="1:2" x14ac:dyDescent="0.25">
      <c r="A345" s="4" t="s">
        <v>3</v>
      </c>
      <c r="B345" s="8">
        <v>329690.63</v>
      </c>
    </row>
    <row r="346" spans="1:2" x14ac:dyDescent="0.25">
      <c r="A346" s="4" t="s">
        <v>4</v>
      </c>
      <c r="B346" s="8">
        <v>123045.16</v>
      </c>
    </row>
    <row r="347" spans="1:2" x14ac:dyDescent="0.25">
      <c r="A347" s="4" t="s">
        <v>5</v>
      </c>
      <c r="B347" s="8">
        <v>1722</v>
      </c>
    </row>
    <row r="348" spans="1:2" x14ac:dyDescent="0.25">
      <c r="A348" s="4" t="s">
        <v>6</v>
      </c>
      <c r="B348" s="8">
        <v>5856.74</v>
      </c>
    </row>
    <row r="349" spans="1:2" x14ac:dyDescent="0.25">
      <c r="A349" s="4" t="s">
        <v>7</v>
      </c>
      <c r="B349" s="8">
        <v>272385.71999999997</v>
      </c>
    </row>
    <row r="350" spans="1:2" x14ac:dyDescent="0.25">
      <c r="A350" s="4" t="s">
        <v>8</v>
      </c>
      <c r="B350" s="8">
        <v>857116.99</v>
      </c>
    </row>
    <row r="351" spans="1:2" x14ac:dyDescent="0.25">
      <c r="A351" s="4" t="s">
        <v>9</v>
      </c>
      <c r="B351" s="8">
        <v>163017.35</v>
      </c>
    </row>
    <row r="352" spans="1:2" x14ac:dyDescent="0.25">
      <c r="A352" s="4" t="s">
        <v>10</v>
      </c>
      <c r="B352" s="8">
        <v>310995.18</v>
      </c>
    </row>
    <row r="353" spans="1:2" x14ac:dyDescent="0.25">
      <c r="A353" s="4" t="s">
        <v>11</v>
      </c>
      <c r="B353" s="8">
        <v>352615.96</v>
      </c>
    </row>
    <row r="354" spans="1:2" x14ac:dyDescent="0.25">
      <c r="A354" s="4" t="s">
        <v>12</v>
      </c>
      <c r="B354" s="8">
        <v>174497.5</v>
      </c>
    </row>
    <row r="355" spans="1:2" x14ac:dyDescent="0.25">
      <c r="A355" s="4" t="s">
        <v>13</v>
      </c>
      <c r="B355" s="8">
        <v>225206</v>
      </c>
    </row>
    <row r="356" spans="1:2" x14ac:dyDescent="0.25">
      <c r="A356" s="4" t="s">
        <v>14</v>
      </c>
      <c r="B356" s="8">
        <v>18062.349999999999</v>
      </c>
    </row>
    <row r="357" spans="1:2" x14ac:dyDescent="0.25">
      <c r="A357" s="4" t="s">
        <v>28</v>
      </c>
      <c r="B357" s="8">
        <v>47043.89</v>
      </c>
    </row>
    <row r="358" spans="1:2" x14ac:dyDescent="0.25">
      <c r="A358" s="4" t="s">
        <v>15</v>
      </c>
      <c r="B358" s="8">
        <v>203092.1</v>
      </c>
    </row>
    <row r="359" spans="1:2" x14ac:dyDescent="0.25">
      <c r="A359" s="4" t="s">
        <v>16</v>
      </c>
      <c r="B359" s="8">
        <v>222376.74</v>
      </c>
    </row>
    <row r="360" spans="1:2" x14ac:dyDescent="0.25">
      <c r="A360" s="4" t="s">
        <v>17</v>
      </c>
      <c r="B360" s="8">
        <v>996003.64</v>
      </c>
    </row>
    <row r="361" spans="1:2" x14ac:dyDescent="0.25">
      <c r="A361" s="4" t="s">
        <v>18</v>
      </c>
      <c r="B361" s="8">
        <v>257754.72</v>
      </c>
    </row>
    <row r="362" spans="1:2" x14ac:dyDescent="0.25">
      <c r="A362" s="4" t="s">
        <v>20</v>
      </c>
      <c r="B362" s="8">
        <v>48571.040000000001</v>
      </c>
    </row>
    <row r="363" spans="1:2" x14ac:dyDescent="0.25">
      <c r="A363" s="4" t="s">
        <v>21</v>
      </c>
      <c r="B363" s="8">
        <v>21923.78</v>
      </c>
    </row>
    <row r="364" spans="1:2" x14ac:dyDescent="0.25">
      <c r="A364" s="4" t="s">
        <v>22</v>
      </c>
      <c r="B364" s="8">
        <v>251584.18</v>
      </c>
    </row>
    <row r="365" spans="1:2" x14ac:dyDescent="0.25">
      <c r="A365" s="4" t="s">
        <v>24</v>
      </c>
      <c r="B365" s="8">
        <v>2546.84</v>
      </c>
    </row>
    <row r="366" spans="1:2" x14ac:dyDescent="0.25">
      <c r="A366" s="4" t="s">
        <v>25</v>
      </c>
      <c r="B366" s="8">
        <v>295130.57</v>
      </c>
    </row>
    <row r="367" spans="1:2" x14ac:dyDescent="0.25">
      <c r="A367" s="4" t="s">
        <v>26</v>
      </c>
      <c r="B367" s="8">
        <v>649890.51</v>
      </c>
    </row>
    <row r="368" spans="1:2" x14ac:dyDescent="0.25">
      <c r="A368" s="4" t="s">
        <v>27</v>
      </c>
      <c r="B368" s="8">
        <v>530764.89</v>
      </c>
    </row>
    <row r="369" spans="1:2" x14ac:dyDescent="0.25">
      <c r="A369" s="4" t="s">
        <v>2</v>
      </c>
      <c r="B369" s="8">
        <v>10589</v>
      </c>
    </row>
    <row r="370" spans="1:2" x14ac:dyDescent="0.25">
      <c r="A370" s="4" t="s">
        <v>3</v>
      </c>
      <c r="B370" s="8">
        <v>243506.39</v>
      </c>
    </row>
    <row r="371" spans="1:2" x14ac:dyDescent="0.25">
      <c r="A371" s="4" t="s">
        <v>4</v>
      </c>
      <c r="B371" s="8">
        <v>83668.160000000003</v>
      </c>
    </row>
    <row r="372" spans="1:2" x14ac:dyDescent="0.25">
      <c r="A372" s="4" t="s">
        <v>5</v>
      </c>
      <c r="B372" s="8">
        <v>574</v>
      </c>
    </row>
    <row r="373" spans="1:2" x14ac:dyDescent="0.25">
      <c r="A373" s="4" t="s">
        <v>6</v>
      </c>
      <c r="B373" s="8">
        <v>771.87</v>
      </c>
    </row>
    <row r="374" spans="1:2" x14ac:dyDescent="0.25">
      <c r="A374" s="4" t="s">
        <v>7</v>
      </c>
      <c r="B374" s="8">
        <v>213120.71</v>
      </c>
    </row>
    <row r="375" spans="1:2" x14ac:dyDescent="0.25">
      <c r="A375" s="4" t="s">
        <v>8</v>
      </c>
      <c r="B375" s="8">
        <v>551200.81000000006</v>
      </c>
    </row>
    <row r="376" spans="1:2" x14ac:dyDescent="0.25">
      <c r="A376" s="4" t="s">
        <v>9</v>
      </c>
      <c r="B376" s="8">
        <v>126250.05</v>
      </c>
    </row>
    <row r="377" spans="1:2" x14ac:dyDescent="0.25">
      <c r="A377" s="4" t="s">
        <v>10</v>
      </c>
      <c r="B377" s="8">
        <v>187501.4</v>
      </c>
    </row>
    <row r="378" spans="1:2" x14ac:dyDescent="0.25">
      <c r="A378" s="4" t="s">
        <v>11</v>
      </c>
      <c r="B378" s="8">
        <v>220186.96</v>
      </c>
    </row>
    <row r="379" spans="1:2" x14ac:dyDescent="0.25">
      <c r="A379" s="4" t="s">
        <v>12</v>
      </c>
      <c r="B379" s="8">
        <v>123318.36</v>
      </c>
    </row>
    <row r="380" spans="1:2" x14ac:dyDescent="0.25">
      <c r="A380" s="4" t="s">
        <v>13</v>
      </c>
      <c r="B380" s="8">
        <v>108929</v>
      </c>
    </row>
    <row r="381" spans="1:2" x14ac:dyDescent="0.25">
      <c r="A381" s="4" t="s">
        <v>14</v>
      </c>
      <c r="B381" s="8">
        <v>21065.35</v>
      </c>
    </row>
    <row r="382" spans="1:2" x14ac:dyDescent="0.25">
      <c r="A382" s="4" t="s">
        <v>28</v>
      </c>
      <c r="B382" s="8">
        <v>23777.68</v>
      </c>
    </row>
    <row r="383" spans="1:2" x14ac:dyDescent="0.25">
      <c r="A383" s="4" t="s">
        <v>15</v>
      </c>
      <c r="B383" s="8">
        <v>133741.66</v>
      </c>
    </row>
    <row r="384" spans="1:2" x14ac:dyDescent="0.25">
      <c r="A384" s="4" t="s">
        <v>16</v>
      </c>
      <c r="B384" s="8">
        <v>100004.22</v>
      </c>
    </row>
    <row r="385" spans="1:2" x14ac:dyDescent="0.25">
      <c r="A385" s="4" t="s">
        <v>17</v>
      </c>
      <c r="B385" s="8">
        <v>584089.53</v>
      </c>
    </row>
    <row r="386" spans="1:2" x14ac:dyDescent="0.25">
      <c r="A386" s="4" t="s">
        <v>18</v>
      </c>
      <c r="B386" s="8">
        <v>169126.5</v>
      </c>
    </row>
    <row r="387" spans="1:2" x14ac:dyDescent="0.25">
      <c r="A387" s="4" t="s">
        <v>20</v>
      </c>
      <c r="B387" s="8">
        <v>22765.24</v>
      </c>
    </row>
    <row r="388" spans="1:2" x14ac:dyDescent="0.25">
      <c r="A388" s="4" t="s">
        <v>21</v>
      </c>
      <c r="B388" s="8">
        <v>33653.269999999997</v>
      </c>
    </row>
    <row r="389" spans="1:2" x14ac:dyDescent="0.25">
      <c r="A389" s="4" t="s">
        <v>22</v>
      </c>
      <c r="B389" s="8">
        <v>214026.59</v>
      </c>
    </row>
    <row r="390" spans="1:2" x14ac:dyDescent="0.25">
      <c r="A390" s="4" t="s">
        <v>23</v>
      </c>
      <c r="B390" s="8">
        <v>1064</v>
      </c>
    </row>
    <row r="391" spans="1:2" x14ac:dyDescent="0.25">
      <c r="A391" s="4" t="s">
        <v>24</v>
      </c>
      <c r="B391" s="8">
        <v>2985.76</v>
      </c>
    </row>
    <row r="392" spans="1:2" x14ac:dyDescent="0.25">
      <c r="A392" s="4" t="s">
        <v>25</v>
      </c>
      <c r="B392" s="8">
        <v>176764.33</v>
      </c>
    </row>
    <row r="393" spans="1:2" x14ac:dyDescent="0.25">
      <c r="A393" s="4" t="s">
        <v>26</v>
      </c>
      <c r="B393" s="8">
        <v>321844.78000000003</v>
      </c>
    </row>
    <row r="394" spans="1:2" x14ac:dyDescent="0.25">
      <c r="A394" s="4" t="s">
        <v>27</v>
      </c>
      <c r="B394" s="8">
        <v>310456.84000000003</v>
      </c>
    </row>
    <row r="395" spans="1:2" x14ac:dyDescent="0.25">
      <c r="A395" s="4" t="s">
        <v>2</v>
      </c>
      <c r="B395" s="8">
        <v>9122</v>
      </c>
    </row>
    <row r="396" spans="1:2" x14ac:dyDescent="0.25">
      <c r="A396" s="4" t="s">
        <v>3</v>
      </c>
      <c r="B396" s="8">
        <v>211905.6</v>
      </c>
    </row>
    <row r="397" spans="1:2" x14ac:dyDescent="0.25">
      <c r="A397" s="4" t="s">
        <v>4</v>
      </c>
      <c r="B397" s="8">
        <v>78123.960000000006</v>
      </c>
    </row>
    <row r="398" spans="1:2" x14ac:dyDescent="0.25">
      <c r="A398" s="4" t="s">
        <v>5</v>
      </c>
      <c r="B398" s="8">
        <v>3290</v>
      </c>
    </row>
    <row r="399" spans="1:2" x14ac:dyDescent="0.25">
      <c r="A399" s="4" t="s">
        <v>6</v>
      </c>
      <c r="B399" s="8">
        <v>4955.4799999999996</v>
      </c>
    </row>
    <row r="400" spans="1:2" x14ac:dyDescent="0.25">
      <c r="A400" s="4" t="s">
        <v>7</v>
      </c>
      <c r="B400" s="8">
        <v>146737.57</v>
      </c>
    </row>
    <row r="401" spans="1:2" x14ac:dyDescent="0.25">
      <c r="A401" s="4" t="s">
        <v>8</v>
      </c>
      <c r="B401" s="8">
        <v>628435.97</v>
      </c>
    </row>
    <row r="402" spans="1:2" x14ac:dyDescent="0.25">
      <c r="A402" s="4" t="s">
        <v>9</v>
      </c>
      <c r="B402" s="8">
        <v>139692.85999999999</v>
      </c>
    </row>
    <row r="403" spans="1:2" x14ac:dyDescent="0.25">
      <c r="A403" s="4" t="s">
        <v>10</v>
      </c>
      <c r="B403" s="8">
        <v>220947.20000000001</v>
      </c>
    </row>
    <row r="404" spans="1:2" x14ac:dyDescent="0.25">
      <c r="A404" s="4" t="s">
        <v>11</v>
      </c>
      <c r="B404" s="8">
        <v>431696.85</v>
      </c>
    </row>
    <row r="405" spans="1:2" x14ac:dyDescent="0.25">
      <c r="A405" s="4" t="s">
        <v>12</v>
      </c>
      <c r="B405" s="8">
        <v>134272.4</v>
      </c>
    </row>
    <row r="406" spans="1:2" x14ac:dyDescent="0.25">
      <c r="A406" s="4" t="s">
        <v>13</v>
      </c>
      <c r="B406" s="8">
        <v>102248</v>
      </c>
    </row>
    <row r="407" spans="1:2" x14ac:dyDescent="0.25">
      <c r="A407" s="4" t="s">
        <v>14</v>
      </c>
      <c r="B407" s="8">
        <v>15914.65</v>
      </c>
    </row>
    <row r="408" spans="1:2" x14ac:dyDescent="0.25">
      <c r="A408" s="4" t="s">
        <v>28</v>
      </c>
      <c r="B408" s="8">
        <v>21238.39</v>
      </c>
    </row>
    <row r="409" spans="1:2" x14ac:dyDescent="0.25">
      <c r="A409" s="4" t="s">
        <v>15</v>
      </c>
      <c r="B409" s="8">
        <v>143892.20000000001</v>
      </c>
    </row>
    <row r="410" spans="1:2" x14ac:dyDescent="0.25">
      <c r="A410" s="4" t="s">
        <v>16</v>
      </c>
      <c r="B410" s="8">
        <v>81706.399999999994</v>
      </c>
    </row>
    <row r="411" spans="1:2" x14ac:dyDescent="0.25">
      <c r="A411" s="4" t="s">
        <v>17</v>
      </c>
      <c r="B411" s="8">
        <v>604561.85</v>
      </c>
    </row>
    <row r="412" spans="1:2" x14ac:dyDescent="0.25">
      <c r="A412" s="4" t="s">
        <v>18</v>
      </c>
      <c r="B412" s="8">
        <v>152954.14000000001</v>
      </c>
    </row>
    <row r="413" spans="1:2" x14ac:dyDescent="0.25">
      <c r="A413" s="4" t="s">
        <v>19</v>
      </c>
      <c r="B413" s="8">
        <v>120</v>
      </c>
    </row>
    <row r="414" spans="1:2" x14ac:dyDescent="0.25">
      <c r="A414" s="4" t="s">
        <v>20</v>
      </c>
      <c r="B414" s="8">
        <v>18955.96</v>
      </c>
    </row>
    <row r="415" spans="1:2" x14ac:dyDescent="0.25">
      <c r="A415" s="4" t="s">
        <v>21</v>
      </c>
      <c r="B415" s="8">
        <v>29720.04</v>
      </c>
    </row>
    <row r="416" spans="1:2" x14ac:dyDescent="0.25">
      <c r="A416" s="4" t="s">
        <v>22</v>
      </c>
      <c r="B416" s="8">
        <v>228530.9</v>
      </c>
    </row>
    <row r="417" spans="1:2" x14ac:dyDescent="0.25">
      <c r="A417" s="4" t="s">
        <v>23</v>
      </c>
      <c r="B417" s="8">
        <v>760</v>
      </c>
    </row>
    <row r="418" spans="1:2" x14ac:dyDescent="0.25">
      <c r="A418" s="4" t="s">
        <v>24</v>
      </c>
      <c r="B418" s="8">
        <v>2235.6</v>
      </c>
    </row>
    <row r="419" spans="1:2" x14ac:dyDescent="0.25">
      <c r="A419" s="4" t="s">
        <v>25</v>
      </c>
      <c r="B419" s="8">
        <v>166041.75</v>
      </c>
    </row>
    <row r="420" spans="1:2" x14ac:dyDescent="0.25">
      <c r="A420" s="4" t="s">
        <v>26</v>
      </c>
      <c r="B420" s="8">
        <v>280755.58</v>
      </c>
    </row>
    <row r="421" spans="1:2" x14ac:dyDescent="0.25">
      <c r="A421" s="4" t="s">
        <v>27</v>
      </c>
      <c r="B421" s="8">
        <v>298076.09999999998</v>
      </c>
    </row>
    <row r="422" spans="1:2" x14ac:dyDescent="0.25">
      <c r="A422" s="4" t="s">
        <v>2</v>
      </c>
      <c r="B422" s="8">
        <v>9102</v>
      </c>
    </row>
    <row r="423" spans="1:2" x14ac:dyDescent="0.25">
      <c r="A423" s="4" t="s">
        <v>3</v>
      </c>
      <c r="B423" s="8">
        <v>229182.96</v>
      </c>
    </row>
    <row r="424" spans="1:2" x14ac:dyDescent="0.25">
      <c r="A424" s="4" t="s">
        <v>4</v>
      </c>
      <c r="B424" s="8">
        <v>134099.4</v>
      </c>
    </row>
    <row r="425" spans="1:2" x14ac:dyDescent="0.25">
      <c r="A425" s="4" t="s">
        <v>5</v>
      </c>
      <c r="B425" s="8">
        <v>2982</v>
      </c>
    </row>
    <row r="426" spans="1:2" x14ac:dyDescent="0.25">
      <c r="A426" s="4" t="s">
        <v>6</v>
      </c>
      <c r="B426" s="8">
        <v>5102.87</v>
      </c>
    </row>
    <row r="427" spans="1:2" x14ac:dyDescent="0.25">
      <c r="A427" s="4" t="s">
        <v>7</v>
      </c>
      <c r="B427" s="8">
        <v>143539.46</v>
      </c>
    </row>
    <row r="428" spans="1:2" x14ac:dyDescent="0.25">
      <c r="A428" s="4" t="s">
        <v>8</v>
      </c>
      <c r="B428" s="8">
        <v>493034</v>
      </c>
    </row>
    <row r="429" spans="1:2" x14ac:dyDescent="0.25">
      <c r="A429" s="4" t="s">
        <v>9</v>
      </c>
      <c r="B429" s="8">
        <v>144706.82999999999</v>
      </c>
    </row>
    <row r="430" spans="1:2" x14ac:dyDescent="0.25">
      <c r="A430" s="4" t="s">
        <v>10</v>
      </c>
      <c r="B430" s="8">
        <v>219920.4</v>
      </c>
    </row>
    <row r="431" spans="1:2" x14ac:dyDescent="0.25">
      <c r="A431" s="4" t="s">
        <v>11</v>
      </c>
      <c r="B431" s="8">
        <v>421951.1</v>
      </c>
    </row>
    <row r="432" spans="1:2" x14ac:dyDescent="0.25">
      <c r="A432" s="4" t="s">
        <v>12</v>
      </c>
      <c r="B432" s="8">
        <v>121549.2</v>
      </c>
    </row>
    <row r="433" spans="1:2" x14ac:dyDescent="0.25">
      <c r="A433" s="4" t="s">
        <v>13</v>
      </c>
      <c r="B433" s="8">
        <v>128926.75</v>
      </c>
    </row>
    <row r="434" spans="1:2" x14ac:dyDescent="0.25">
      <c r="A434" s="4" t="s">
        <v>14</v>
      </c>
      <c r="B434" s="8">
        <v>23258.25</v>
      </c>
    </row>
    <row r="435" spans="1:2" x14ac:dyDescent="0.25">
      <c r="A435" s="4" t="s">
        <v>28</v>
      </c>
      <c r="B435" s="8">
        <v>22395.89</v>
      </c>
    </row>
    <row r="436" spans="1:2" x14ac:dyDescent="0.25">
      <c r="A436" s="4" t="s">
        <v>15</v>
      </c>
      <c r="B436" s="8">
        <v>138346.09</v>
      </c>
    </row>
    <row r="437" spans="1:2" x14ac:dyDescent="0.25">
      <c r="A437" s="4" t="s">
        <v>16</v>
      </c>
      <c r="B437" s="8">
        <v>126432.15</v>
      </c>
    </row>
    <row r="438" spans="1:2" x14ac:dyDescent="0.25">
      <c r="A438" s="4" t="s">
        <v>17</v>
      </c>
      <c r="B438" s="8">
        <v>670182.13</v>
      </c>
    </row>
    <row r="439" spans="1:2" x14ac:dyDescent="0.25">
      <c r="A439" s="4" t="s">
        <v>18</v>
      </c>
      <c r="B439" s="8">
        <v>171271.16</v>
      </c>
    </row>
    <row r="440" spans="1:2" x14ac:dyDescent="0.25">
      <c r="A440" s="4" t="s">
        <v>19</v>
      </c>
      <c r="B440" s="8">
        <v>200</v>
      </c>
    </row>
    <row r="441" spans="1:2" x14ac:dyDescent="0.25">
      <c r="A441" s="4" t="s">
        <v>20</v>
      </c>
      <c r="B441" s="8">
        <v>16721.849999999999</v>
      </c>
    </row>
    <row r="442" spans="1:2" x14ac:dyDescent="0.25">
      <c r="A442" s="4" t="s">
        <v>21</v>
      </c>
      <c r="B442" s="8">
        <v>29243.88</v>
      </c>
    </row>
    <row r="443" spans="1:2" x14ac:dyDescent="0.25">
      <c r="A443" s="4" t="s">
        <v>22</v>
      </c>
      <c r="B443" s="8">
        <v>244533.34</v>
      </c>
    </row>
    <row r="444" spans="1:2" x14ac:dyDescent="0.25">
      <c r="A444" s="4" t="s">
        <v>23</v>
      </c>
      <c r="B444" s="8">
        <v>304</v>
      </c>
    </row>
    <row r="445" spans="1:2" x14ac:dyDescent="0.25">
      <c r="A445" s="4" t="s">
        <v>24</v>
      </c>
      <c r="B445" s="8">
        <v>1170.32</v>
      </c>
    </row>
    <row r="446" spans="1:2" x14ac:dyDescent="0.25">
      <c r="A446" s="4" t="s">
        <v>25</v>
      </c>
      <c r="B446" s="8">
        <v>170407.45</v>
      </c>
    </row>
    <row r="447" spans="1:2" x14ac:dyDescent="0.25">
      <c r="A447" s="4" t="s">
        <v>26</v>
      </c>
      <c r="B447" s="8">
        <v>345571.03</v>
      </c>
    </row>
    <row r="448" spans="1:2" x14ac:dyDescent="0.25">
      <c r="A448" s="4" t="s">
        <v>27</v>
      </c>
      <c r="B448" s="8">
        <v>276041.37</v>
      </c>
    </row>
    <row r="449" spans="1:2" x14ac:dyDescent="0.25">
      <c r="A449" s="4" t="s">
        <v>2</v>
      </c>
      <c r="B449" s="8">
        <v>14948</v>
      </c>
    </row>
    <row r="450" spans="1:2" x14ac:dyDescent="0.25">
      <c r="A450" s="4" t="s">
        <v>3</v>
      </c>
      <c r="B450" s="8">
        <v>430786.53</v>
      </c>
    </row>
    <row r="451" spans="1:2" x14ac:dyDescent="0.25">
      <c r="A451" s="4" t="s">
        <v>4</v>
      </c>
      <c r="B451" s="8">
        <v>125267.7</v>
      </c>
    </row>
    <row r="452" spans="1:2" x14ac:dyDescent="0.25">
      <c r="A452" s="4" t="s">
        <v>5</v>
      </c>
      <c r="B452" s="8">
        <v>1568</v>
      </c>
    </row>
    <row r="453" spans="1:2" x14ac:dyDescent="0.25">
      <c r="A453" s="4" t="s">
        <v>6</v>
      </c>
      <c r="B453" s="8">
        <v>4561.74</v>
      </c>
    </row>
    <row r="454" spans="1:2" x14ac:dyDescent="0.25">
      <c r="A454" s="4" t="s">
        <v>7</v>
      </c>
      <c r="B454" s="8">
        <v>203789.1</v>
      </c>
    </row>
    <row r="455" spans="1:2" x14ac:dyDescent="0.25">
      <c r="A455" s="4" t="s">
        <v>8</v>
      </c>
      <c r="B455" s="8">
        <v>596552.14</v>
      </c>
    </row>
    <row r="456" spans="1:2" x14ac:dyDescent="0.25">
      <c r="A456" s="4" t="s">
        <v>9</v>
      </c>
      <c r="B456" s="8">
        <v>211893.51</v>
      </c>
    </row>
    <row r="457" spans="1:2" x14ac:dyDescent="0.25">
      <c r="A457" s="4" t="s">
        <v>10</v>
      </c>
      <c r="B457" s="8">
        <v>211000.8</v>
      </c>
    </row>
    <row r="458" spans="1:2" x14ac:dyDescent="0.25">
      <c r="A458" s="4" t="s">
        <v>11</v>
      </c>
      <c r="B458" s="8">
        <v>650929.27</v>
      </c>
    </row>
    <row r="459" spans="1:2" x14ac:dyDescent="0.25">
      <c r="A459" s="4" t="s">
        <v>12</v>
      </c>
      <c r="B459" s="8">
        <v>162954.4</v>
      </c>
    </row>
    <row r="460" spans="1:2" x14ac:dyDescent="0.25">
      <c r="A460" s="4" t="s">
        <v>13</v>
      </c>
      <c r="B460" s="8">
        <v>215689.75</v>
      </c>
    </row>
    <row r="461" spans="1:2" x14ac:dyDescent="0.25">
      <c r="A461" s="4" t="s">
        <v>14</v>
      </c>
      <c r="B461" s="8">
        <v>24625.1</v>
      </c>
    </row>
    <row r="462" spans="1:2" x14ac:dyDescent="0.25">
      <c r="A462" s="4" t="s">
        <v>28</v>
      </c>
      <c r="B462" s="8">
        <v>28142.84</v>
      </c>
    </row>
    <row r="463" spans="1:2" x14ac:dyDescent="0.25">
      <c r="A463" s="4" t="s">
        <v>15</v>
      </c>
      <c r="B463" s="8">
        <v>253402.53</v>
      </c>
    </row>
    <row r="464" spans="1:2" x14ac:dyDescent="0.25">
      <c r="A464" s="4" t="s">
        <v>16</v>
      </c>
      <c r="B464" s="8">
        <v>184067.72</v>
      </c>
    </row>
    <row r="465" spans="1:2" x14ac:dyDescent="0.25">
      <c r="A465" s="4" t="s">
        <v>17</v>
      </c>
      <c r="B465" s="8">
        <v>906491.19</v>
      </c>
    </row>
    <row r="466" spans="1:2" x14ac:dyDescent="0.25">
      <c r="A466" s="4" t="s">
        <v>18</v>
      </c>
      <c r="B466" s="8">
        <v>226216.44</v>
      </c>
    </row>
    <row r="467" spans="1:2" x14ac:dyDescent="0.25">
      <c r="A467" s="4" t="s">
        <v>20</v>
      </c>
      <c r="B467" s="8">
        <v>18883.98</v>
      </c>
    </row>
    <row r="468" spans="1:2" x14ac:dyDescent="0.25">
      <c r="A468" s="4" t="s">
        <v>21</v>
      </c>
      <c r="B468" s="8">
        <v>21425.5</v>
      </c>
    </row>
    <row r="469" spans="1:2" x14ac:dyDescent="0.25">
      <c r="A469" s="4" t="s">
        <v>22</v>
      </c>
      <c r="B469" s="8">
        <v>262600.40000000002</v>
      </c>
    </row>
    <row r="470" spans="1:2" x14ac:dyDescent="0.25">
      <c r="A470" s="4" t="s">
        <v>23</v>
      </c>
      <c r="B470" s="8">
        <v>1788.31</v>
      </c>
    </row>
    <row r="471" spans="1:2" x14ac:dyDescent="0.25">
      <c r="A471" s="4" t="s">
        <v>24</v>
      </c>
      <c r="B471" s="8">
        <v>3600.96</v>
      </c>
    </row>
    <row r="472" spans="1:2" x14ac:dyDescent="0.25">
      <c r="A472" s="4" t="s">
        <v>25</v>
      </c>
      <c r="B472" s="8">
        <v>299808.84999999998</v>
      </c>
    </row>
    <row r="473" spans="1:2" x14ac:dyDescent="0.25">
      <c r="A473" s="4" t="s">
        <v>26</v>
      </c>
      <c r="B473" s="8">
        <v>454060.23</v>
      </c>
    </row>
    <row r="474" spans="1:2" x14ac:dyDescent="0.25">
      <c r="A474" s="4" t="s">
        <v>27</v>
      </c>
      <c r="B474" s="8">
        <v>330676.09000000003</v>
      </c>
    </row>
    <row r="475" spans="1:2" x14ac:dyDescent="0.25">
      <c r="A475" s="4" t="s">
        <v>2</v>
      </c>
      <c r="B475" s="8">
        <v>20954</v>
      </c>
    </row>
    <row r="476" spans="1:2" x14ac:dyDescent="0.25">
      <c r="A476" s="4" t="s">
        <v>3</v>
      </c>
      <c r="B476" s="8">
        <v>516130.07</v>
      </c>
    </row>
    <row r="477" spans="1:2" x14ac:dyDescent="0.25">
      <c r="A477" s="4" t="s">
        <v>4</v>
      </c>
      <c r="B477" s="8">
        <v>77918.47</v>
      </c>
    </row>
    <row r="478" spans="1:2" x14ac:dyDescent="0.25">
      <c r="A478" s="4" t="s">
        <v>5</v>
      </c>
      <c r="B478" s="8">
        <v>1722</v>
      </c>
    </row>
    <row r="479" spans="1:2" x14ac:dyDescent="0.25">
      <c r="A479" s="4" t="s">
        <v>6</v>
      </c>
      <c r="B479" s="8">
        <v>1176</v>
      </c>
    </row>
    <row r="480" spans="1:2" x14ac:dyDescent="0.25">
      <c r="A480" s="4" t="s">
        <v>7</v>
      </c>
      <c r="B480" s="8">
        <v>168564.48000000001</v>
      </c>
    </row>
    <row r="481" spans="1:2" x14ac:dyDescent="0.25">
      <c r="A481" s="4" t="s">
        <v>8</v>
      </c>
      <c r="B481" s="8">
        <v>671439.43</v>
      </c>
    </row>
    <row r="482" spans="1:2" x14ac:dyDescent="0.25">
      <c r="A482" s="4" t="s">
        <v>9</v>
      </c>
      <c r="B482" s="8">
        <v>206049.35</v>
      </c>
    </row>
    <row r="483" spans="1:2" x14ac:dyDescent="0.25">
      <c r="A483" s="4" t="s">
        <v>10</v>
      </c>
      <c r="B483" s="8">
        <v>173538.6</v>
      </c>
    </row>
    <row r="484" spans="1:2" x14ac:dyDescent="0.25">
      <c r="A484" s="4" t="s">
        <v>11</v>
      </c>
      <c r="B484" s="8">
        <v>815363.41</v>
      </c>
    </row>
    <row r="485" spans="1:2" x14ac:dyDescent="0.25">
      <c r="A485" s="4" t="s">
        <v>12</v>
      </c>
      <c r="B485" s="8">
        <v>232320</v>
      </c>
    </row>
    <row r="486" spans="1:2" x14ac:dyDescent="0.25">
      <c r="A486" s="4" t="s">
        <v>13</v>
      </c>
      <c r="B486" s="8">
        <v>229029</v>
      </c>
    </row>
    <row r="487" spans="1:2" x14ac:dyDescent="0.25">
      <c r="A487" s="4" t="s">
        <v>14</v>
      </c>
      <c r="B487" s="8">
        <v>21364.35</v>
      </c>
    </row>
    <row r="488" spans="1:2" x14ac:dyDescent="0.25">
      <c r="A488" s="4" t="s">
        <v>28</v>
      </c>
      <c r="B488" s="8">
        <v>29297.83</v>
      </c>
    </row>
    <row r="489" spans="1:2" x14ac:dyDescent="0.25">
      <c r="A489" s="4" t="s">
        <v>15</v>
      </c>
      <c r="B489" s="8">
        <v>242205.54</v>
      </c>
    </row>
    <row r="490" spans="1:2" x14ac:dyDescent="0.25">
      <c r="A490" s="4" t="s">
        <v>16</v>
      </c>
      <c r="B490" s="8">
        <v>155546.94</v>
      </c>
    </row>
    <row r="491" spans="1:2" x14ac:dyDescent="0.25">
      <c r="A491" s="4" t="s">
        <v>17</v>
      </c>
      <c r="B491" s="8">
        <v>933333.3</v>
      </c>
    </row>
    <row r="492" spans="1:2" x14ac:dyDescent="0.25">
      <c r="A492" s="4" t="s">
        <v>18</v>
      </c>
      <c r="B492" s="8">
        <v>220346</v>
      </c>
    </row>
    <row r="493" spans="1:2" x14ac:dyDescent="0.25">
      <c r="A493" s="4" t="s">
        <v>20</v>
      </c>
      <c r="B493" s="8">
        <v>50268.74</v>
      </c>
    </row>
    <row r="494" spans="1:2" x14ac:dyDescent="0.25">
      <c r="A494" s="4" t="s">
        <v>21</v>
      </c>
      <c r="B494" s="8">
        <v>29626.93</v>
      </c>
    </row>
    <row r="495" spans="1:2" x14ac:dyDescent="0.25">
      <c r="A495" s="4" t="s">
        <v>22</v>
      </c>
      <c r="B495" s="8">
        <v>414614.97</v>
      </c>
    </row>
    <row r="496" spans="1:2" x14ac:dyDescent="0.25">
      <c r="A496" s="4" t="s">
        <v>23</v>
      </c>
      <c r="B496" s="8">
        <v>2463.58</v>
      </c>
    </row>
    <row r="497" spans="1:2" x14ac:dyDescent="0.25">
      <c r="A497" s="4" t="s">
        <v>24</v>
      </c>
      <c r="B497" s="8">
        <v>3148.84</v>
      </c>
    </row>
    <row r="498" spans="1:2" x14ac:dyDescent="0.25">
      <c r="A498" s="4" t="s">
        <v>25</v>
      </c>
      <c r="B498" s="8">
        <v>346356.68</v>
      </c>
    </row>
    <row r="499" spans="1:2" x14ac:dyDescent="0.25">
      <c r="A499" s="4" t="s">
        <v>26</v>
      </c>
      <c r="B499" s="8">
        <v>352201.46</v>
      </c>
    </row>
    <row r="500" spans="1:2" x14ac:dyDescent="0.25">
      <c r="A500" s="4" t="s">
        <v>27</v>
      </c>
      <c r="B500" s="8">
        <v>303832.87</v>
      </c>
    </row>
    <row r="501" spans="1:2" x14ac:dyDescent="0.25">
      <c r="A501" s="4" t="s">
        <v>2</v>
      </c>
      <c r="B501" s="8">
        <v>23704</v>
      </c>
    </row>
    <row r="502" spans="1:2" x14ac:dyDescent="0.25">
      <c r="A502" s="4" t="s">
        <v>3</v>
      </c>
      <c r="B502" s="8">
        <v>514918.28</v>
      </c>
    </row>
    <row r="503" spans="1:2" x14ac:dyDescent="0.25">
      <c r="A503" s="4" t="s">
        <v>4</v>
      </c>
      <c r="B503" s="8">
        <v>105082.9</v>
      </c>
    </row>
    <row r="504" spans="1:2" x14ac:dyDescent="0.25">
      <c r="A504" s="4" t="s">
        <v>5</v>
      </c>
      <c r="B504" s="8">
        <v>3290</v>
      </c>
    </row>
    <row r="505" spans="1:2" x14ac:dyDescent="0.25">
      <c r="A505" s="4" t="s">
        <v>6</v>
      </c>
      <c r="B505" s="8">
        <v>3191</v>
      </c>
    </row>
    <row r="506" spans="1:2" x14ac:dyDescent="0.25">
      <c r="A506" s="4" t="s">
        <v>7</v>
      </c>
      <c r="B506" s="8">
        <v>223453.61</v>
      </c>
    </row>
    <row r="507" spans="1:2" x14ac:dyDescent="0.25">
      <c r="A507" s="4" t="s">
        <v>8</v>
      </c>
      <c r="B507" s="8">
        <v>1032917.36</v>
      </c>
    </row>
    <row r="508" spans="1:2" x14ac:dyDescent="0.25">
      <c r="A508" s="4" t="s">
        <v>9</v>
      </c>
      <c r="B508" s="8">
        <v>298364.07</v>
      </c>
    </row>
    <row r="509" spans="1:2" x14ac:dyDescent="0.25">
      <c r="A509" s="4" t="s">
        <v>10</v>
      </c>
      <c r="B509" s="8">
        <v>293917.2</v>
      </c>
    </row>
    <row r="510" spans="1:2" x14ac:dyDescent="0.25">
      <c r="A510" s="4" t="s">
        <v>11</v>
      </c>
      <c r="B510" s="8">
        <v>887091.47</v>
      </c>
    </row>
    <row r="511" spans="1:2" x14ac:dyDescent="0.25">
      <c r="A511" s="4" t="s">
        <v>12</v>
      </c>
      <c r="B511" s="8">
        <v>361490.4</v>
      </c>
    </row>
    <row r="512" spans="1:2" x14ac:dyDescent="0.25">
      <c r="A512" s="4" t="s">
        <v>13</v>
      </c>
      <c r="B512" s="8">
        <v>350848</v>
      </c>
    </row>
    <row r="513" spans="1:2" x14ac:dyDescent="0.25">
      <c r="A513" s="4" t="s">
        <v>14</v>
      </c>
      <c r="B513" s="8">
        <v>67140.149999999994</v>
      </c>
    </row>
    <row r="514" spans="1:2" x14ac:dyDescent="0.25">
      <c r="A514" s="4" t="s">
        <v>28</v>
      </c>
      <c r="B514" s="8">
        <v>38009.74</v>
      </c>
    </row>
    <row r="515" spans="1:2" x14ac:dyDescent="0.25">
      <c r="A515" s="4" t="s">
        <v>15</v>
      </c>
      <c r="B515" s="8">
        <v>296138.98</v>
      </c>
    </row>
    <row r="516" spans="1:2" x14ac:dyDescent="0.25">
      <c r="A516" s="4" t="s">
        <v>16</v>
      </c>
      <c r="B516" s="8">
        <v>211134.13</v>
      </c>
    </row>
    <row r="517" spans="1:2" x14ac:dyDescent="0.25">
      <c r="A517" s="4" t="s">
        <v>17</v>
      </c>
      <c r="B517" s="8">
        <v>1547790.64</v>
      </c>
    </row>
    <row r="518" spans="1:2" x14ac:dyDescent="0.25">
      <c r="A518" s="4" t="s">
        <v>18</v>
      </c>
      <c r="B518" s="8">
        <v>347494.54</v>
      </c>
    </row>
    <row r="519" spans="1:2" x14ac:dyDescent="0.25">
      <c r="A519" s="4" t="s">
        <v>20</v>
      </c>
      <c r="B519" s="8">
        <v>94677.66</v>
      </c>
    </row>
    <row r="520" spans="1:2" x14ac:dyDescent="0.25">
      <c r="A520" s="4" t="s">
        <v>21</v>
      </c>
      <c r="B520" s="8">
        <v>53911.81</v>
      </c>
    </row>
    <row r="521" spans="1:2" x14ac:dyDescent="0.25">
      <c r="A521" s="4" t="s">
        <v>22</v>
      </c>
      <c r="B521" s="8">
        <v>442993.41</v>
      </c>
    </row>
    <row r="522" spans="1:2" x14ac:dyDescent="0.25">
      <c r="A522" s="4" t="s">
        <v>23</v>
      </c>
      <c r="B522" s="8">
        <v>2635.67</v>
      </c>
    </row>
    <row r="523" spans="1:2" x14ac:dyDescent="0.25">
      <c r="A523" s="4" t="s">
        <v>24</v>
      </c>
      <c r="B523" s="8">
        <v>4054.28</v>
      </c>
    </row>
    <row r="524" spans="1:2" x14ac:dyDescent="0.25">
      <c r="A524" s="4" t="s">
        <v>25</v>
      </c>
      <c r="B524" s="8">
        <v>503382.64</v>
      </c>
    </row>
    <row r="525" spans="1:2" x14ac:dyDescent="0.25">
      <c r="A525" s="4" t="s">
        <v>26</v>
      </c>
      <c r="B525" s="8">
        <v>601044.61</v>
      </c>
    </row>
    <row r="526" spans="1:2" x14ac:dyDescent="0.25">
      <c r="A526" s="4" t="s">
        <v>27</v>
      </c>
      <c r="B526" s="8">
        <v>615869.51</v>
      </c>
    </row>
    <row r="527" spans="1:2" x14ac:dyDescent="0.25">
      <c r="A527" s="4" t="s">
        <v>2</v>
      </c>
      <c r="B527" s="8">
        <v>11500</v>
      </c>
    </row>
    <row r="528" spans="1:2" x14ac:dyDescent="0.25">
      <c r="A528" s="4" t="s">
        <v>3</v>
      </c>
      <c r="B528" s="8">
        <v>430493.91</v>
      </c>
    </row>
    <row r="529" spans="1:2" x14ac:dyDescent="0.25">
      <c r="A529" s="4" t="s">
        <v>4</v>
      </c>
      <c r="B529" s="8">
        <v>68817.66</v>
      </c>
    </row>
    <row r="530" spans="1:2" x14ac:dyDescent="0.25">
      <c r="A530" s="4" t="s">
        <v>5</v>
      </c>
      <c r="B530" s="8">
        <v>2716</v>
      </c>
    </row>
    <row r="531" spans="1:2" x14ac:dyDescent="0.25">
      <c r="A531" s="4" t="s">
        <v>6</v>
      </c>
      <c r="B531" s="8">
        <v>3290.87</v>
      </c>
    </row>
    <row r="532" spans="1:2" x14ac:dyDescent="0.25">
      <c r="A532" s="4" t="s">
        <v>7</v>
      </c>
      <c r="B532" s="8">
        <v>166889.21</v>
      </c>
    </row>
    <row r="533" spans="1:2" x14ac:dyDescent="0.25">
      <c r="A533" s="4" t="s">
        <v>8</v>
      </c>
      <c r="B533" s="8">
        <v>550055.55000000005</v>
      </c>
    </row>
    <row r="534" spans="1:2" x14ac:dyDescent="0.25">
      <c r="A534" s="4" t="s">
        <v>9</v>
      </c>
      <c r="B534" s="8">
        <v>195755.38</v>
      </c>
    </row>
    <row r="535" spans="1:2" x14ac:dyDescent="0.25">
      <c r="A535" s="4" t="s">
        <v>10</v>
      </c>
      <c r="B535" s="8">
        <v>205720</v>
      </c>
    </row>
    <row r="536" spans="1:2" x14ac:dyDescent="0.25">
      <c r="A536" s="4" t="s">
        <v>11</v>
      </c>
      <c r="B536" s="8">
        <v>541053.5</v>
      </c>
    </row>
    <row r="537" spans="1:2" x14ac:dyDescent="0.25">
      <c r="A537" s="4" t="s">
        <v>12</v>
      </c>
      <c r="B537" s="8">
        <v>301223.40000000002</v>
      </c>
    </row>
    <row r="538" spans="1:2" x14ac:dyDescent="0.25">
      <c r="A538" s="4" t="s">
        <v>13</v>
      </c>
      <c r="B538" s="8">
        <v>228410</v>
      </c>
    </row>
    <row r="539" spans="1:2" x14ac:dyDescent="0.25">
      <c r="A539" s="4" t="s">
        <v>14</v>
      </c>
      <c r="B539" s="8">
        <v>28331.95</v>
      </c>
    </row>
    <row r="540" spans="1:2" x14ac:dyDescent="0.25">
      <c r="A540" s="4" t="s">
        <v>28</v>
      </c>
      <c r="B540" s="8">
        <v>23745.57</v>
      </c>
    </row>
    <row r="541" spans="1:2" x14ac:dyDescent="0.25">
      <c r="A541" s="4" t="s">
        <v>15</v>
      </c>
      <c r="B541" s="8">
        <v>186861.22</v>
      </c>
    </row>
    <row r="542" spans="1:2" x14ac:dyDescent="0.25">
      <c r="A542" s="4" t="s">
        <v>16</v>
      </c>
      <c r="B542" s="8">
        <v>147381.46</v>
      </c>
    </row>
    <row r="543" spans="1:2" x14ac:dyDescent="0.25">
      <c r="A543" s="4" t="s">
        <v>17</v>
      </c>
      <c r="B543" s="8">
        <v>1282211.57</v>
      </c>
    </row>
    <row r="544" spans="1:2" x14ac:dyDescent="0.25">
      <c r="A544" s="4" t="s">
        <v>18</v>
      </c>
      <c r="B544" s="8">
        <v>298378.44</v>
      </c>
    </row>
    <row r="545" spans="1:2" x14ac:dyDescent="0.25">
      <c r="A545" s="4" t="s">
        <v>20</v>
      </c>
      <c r="B545" s="8">
        <v>27581.53</v>
      </c>
    </row>
    <row r="546" spans="1:2" x14ac:dyDescent="0.25">
      <c r="A546" s="4" t="s">
        <v>21</v>
      </c>
      <c r="B546" s="8">
        <v>67646.16</v>
      </c>
    </row>
    <row r="547" spans="1:2" x14ac:dyDescent="0.25">
      <c r="A547" s="4" t="s">
        <v>22</v>
      </c>
      <c r="B547" s="8">
        <v>374286.02</v>
      </c>
    </row>
    <row r="548" spans="1:2" x14ac:dyDescent="0.25">
      <c r="A548" s="4" t="s">
        <v>23</v>
      </c>
      <c r="B548" s="8">
        <v>2164.81</v>
      </c>
    </row>
    <row r="549" spans="1:2" x14ac:dyDescent="0.25">
      <c r="A549" s="4" t="s">
        <v>24</v>
      </c>
      <c r="B549" s="8">
        <v>4183.8</v>
      </c>
    </row>
    <row r="550" spans="1:2" x14ac:dyDescent="0.25">
      <c r="A550" s="4" t="s">
        <v>25</v>
      </c>
      <c r="B550" s="8">
        <v>439558.6</v>
      </c>
    </row>
    <row r="551" spans="1:2" x14ac:dyDescent="0.25">
      <c r="A551" s="4" t="s">
        <v>26</v>
      </c>
      <c r="B551" s="8">
        <v>504708.83</v>
      </c>
    </row>
    <row r="552" spans="1:2" x14ac:dyDescent="0.25">
      <c r="A552" s="4" t="s">
        <v>27</v>
      </c>
      <c r="B552" s="8">
        <v>426482.16</v>
      </c>
    </row>
    <row r="553" spans="1:2" x14ac:dyDescent="0.25">
      <c r="A553" s="4" t="s">
        <v>2</v>
      </c>
      <c r="B553" s="8">
        <v>7062</v>
      </c>
    </row>
    <row r="554" spans="1:2" x14ac:dyDescent="0.25">
      <c r="A554" s="4" t="s">
        <v>3</v>
      </c>
      <c r="B554" s="8">
        <v>355379.59</v>
      </c>
    </row>
    <row r="555" spans="1:2" x14ac:dyDescent="0.25">
      <c r="A555" s="4" t="s">
        <v>4</v>
      </c>
      <c r="B555" s="8">
        <v>42754.98</v>
      </c>
    </row>
    <row r="556" spans="1:2" x14ac:dyDescent="0.25">
      <c r="A556" s="4" t="s">
        <v>5</v>
      </c>
      <c r="B556" s="8">
        <v>574</v>
      </c>
    </row>
    <row r="557" spans="1:2" x14ac:dyDescent="0.25">
      <c r="A557" s="4" t="s">
        <v>6</v>
      </c>
      <c r="B557" s="8">
        <v>1470</v>
      </c>
    </row>
    <row r="558" spans="1:2" x14ac:dyDescent="0.25">
      <c r="A558" s="4" t="s">
        <v>7</v>
      </c>
      <c r="B558" s="8">
        <v>77325.789999999994</v>
      </c>
    </row>
    <row r="559" spans="1:2" x14ac:dyDescent="0.25">
      <c r="A559" s="4" t="s">
        <v>8</v>
      </c>
      <c r="B559" s="8">
        <v>275701.57</v>
      </c>
    </row>
    <row r="560" spans="1:2" x14ac:dyDescent="0.25">
      <c r="A560" s="4" t="s">
        <v>9</v>
      </c>
      <c r="B560" s="8">
        <v>78287.820000000007</v>
      </c>
    </row>
    <row r="561" spans="1:2" x14ac:dyDescent="0.25">
      <c r="A561" s="4" t="s">
        <v>10</v>
      </c>
      <c r="B561" s="8">
        <v>107987</v>
      </c>
    </row>
    <row r="562" spans="1:2" x14ac:dyDescent="0.25">
      <c r="A562" s="4" t="s">
        <v>11</v>
      </c>
      <c r="B562" s="8">
        <v>482821.5</v>
      </c>
    </row>
    <row r="563" spans="1:2" x14ac:dyDescent="0.25">
      <c r="A563" s="4" t="s">
        <v>12</v>
      </c>
      <c r="B563" s="8">
        <v>215561.4</v>
      </c>
    </row>
    <row r="564" spans="1:2" x14ac:dyDescent="0.25">
      <c r="A564" s="4" t="s">
        <v>13</v>
      </c>
      <c r="B564" s="8">
        <v>128585</v>
      </c>
    </row>
    <row r="565" spans="1:2" x14ac:dyDescent="0.25">
      <c r="A565" s="4" t="s">
        <v>14</v>
      </c>
      <c r="B565" s="8">
        <v>21640.35</v>
      </c>
    </row>
    <row r="566" spans="1:2" x14ac:dyDescent="0.25">
      <c r="A566" s="4" t="s">
        <v>28</v>
      </c>
      <c r="B566" s="8">
        <v>11703.52</v>
      </c>
    </row>
    <row r="567" spans="1:2" x14ac:dyDescent="0.25">
      <c r="A567" s="4" t="s">
        <v>15</v>
      </c>
      <c r="B567" s="8">
        <v>82954.36</v>
      </c>
    </row>
    <row r="568" spans="1:2" x14ac:dyDescent="0.25">
      <c r="A568" s="4" t="s">
        <v>16</v>
      </c>
      <c r="B568" s="8">
        <v>61481.59</v>
      </c>
    </row>
    <row r="569" spans="1:2" x14ac:dyDescent="0.25">
      <c r="A569" s="4" t="s">
        <v>17</v>
      </c>
      <c r="B569" s="8">
        <v>643337.29</v>
      </c>
    </row>
    <row r="570" spans="1:2" x14ac:dyDescent="0.25">
      <c r="A570" s="4" t="s">
        <v>18</v>
      </c>
      <c r="B570" s="8">
        <v>125403.46</v>
      </c>
    </row>
    <row r="571" spans="1:2" x14ac:dyDescent="0.25">
      <c r="A571" s="4" t="s">
        <v>20</v>
      </c>
      <c r="B571" s="8">
        <v>64652.4</v>
      </c>
    </row>
    <row r="572" spans="1:2" x14ac:dyDescent="0.25">
      <c r="A572" s="4" t="s">
        <v>21</v>
      </c>
      <c r="B572" s="8">
        <v>35554.269999999997</v>
      </c>
    </row>
    <row r="573" spans="1:2" x14ac:dyDescent="0.25">
      <c r="A573" s="4" t="s">
        <v>22</v>
      </c>
      <c r="B573" s="8">
        <v>308807.2</v>
      </c>
    </row>
    <row r="574" spans="1:2" x14ac:dyDescent="0.25">
      <c r="A574" s="4" t="s">
        <v>24</v>
      </c>
      <c r="B574" s="8">
        <v>1541</v>
      </c>
    </row>
    <row r="575" spans="1:2" x14ac:dyDescent="0.25">
      <c r="A575" s="4" t="s">
        <v>25</v>
      </c>
      <c r="B575" s="8">
        <v>255120.01</v>
      </c>
    </row>
    <row r="576" spans="1:2" x14ac:dyDescent="0.25">
      <c r="A576" s="4" t="s">
        <v>26</v>
      </c>
      <c r="B576" s="8">
        <v>293768.99</v>
      </c>
    </row>
    <row r="577" spans="1:2" x14ac:dyDescent="0.25">
      <c r="A577" s="4" t="s">
        <v>27</v>
      </c>
      <c r="B577" s="8">
        <v>170993.97</v>
      </c>
    </row>
    <row r="578" spans="1:2" x14ac:dyDescent="0.25">
      <c r="A578" s="4" t="s">
        <v>2</v>
      </c>
      <c r="B578" s="8">
        <v>5128</v>
      </c>
    </row>
    <row r="579" spans="1:2" x14ac:dyDescent="0.25">
      <c r="A579" s="4" t="s">
        <v>3</v>
      </c>
      <c r="B579" s="8">
        <v>68357.2</v>
      </c>
    </row>
    <row r="580" spans="1:2" x14ac:dyDescent="0.25">
      <c r="A580" s="4" t="s">
        <v>4</v>
      </c>
      <c r="B580" s="8">
        <v>25354.62</v>
      </c>
    </row>
    <row r="581" spans="1:2" x14ac:dyDescent="0.25">
      <c r="A581" s="4" t="s">
        <v>5</v>
      </c>
      <c r="B581" s="8">
        <v>840</v>
      </c>
    </row>
    <row r="582" spans="1:2" x14ac:dyDescent="0.25">
      <c r="A582" s="4" t="s">
        <v>6</v>
      </c>
      <c r="B582" s="8">
        <v>1470</v>
      </c>
    </row>
    <row r="583" spans="1:2" x14ac:dyDescent="0.25">
      <c r="A583" s="4" t="s">
        <v>7</v>
      </c>
      <c r="B583" s="8">
        <v>84720.02</v>
      </c>
    </row>
    <row r="584" spans="1:2" x14ac:dyDescent="0.25">
      <c r="A584" s="4" t="s">
        <v>8</v>
      </c>
      <c r="B584" s="8">
        <v>222419.32</v>
      </c>
    </row>
    <row r="585" spans="1:2" x14ac:dyDescent="0.25">
      <c r="A585" s="4" t="s">
        <v>9</v>
      </c>
      <c r="B585" s="8">
        <v>80362.070000000007</v>
      </c>
    </row>
    <row r="586" spans="1:2" x14ac:dyDescent="0.25">
      <c r="A586" s="4" t="s">
        <v>10</v>
      </c>
      <c r="B586" s="8">
        <v>91200</v>
      </c>
    </row>
    <row r="587" spans="1:2" x14ac:dyDescent="0.25">
      <c r="A587" s="4" t="s">
        <v>11</v>
      </c>
      <c r="B587" s="8">
        <v>164222</v>
      </c>
    </row>
    <row r="588" spans="1:2" x14ac:dyDescent="0.25">
      <c r="A588" s="4" t="s">
        <v>12</v>
      </c>
      <c r="B588" s="8">
        <v>98825.3</v>
      </c>
    </row>
    <row r="589" spans="1:2" x14ac:dyDescent="0.25">
      <c r="A589" s="4" t="s">
        <v>13</v>
      </c>
      <c r="B589" s="8">
        <v>58394</v>
      </c>
    </row>
    <row r="590" spans="1:2" x14ac:dyDescent="0.25">
      <c r="A590" s="4" t="s">
        <v>14</v>
      </c>
      <c r="B590" s="8">
        <v>19746.55</v>
      </c>
    </row>
    <row r="591" spans="1:2" x14ac:dyDescent="0.25">
      <c r="A591" s="4" t="s">
        <v>28</v>
      </c>
      <c r="B591" s="8">
        <v>5912.33</v>
      </c>
    </row>
    <row r="592" spans="1:2" x14ac:dyDescent="0.25">
      <c r="A592" s="4" t="s">
        <v>15</v>
      </c>
      <c r="B592" s="8">
        <v>72854.09</v>
      </c>
    </row>
    <row r="593" spans="1:2" x14ac:dyDescent="0.25">
      <c r="A593" s="4" t="s">
        <v>16</v>
      </c>
      <c r="B593" s="8">
        <v>48325.35</v>
      </c>
    </row>
    <row r="594" spans="1:2" x14ac:dyDescent="0.25">
      <c r="A594" s="4" t="s">
        <v>17</v>
      </c>
      <c r="B594" s="8">
        <v>539734.59</v>
      </c>
    </row>
    <row r="595" spans="1:2" x14ac:dyDescent="0.25">
      <c r="A595" s="4" t="s">
        <v>18</v>
      </c>
      <c r="B595" s="8">
        <v>92599.86</v>
      </c>
    </row>
    <row r="596" spans="1:2" x14ac:dyDescent="0.25">
      <c r="A596" s="4" t="s">
        <v>20</v>
      </c>
      <c r="B596" s="8">
        <v>3653.14</v>
      </c>
    </row>
    <row r="597" spans="1:2" x14ac:dyDescent="0.25">
      <c r="A597" s="4" t="s">
        <v>21</v>
      </c>
      <c r="B597" s="8">
        <v>12474.29</v>
      </c>
    </row>
    <row r="598" spans="1:2" x14ac:dyDescent="0.25">
      <c r="A598" s="4" t="s">
        <v>22</v>
      </c>
      <c r="B598" s="8">
        <v>192874.03</v>
      </c>
    </row>
    <row r="599" spans="1:2" x14ac:dyDescent="0.25">
      <c r="A599" s="4" t="s">
        <v>23</v>
      </c>
      <c r="B599" s="8">
        <v>608</v>
      </c>
    </row>
    <row r="600" spans="1:2" x14ac:dyDescent="0.25">
      <c r="A600" s="4" t="s">
        <v>24</v>
      </c>
      <c r="B600" s="8">
        <v>1382.52</v>
      </c>
    </row>
    <row r="601" spans="1:2" x14ac:dyDescent="0.25">
      <c r="A601" s="4" t="s">
        <v>25</v>
      </c>
      <c r="B601" s="8">
        <v>114067.32</v>
      </c>
    </row>
    <row r="602" spans="1:2" x14ac:dyDescent="0.25">
      <c r="A602" s="4" t="s">
        <v>26</v>
      </c>
      <c r="B602" s="8">
        <v>250926.25</v>
      </c>
    </row>
    <row r="603" spans="1:2" x14ac:dyDescent="0.25">
      <c r="A603" s="4" t="s">
        <v>27</v>
      </c>
      <c r="B603" s="8">
        <v>198108.9</v>
      </c>
    </row>
    <row r="604" spans="1:2" x14ac:dyDescent="0.25">
      <c r="A604" s="4" t="s">
        <v>2</v>
      </c>
      <c r="B604" s="8">
        <v>7157</v>
      </c>
    </row>
    <row r="605" spans="1:2" x14ac:dyDescent="0.25">
      <c r="A605" s="4" t="s">
        <v>3</v>
      </c>
      <c r="B605" s="8">
        <v>64351.73</v>
      </c>
    </row>
    <row r="606" spans="1:2" x14ac:dyDescent="0.25">
      <c r="A606" s="4" t="s">
        <v>4</v>
      </c>
      <c r="B606" s="8">
        <v>24265.65</v>
      </c>
    </row>
    <row r="607" spans="1:2" x14ac:dyDescent="0.25">
      <c r="A607" s="4" t="s">
        <v>5</v>
      </c>
      <c r="B607" s="8">
        <v>574</v>
      </c>
    </row>
    <row r="608" spans="1:2" x14ac:dyDescent="0.25">
      <c r="A608" s="4" t="s">
        <v>6</v>
      </c>
      <c r="B608" s="8">
        <v>1452</v>
      </c>
    </row>
    <row r="609" spans="1:2" x14ac:dyDescent="0.25">
      <c r="A609" s="4" t="s">
        <v>7</v>
      </c>
      <c r="B609" s="8">
        <v>88756.02</v>
      </c>
    </row>
    <row r="610" spans="1:2" x14ac:dyDescent="0.25">
      <c r="A610" s="4" t="s">
        <v>8</v>
      </c>
      <c r="B610" s="8">
        <v>321355.17</v>
      </c>
    </row>
    <row r="611" spans="1:2" x14ac:dyDescent="0.25">
      <c r="A611" s="4" t="s">
        <v>9</v>
      </c>
      <c r="B611" s="8">
        <v>96686.16</v>
      </c>
    </row>
    <row r="612" spans="1:2" x14ac:dyDescent="0.25">
      <c r="A612" s="4" t="s">
        <v>10</v>
      </c>
      <c r="B612" s="8">
        <v>117490.61</v>
      </c>
    </row>
    <row r="613" spans="1:2" x14ac:dyDescent="0.25">
      <c r="A613" s="4" t="s">
        <v>11</v>
      </c>
      <c r="B613" s="8">
        <v>185926</v>
      </c>
    </row>
    <row r="614" spans="1:2" x14ac:dyDescent="0.25">
      <c r="A614" s="4" t="s">
        <v>12</v>
      </c>
      <c r="B614" s="8">
        <v>128489.9</v>
      </c>
    </row>
    <row r="615" spans="1:2" x14ac:dyDescent="0.25">
      <c r="A615" s="4" t="s">
        <v>13</v>
      </c>
      <c r="B615" s="8">
        <v>77604.789999999994</v>
      </c>
    </row>
    <row r="616" spans="1:2" x14ac:dyDescent="0.25">
      <c r="A616" s="4" t="s">
        <v>14</v>
      </c>
      <c r="B616" s="8">
        <v>16349.65</v>
      </c>
    </row>
    <row r="617" spans="1:2" x14ac:dyDescent="0.25">
      <c r="A617" s="4" t="s">
        <v>28</v>
      </c>
      <c r="B617" s="8">
        <v>14803.48</v>
      </c>
    </row>
    <row r="618" spans="1:2" x14ac:dyDescent="0.25">
      <c r="A618" s="4" t="s">
        <v>15</v>
      </c>
      <c r="B618" s="8">
        <v>129285.88</v>
      </c>
    </row>
    <row r="619" spans="1:2" x14ac:dyDescent="0.25">
      <c r="A619" s="4" t="s">
        <v>16</v>
      </c>
      <c r="B619" s="8">
        <v>103851.41</v>
      </c>
    </row>
    <row r="620" spans="1:2" x14ac:dyDescent="0.25">
      <c r="A620" s="4" t="s">
        <v>17</v>
      </c>
      <c r="B620" s="8">
        <v>720918.08</v>
      </c>
    </row>
    <row r="621" spans="1:2" x14ac:dyDescent="0.25">
      <c r="A621" s="4" t="s">
        <v>18</v>
      </c>
      <c r="B621" s="8">
        <v>140399.4</v>
      </c>
    </row>
    <row r="622" spans="1:2" x14ac:dyDescent="0.25">
      <c r="A622" s="4" t="s">
        <v>20</v>
      </c>
      <c r="B622" s="8">
        <v>7481.46</v>
      </c>
    </row>
    <row r="623" spans="1:2" x14ac:dyDescent="0.25">
      <c r="A623" s="4" t="s">
        <v>21</v>
      </c>
      <c r="B623" s="8">
        <v>13808.82</v>
      </c>
    </row>
    <row r="624" spans="1:2" x14ac:dyDescent="0.25">
      <c r="A624" s="4" t="s">
        <v>22</v>
      </c>
      <c r="B624" s="8">
        <v>184506.76</v>
      </c>
    </row>
    <row r="625" spans="1:2" x14ac:dyDescent="0.25">
      <c r="A625" s="4" t="s">
        <v>23</v>
      </c>
      <c r="B625" s="8">
        <v>76</v>
      </c>
    </row>
    <row r="626" spans="1:2" x14ac:dyDescent="0.25">
      <c r="A626" s="4" t="s">
        <v>24</v>
      </c>
      <c r="B626" s="8">
        <v>2212.36</v>
      </c>
    </row>
    <row r="627" spans="1:2" x14ac:dyDescent="0.25">
      <c r="A627" s="4" t="s">
        <v>25</v>
      </c>
      <c r="B627" s="8">
        <v>147198.65</v>
      </c>
    </row>
    <row r="628" spans="1:2" x14ac:dyDescent="0.25">
      <c r="A628" s="4" t="s">
        <v>26</v>
      </c>
      <c r="B628" s="8">
        <v>352661.23</v>
      </c>
    </row>
    <row r="629" spans="1:2" x14ac:dyDescent="0.25">
      <c r="A629" s="4" t="s">
        <v>27</v>
      </c>
      <c r="B629" s="8">
        <v>217267.46</v>
      </c>
    </row>
    <row r="630" spans="1:2" x14ac:dyDescent="0.25">
      <c r="A630" s="4" t="s">
        <v>2</v>
      </c>
      <c r="B630" s="8">
        <v>11353</v>
      </c>
    </row>
    <row r="631" spans="1:2" x14ac:dyDescent="0.25">
      <c r="A631" s="4" t="s">
        <v>3</v>
      </c>
      <c r="B631" s="8">
        <v>112840.07</v>
      </c>
    </row>
    <row r="632" spans="1:2" x14ac:dyDescent="0.25">
      <c r="A632" s="4" t="s">
        <v>4</v>
      </c>
      <c r="B632" s="8">
        <v>67695.960000000006</v>
      </c>
    </row>
    <row r="633" spans="1:2" x14ac:dyDescent="0.25">
      <c r="A633" s="4" t="s">
        <v>5</v>
      </c>
      <c r="B633" s="8">
        <v>1148</v>
      </c>
    </row>
    <row r="634" spans="1:2" x14ac:dyDescent="0.25">
      <c r="A634" s="4" t="s">
        <v>6</v>
      </c>
      <c r="B634" s="8">
        <v>588</v>
      </c>
    </row>
    <row r="635" spans="1:2" x14ac:dyDescent="0.25">
      <c r="A635" s="4" t="s">
        <v>7</v>
      </c>
      <c r="B635" s="8">
        <v>91378.44</v>
      </c>
    </row>
    <row r="636" spans="1:2" x14ac:dyDescent="0.25">
      <c r="A636" s="4" t="s">
        <v>8</v>
      </c>
      <c r="B636" s="8">
        <v>296888.81</v>
      </c>
    </row>
    <row r="637" spans="1:2" x14ac:dyDescent="0.25">
      <c r="A637" s="4" t="s">
        <v>9</v>
      </c>
      <c r="B637" s="8">
        <v>89734.17</v>
      </c>
    </row>
    <row r="638" spans="1:2" x14ac:dyDescent="0.25">
      <c r="A638" s="4" t="s">
        <v>10</v>
      </c>
      <c r="B638" s="8">
        <v>135395.1</v>
      </c>
    </row>
    <row r="639" spans="1:2" x14ac:dyDescent="0.25">
      <c r="A639" s="4" t="s">
        <v>11</v>
      </c>
      <c r="B639" s="8">
        <v>245236</v>
      </c>
    </row>
    <row r="640" spans="1:2" x14ac:dyDescent="0.25">
      <c r="A640" s="4" t="s">
        <v>12</v>
      </c>
      <c r="B640" s="8">
        <v>132816.5</v>
      </c>
    </row>
    <row r="641" spans="1:2" x14ac:dyDescent="0.25">
      <c r="A641" s="4" t="s">
        <v>13</v>
      </c>
      <c r="B641" s="8">
        <v>93506</v>
      </c>
    </row>
    <row r="642" spans="1:2" x14ac:dyDescent="0.25">
      <c r="A642" s="4" t="s">
        <v>14</v>
      </c>
      <c r="B642" s="8">
        <v>19784.099999999999</v>
      </c>
    </row>
    <row r="643" spans="1:2" x14ac:dyDescent="0.25">
      <c r="A643" s="4" t="s">
        <v>28</v>
      </c>
      <c r="B643" s="8">
        <v>13247.47</v>
      </c>
    </row>
    <row r="644" spans="1:2" x14ac:dyDescent="0.25">
      <c r="A644" s="4" t="s">
        <v>15</v>
      </c>
      <c r="B644" s="8">
        <v>127454.97</v>
      </c>
    </row>
    <row r="645" spans="1:2" x14ac:dyDescent="0.25">
      <c r="A645" s="4" t="s">
        <v>16</v>
      </c>
      <c r="B645" s="8">
        <v>141713.29</v>
      </c>
    </row>
    <row r="646" spans="1:2" x14ac:dyDescent="0.25">
      <c r="A646" s="4" t="s">
        <v>17</v>
      </c>
      <c r="B646" s="8">
        <v>742420.95</v>
      </c>
    </row>
    <row r="647" spans="1:2" x14ac:dyDescent="0.25">
      <c r="A647" s="4" t="s">
        <v>18</v>
      </c>
      <c r="B647" s="8">
        <v>137849.48000000001</v>
      </c>
    </row>
    <row r="648" spans="1:2" x14ac:dyDescent="0.25">
      <c r="A648" s="4" t="s">
        <v>20</v>
      </c>
      <c r="B648" s="8">
        <v>17311.75</v>
      </c>
    </row>
    <row r="649" spans="1:2" x14ac:dyDescent="0.25">
      <c r="A649" s="4" t="s">
        <v>21</v>
      </c>
      <c r="B649" s="8">
        <v>7723.45</v>
      </c>
    </row>
    <row r="650" spans="1:2" x14ac:dyDescent="0.25">
      <c r="A650" s="4" t="s">
        <v>22</v>
      </c>
      <c r="B650" s="8">
        <v>165017.94</v>
      </c>
    </row>
    <row r="651" spans="1:2" x14ac:dyDescent="0.25">
      <c r="A651" s="4" t="s">
        <v>23</v>
      </c>
      <c r="B651" s="8">
        <v>1140</v>
      </c>
    </row>
    <row r="652" spans="1:2" x14ac:dyDescent="0.25">
      <c r="A652" s="4" t="s">
        <v>24</v>
      </c>
      <c r="B652" s="8">
        <v>3006.16</v>
      </c>
    </row>
    <row r="653" spans="1:2" x14ac:dyDescent="0.25">
      <c r="A653" s="4" t="s">
        <v>25</v>
      </c>
      <c r="B653" s="8">
        <v>139685.07</v>
      </c>
    </row>
    <row r="654" spans="1:2" x14ac:dyDescent="0.25">
      <c r="A654" s="4" t="s">
        <v>26</v>
      </c>
      <c r="B654" s="8">
        <v>350497.06</v>
      </c>
    </row>
    <row r="655" spans="1:2" x14ac:dyDescent="0.25">
      <c r="A655" s="4" t="s">
        <v>27</v>
      </c>
      <c r="B655" s="8">
        <v>283843.65999999997</v>
      </c>
    </row>
    <row r="656" spans="1:2" x14ac:dyDescent="0.25">
      <c r="A656" s="4" t="s">
        <v>2</v>
      </c>
      <c r="B656" s="8">
        <v>6444</v>
      </c>
    </row>
    <row r="657" spans="1:2" x14ac:dyDescent="0.25">
      <c r="A657" s="4" t="s">
        <v>3</v>
      </c>
      <c r="B657" s="8">
        <v>122229.61</v>
      </c>
    </row>
    <row r="658" spans="1:2" x14ac:dyDescent="0.25">
      <c r="A658" s="4" t="s">
        <v>4</v>
      </c>
      <c r="B658" s="8">
        <v>17250.66</v>
      </c>
    </row>
    <row r="659" spans="1:2" x14ac:dyDescent="0.25">
      <c r="A659" s="4" t="s">
        <v>5</v>
      </c>
      <c r="B659" s="8">
        <v>2142</v>
      </c>
    </row>
    <row r="660" spans="1:2" x14ac:dyDescent="0.25">
      <c r="A660" s="4" t="s">
        <v>6</v>
      </c>
      <c r="B660" s="8">
        <v>588</v>
      </c>
    </row>
    <row r="661" spans="1:2" x14ac:dyDescent="0.25">
      <c r="A661" s="4" t="s">
        <v>7</v>
      </c>
      <c r="B661" s="8">
        <v>86540.31</v>
      </c>
    </row>
    <row r="662" spans="1:2" x14ac:dyDescent="0.25">
      <c r="A662" s="4" t="s">
        <v>8</v>
      </c>
      <c r="B662" s="8">
        <v>298692.81</v>
      </c>
    </row>
    <row r="663" spans="1:2" x14ac:dyDescent="0.25">
      <c r="A663" s="4" t="s">
        <v>9</v>
      </c>
      <c r="B663" s="8">
        <v>96525.26</v>
      </c>
    </row>
    <row r="664" spans="1:2" x14ac:dyDescent="0.25">
      <c r="A664" s="4" t="s">
        <v>10</v>
      </c>
      <c r="B664" s="8">
        <v>145185.82</v>
      </c>
    </row>
    <row r="665" spans="1:2" x14ac:dyDescent="0.25">
      <c r="A665" s="4" t="s">
        <v>11</v>
      </c>
      <c r="B665" s="8">
        <v>325088</v>
      </c>
    </row>
    <row r="666" spans="1:2" x14ac:dyDescent="0.25">
      <c r="A666" s="4" t="s">
        <v>12</v>
      </c>
      <c r="B666" s="8">
        <v>181522.3</v>
      </c>
    </row>
    <row r="667" spans="1:2" x14ac:dyDescent="0.25">
      <c r="A667" s="4" t="s">
        <v>13</v>
      </c>
      <c r="B667" s="8">
        <v>101940</v>
      </c>
    </row>
    <row r="668" spans="1:2" x14ac:dyDescent="0.25">
      <c r="A668" s="4" t="s">
        <v>14</v>
      </c>
      <c r="B668" s="8">
        <v>13703.35</v>
      </c>
    </row>
    <row r="669" spans="1:2" x14ac:dyDescent="0.25">
      <c r="A669" s="4" t="s">
        <v>28</v>
      </c>
      <c r="B669" s="8">
        <v>22688.19</v>
      </c>
    </row>
    <row r="670" spans="1:2" x14ac:dyDescent="0.25">
      <c r="A670" s="4" t="s">
        <v>15</v>
      </c>
      <c r="B670" s="8">
        <v>132975.64000000001</v>
      </c>
    </row>
    <row r="671" spans="1:2" x14ac:dyDescent="0.25">
      <c r="A671" s="4" t="s">
        <v>16</v>
      </c>
      <c r="B671" s="8">
        <v>167673.45000000001</v>
      </c>
    </row>
    <row r="672" spans="1:2" x14ac:dyDescent="0.25">
      <c r="A672" s="4" t="s">
        <v>17</v>
      </c>
      <c r="B672" s="8">
        <v>744959.97</v>
      </c>
    </row>
    <row r="673" spans="1:2" x14ac:dyDescent="0.25">
      <c r="A673" s="4" t="s">
        <v>18</v>
      </c>
      <c r="B673" s="8">
        <v>148790.20000000001</v>
      </c>
    </row>
    <row r="674" spans="1:2" x14ac:dyDescent="0.25">
      <c r="A674" s="4" t="s">
        <v>20</v>
      </c>
      <c r="B674" s="8">
        <v>32683.16</v>
      </c>
    </row>
    <row r="675" spans="1:2" x14ac:dyDescent="0.25">
      <c r="A675" s="4" t="s">
        <v>21</v>
      </c>
      <c r="B675" s="8">
        <v>20215.86</v>
      </c>
    </row>
    <row r="676" spans="1:2" x14ac:dyDescent="0.25">
      <c r="A676" s="4" t="s">
        <v>22</v>
      </c>
      <c r="B676" s="8">
        <v>201719.34</v>
      </c>
    </row>
    <row r="677" spans="1:2" x14ac:dyDescent="0.25">
      <c r="A677" s="4" t="s">
        <v>23</v>
      </c>
      <c r="B677" s="8">
        <v>76</v>
      </c>
    </row>
    <row r="678" spans="1:2" x14ac:dyDescent="0.25">
      <c r="A678" s="4" t="s">
        <v>24</v>
      </c>
      <c r="B678" s="8">
        <v>4659.84</v>
      </c>
    </row>
    <row r="679" spans="1:2" x14ac:dyDescent="0.25">
      <c r="A679" s="4" t="s">
        <v>25</v>
      </c>
      <c r="B679" s="8">
        <v>124007.87</v>
      </c>
    </row>
    <row r="680" spans="1:2" x14ac:dyDescent="0.25">
      <c r="A680" s="4" t="s">
        <v>26</v>
      </c>
      <c r="B680" s="8">
        <v>365309.95</v>
      </c>
    </row>
    <row r="681" spans="1:2" x14ac:dyDescent="0.25">
      <c r="A681" s="4" t="s">
        <v>27</v>
      </c>
      <c r="B681" s="8">
        <v>283796.40999999997</v>
      </c>
    </row>
    <row r="682" spans="1:2" x14ac:dyDescent="0.25">
      <c r="A682" s="4" t="s">
        <v>2</v>
      </c>
      <c r="B682" s="8">
        <v>17504</v>
      </c>
    </row>
    <row r="683" spans="1:2" x14ac:dyDescent="0.25">
      <c r="A683" s="4" t="s">
        <v>3</v>
      </c>
      <c r="B683" s="8">
        <v>217059.66</v>
      </c>
    </row>
    <row r="684" spans="1:2" x14ac:dyDescent="0.25">
      <c r="A684" s="4" t="s">
        <v>4</v>
      </c>
      <c r="B684" s="8">
        <v>19621.91</v>
      </c>
    </row>
    <row r="685" spans="1:2" x14ac:dyDescent="0.25">
      <c r="A685" s="4" t="s">
        <v>5</v>
      </c>
      <c r="B685" s="8">
        <v>2296</v>
      </c>
    </row>
    <row r="686" spans="1:2" x14ac:dyDescent="0.25">
      <c r="A686" s="4" t="s">
        <v>6</v>
      </c>
      <c r="B686" s="8">
        <v>2492.87</v>
      </c>
    </row>
    <row r="687" spans="1:2" x14ac:dyDescent="0.25">
      <c r="A687" s="4" t="s">
        <v>7</v>
      </c>
      <c r="B687" s="8">
        <v>156678.97</v>
      </c>
    </row>
    <row r="688" spans="1:2" x14ac:dyDescent="0.25">
      <c r="A688" s="4" t="s">
        <v>8</v>
      </c>
      <c r="B688" s="8">
        <v>552219.79</v>
      </c>
    </row>
    <row r="689" spans="1:2" x14ac:dyDescent="0.25">
      <c r="A689" s="4" t="s">
        <v>9</v>
      </c>
      <c r="B689" s="8">
        <v>165823.35999999999</v>
      </c>
    </row>
    <row r="690" spans="1:2" x14ac:dyDescent="0.25">
      <c r="A690" s="4" t="s">
        <v>10</v>
      </c>
      <c r="B690" s="8">
        <v>231639.62</v>
      </c>
    </row>
    <row r="691" spans="1:2" x14ac:dyDescent="0.25">
      <c r="A691" s="4" t="s">
        <v>11</v>
      </c>
      <c r="B691" s="8">
        <v>606630.48</v>
      </c>
    </row>
    <row r="692" spans="1:2" x14ac:dyDescent="0.25">
      <c r="A692" s="4" t="s">
        <v>12</v>
      </c>
      <c r="B692" s="8">
        <v>288077.5</v>
      </c>
    </row>
    <row r="693" spans="1:2" x14ac:dyDescent="0.25">
      <c r="A693" s="4" t="s">
        <v>13</v>
      </c>
      <c r="B693" s="8">
        <v>162362</v>
      </c>
    </row>
    <row r="694" spans="1:2" x14ac:dyDescent="0.25">
      <c r="A694" s="4" t="s">
        <v>14</v>
      </c>
      <c r="B694" s="8">
        <v>19225.150000000001</v>
      </c>
    </row>
    <row r="695" spans="1:2" x14ac:dyDescent="0.25">
      <c r="A695" s="4" t="s">
        <v>28</v>
      </c>
      <c r="B695" s="8">
        <v>34946.15</v>
      </c>
    </row>
    <row r="696" spans="1:2" x14ac:dyDescent="0.25">
      <c r="A696" s="4" t="s">
        <v>15</v>
      </c>
      <c r="B696" s="8">
        <v>211737.72</v>
      </c>
    </row>
    <row r="697" spans="1:2" x14ac:dyDescent="0.25">
      <c r="A697" s="4" t="s">
        <v>16</v>
      </c>
      <c r="B697" s="8">
        <v>193435.41</v>
      </c>
    </row>
    <row r="698" spans="1:2" x14ac:dyDescent="0.25">
      <c r="A698" s="4" t="s">
        <v>17</v>
      </c>
      <c r="B698" s="8">
        <v>1240990.81</v>
      </c>
    </row>
    <row r="699" spans="1:2" x14ac:dyDescent="0.25">
      <c r="A699" s="4" t="s">
        <v>18</v>
      </c>
      <c r="B699" s="8">
        <v>252153.96</v>
      </c>
    </row>
    <row r="700" spans="1:2" x14ac:dyDescent="0.25">
      <c r="A700" s="4" t="s">
        <v>20</v>
      </c>
      <c r="B700" s="8">
        <v>57065.24</v>
      </c>
    </row>
    <row r="701" spans="1:2" x14ac:dyDescent="0.25">
      <c r="A701" s="4" t="s">
        <v>21</v>
      </c>
      <c r="B701" s="8">
        <v>28468.25</v>
      </c>
    </row>
    <row r="702" spans="1:2" x14ac:dyDescent="0.25">
      <c r="A702" s="4" t="s">
        <v>22</v>
      </c>
      <c r="B702" s="8">
        <v>285047.96999999997</v>
      </c>
    </row>
    <row r="703" spans="1:2" x14ac:dyDescent="0.25">
      <c r="A703" s="4" t="s">
        <v>23</v>
      </c>
      <c r="B703" s="8">
        <v>1140</v>
      </c>
    </row>
    <row r="704" spans="1:2" x14ac:dyDescent="0.25">
      <c r="A704" s="4" t="s">
        <v>24</v>
      </c>
      <c r="B704" s="8">
        <v>4929.92</v>
      </c>
    </row>
    <row r="705" spans="1:2" x14ac:dyDescent="0.25">
      <c r="A705" s="4" t="s">
        <v>25</v>
      </c>
      <c r="B705" s="8">
        <v>251981.55</v>
      </c>
    </row>
    <row r="706" spans="1:2" x14ac:dyDescent="0.25">
      <c r="A706" s="4" t="s">
        <v>26</v>
      </c>
      <c r="B706" s="8">
        <v>541621.68000000005</v>
      </c>
    </row>
    <row r="707" spans="1:2" x14ac:dyDescent="0.25">
      <c r="A707" s="4" t="s">
        <v>27</v>
      </c>
      <c r="B707" s="8">
        <v>556190.87</v>
      </c>
    </row>
    <row r="708" spans="1:2" x14ac:dyDescent="0.25">
      <c r="A708" s="4" t="s">
        <v>2</v>
      </c>
      <c r="B708" s="8">
        <v>6222</v>
      </c>
    </row>
    <row r="709" spans="1:2" x14ac:dyDescent="0.25">
      <c r="A709" s="4" t="s">
        <v>3</v>
      </c>
      <c r="B709" s="8">
        <v>129680.11</v>
      </c>
    </row>
    <row r="710" spans="1:2" x14ac:dyDescent="0.25">
      <c r="A710" s="4" t="s">
        <v>4</v>
      </c>
      <c r="B710" s="8">
        <v>17058.439999999999</v>
      </c>
    </row>
    <row r="711" spans="1:2" x14ac:dyDescent="0.25">
      <c r="A711" s="4" t="s">
        <v>5</v>
      </c>
      <c r="B711" s="8">
        <v>2296</v>
      </c>
    </row>
    <row r="712" spans="1:2" x14ac:dyDescent="0.25">
      <c r="A712" s="4" t="s">
        <v>6</v>
      </c>
      <c r="B712" s="8">
        <v>2585</v>
      </c>
    </row>
    <row r="713" spans="1:2" x14ac:dyDescent="0.25">
      <c r="A713" s="4" t="s">
        <v>7</v>
      </c>
      <c r="B713" s="8">
        <v>122286.01</v>
      </c>
    </row>
    <row r="714" spans="1:2" x14ac:dyDescent="0.25">
      <c r="A714" s="4" t="s">
        <v>8</v>
      </c>
      <c r="B714" s="8">
        <v>477166.15</v>
      </c>
    </row>
    <row r="715" spans="1:2" x14ac:dyDescent="0.25">
      <c r="A715" s="4" t="s">
        <v>9</v>
      </c>
      <c r="B715" s="8">
        <v>114416.83</v>
      </c>
    </row>
    <row r="716" spans="1:2" x14ac:dyDescent="0.25">
      <c r="A716" s="4" t="s">
        <v>10</v>
      </c>
      <c r="B716" s="8">
        <v>192399.14</v>
      </c>
    </row>
    <row r="717" spans="1:2" x14ac:dyDescent="0.25">
      <c r="A717" s="4" t="s">
        <v>11</v>
      </c>
      <c r="B717" s="8">
        <v>285736.99</v>
      </c>
    </row>
    <row r="718" spans="1:2" x14ac:dyDescent="0.25">
      <c r="A718" s="4" t="s">
        <v>12</v>
      </c>
      <c r="B718" s="8">
        <v>199465.1</v>
      </c>
    </row>
    <row r="719" spans="1:2" x14ac:dyDescent="0.25">
      <c r="A719" s="4" t="s">
        <v>13</v>
      </c>
      <c r="B719" s="8">
        <v>103743</v>
      </c>
    </row>
    <row r="720" spans="1:2" x14ac:dyDescent="0.25">
      <c r="A720" s="4" t="s">
        <v>14</v>
      </c>
      <c r="B720" s="8">
        <v>30991.5</v>
      </c>
    </row>
    <row r="721" spans="1:2" x14ac:dyDescent="0.25">
      <c r="A721" s="4" t="s">
        <v>28</v>
      </c>
      <c r="B721" s="8">
        <v>16836.05</v>
      </c>
    </row>
    <row r="722" spans="1:2" x14ac:dyDescent="0.25">
      <c r="A722" s="4" t="s">
        <v>15</v>
      </c>
      <c r="B722" s="8">
        <v>177634.91</v>
      </c>
    </row>
    <row r="723" spans="1:2" x14ac:dyDescent="0.25">
      <c r="A723" s="4" t="s">
        <v>16</v>
      </c>
      <c r="B723" s="8">
        <v>88679.65</v>
      </c>
    </row>
    <row r="724" spans="1:2" x14ac:dyDescent="0.25">
      <c r="A724" s="4" t="s">
        <v>17</v>
      </c>
      <c r="B724" s="8">
        <v>858942.07</v>
      </c>
    </row>
    <row r="725" spans="1:2" x14ac:dyDescent="0.25">
      <c r="A725" s="4" t="s">
        <v>18</v>
      </c>
      <c r="B725" s="8">
        <v>179139.98</v>
      </c>
    </row>
    <row r="726" spans="1:2" x14ac:dyDescent="0.25">
      <c r="A726" s="4" t="s">
        <v>20</v>
      </c>
      <c r="B726" s="8">
        <v>45670.559999999998</v>
      </c>
    </row>
    <row r="727" spans="1:2" x14ac:dyDescent="0.25">
      <c r="A727" s="4" t="s">
        <v>21</v>
      </c>
      <c r="B727" s="8">
        <v>47618.400000000001</v>
      </c>
    </row>
    <row r="728" spans="1:2" x14ac:dyDescent="0.25">
      <c r="A728" s="4" t="s">
        <v>22</v>
      </c>
      <c r="B728" s="8">
        <v>229190.31</v>
      </c>
    </row>
    <row r="729" spans="1:2" x14ac:dyDescent="0.25">
      <c r="A729" s="4" t="s">
        <v>23</v>
      </c>
      <c r="B729" s="8">
        <v>684</v>
      </c>
    </row>
    <row r="730" spans="1:2" x14ac:dyDescent="0.25">
      <c r="A730" s="4" t="s">
        <v>24</v>
      </c>
      <c r="B730" s="8">
        <v>3200.88</v>
      </c>
    </row>
    <row r="731" spans="1:2" x14ac:dyDescent="0.25">
      <c r="A731" s="4" t="s">
        <v>25</v>
      </c>
      <c r="B731" s="8">
        <v>192404.24</v>
      </c>
    </row>
    <row r="732" spans="1:2" x14ac:dyDescent="0.25">
      <c r="A732" s="4" t="s">
        <v>26</v>
      </c>
      <c r="B732" s="8">
        <v>475876.68</v>
      </c>
    </row>
    <row r="733" spans="1:2" x14ac:dyDescent="0.25">
      <c r="A733" s="4" t="s">
        <v>27</v>
      </c>
      <c r="B733" s="8">
        <v>475655.77</v>
      </c>
    </row>
    <row r="734" spans="1:2" x14ac:dyDescent="0.25">
      <c r="A734" s="4" t="s">
        <v>2</v>
      </c>
      <c r="B734" s="8">
        <v>3927</v>
      </c>
    </row>
    <row r="735" spans="1:2" x14ac:dyDescent="0.25">
      <c r="A735" s="4" t="s">
        <v>3</v>
      </c>
      <c r="B735" s="8">
        <v>66238.600000000006</v>
      </c>
    </row>
    <row r="736" spans="1:2" x14ac:dyDescent="0.25">
      <c r="A736" s="4" t="s">
        <v>4</v>
      </c>
      <c r="B736" s="8">
        <v>14917.76</v>
      </c>
    </row>
    <row r="737" spans="1:2" x14ac:dyDescent="0.25">
      <c r="A737" s="4" t="s">
        <v>7</v>
      </c>
      <c r="B737" s="8">
        <v>91187.49</v>
      </c>
    </row>
    <row r="738" spans="1:2" x14ac:dyDescent="0.25">
      <c r="A738" s="4" t="s">
        <v>8</v>
      </c>
      <c r="B738" s="8">
        <v>299204.81</v>
      </c>
    </row>
    <row r="739" spans="1:2" x14ac:dyDescent="0.25">
      <c r="A739" s="4" t="s">
        <v>9</v>
      </c>
      <c r="B739" s="8">
        <v>93558.37</v>
      </c>
    </row>
    <row r="740" spans="1:2" x14ac:dyDescent="0.25">
      <c r="A740" s="4" t="s">
        <v>10</v>
      </c>
      <c r="B740" s="8">
        <v>141308.07</v>
      </c>
    </row>
    <row r="741" spans="1:2" x14ac:dyDescent="0.25">
      <c r="A741" s="4" t="s">
        <v>11</v>
      </c>
      <c r="B741" s="8">
        <v>204402.99</v>
      </c>
    </row>
    <row r="742" spans="1:2" x14ac:dyDescent="0.25">
      <c r="A742" s="4" t="s">
        <v>12</v>
      </c>
      <c r="B742" s="8">
        <v>112010.7</v>
      </c>
    </row>
    <row r="743" spans="1:2" x14ac:dyDescent="0.25">
      <c r="A743" s="4" t="s">
        <v>13</v>
      </c>
      <c r="B743" s="8">
        <v>67516</v>
      </c>
    </row>
    <row r="744" spans="1:2" x14ac:dyDescent="0.25">
      <c r="A744" s="4" t="s">
        <v>14</v>
      </c>
      <c r="B744" s="8">
        <v>27651.599999999999</v>
      </c>
    </row>
    <row r="745" spans="1:2" x14ac:dyDescent="0.25">
      <c r="A745" s="4" t="s">
        <v>28</v>
      </c>
      <c r="B745" s="8">
        <v>6668.96</v>
      </c>
    </row>
    <row r="746" spans="1:2" x14ac:dyDescent="0.25">
      <c r="A746" s="4" t="s">
        <v>15</v>
      </c>
      <c r="B746" s="8">
        <v>119243.79</v>
      </c>
    </row>
    <row r="747" spans="1:2" x14ac:dyDescent="0.25">
      <c r="A747" s="4" t="s">
        <v>16</v>
      </c>
      <c r="B747" s="8">
        <v>72060.070000000007</v>
      </c>
    </row>
    <row r="748" spans="1:2" x14ac:dyDescent="0.25">
      <c r="A748" s="4" t="s">
        <v>17</v>
      </c>
      <c r="B748" s="8">
        <v>527186.63</v>
      </c>
    </row>
    <row r="749" spans="1:2" x14ac:dyDescent="0.25">
      <c r="A749" s="4" t="s">
        <v>18</v>
      </c>
      <c r="B749" s="8">
        <v>101802.3</v>
      </c>
    </row>
    <row r="750" spans="1:2" x14ac:dyDescent="0.25">
      <c r="A750" s="4" t="s">
        <v>20</v>
      </c>
      <c r="B750" s="8">
        <v>29248.44</v>
      </c>
    </row>
    <row r="751" spans="1:2" x14ac:dyDescent="0.25">
      <c r="A751" s="4" t="s">
        <v>21</v>
      </c>
      <c r="B751" s="8">
        <v>13231.59</v>
      </c>
    </row>
    <row r="752" spans="1:2" x14ac:dyDescent="0.25">
      <c r="A752" s="4" t="s">
        <v>22</v>
      </c>
      <c r="B752" s="8">
        <v>165344.51</v>
      </c>
    </row>
    <row r="753" spans="1:2" x14ac:dyDescent="0.25">
      <c r="A753" s="4" t="s">
        <v>23</v>
      </c>
      <c r="B753" s="8">
        <v>608</v>
      </c>
    </row>
    <row r="754" spans="1:2" x14ac:dyDescent="0.25">
      <c r="A754" s="4" t="s">
        <v>24</v>
      </c>
      <c r="B754" s="8">
        <v>2030.28</v>
      </c>
    </row>
    <row r="755" spans="1:2" x14ac:dyDescent="0.25">
      <c r="A755" s="4" t="s">
        <v>25</v>
      </c>
      <c r="B755" s="8">
        <v>123797.26</v>
      </c>
    </row>
    <row r="756" spans="1:2" x14ac:dyDescent="0.25">
      <c r="A756" s="4" t="s">
        <v>26</v>
      </c>
      <c r="B756" s="8">
        <v>271247.24</v>
      </c>
    </row>
    <row r="757" spans="1:2" x14ac:dyDescent="0.25">
      <c r="A757" s="4" t="s">
        <v>27</v>
      </c>
      <c r="B757" s="8">
        <v>234118.37</v>
      </c>
    </row>
    <row r="758" spans="1:2" x14ac:dyDescent="0.25">
      <c r="A758" s="4" t="s">
        <v>2</v>
      </c>
      <c r="B758" s="8">
        <v>3536</v>
      </c>
    </row>
    <row r="759" spans="1:2" x14ac:dyDescent="0.25">
      <c r="A759" s="4" t="s">
        <v>3</v>
      </c>
      <c r="B759" s="8">
        <v>117850.49</v>
      </c>
    </row>
    <row r="760" spans="1:2" x14ac:dyDescent="0.25">
      <c r="A760" s="4" t="s">
        <v>4</v>
      </c>
      <c r="B760" s="8">
        <v>27616.54</v>
      </c>
    </row>
    <row r="761" spans="1:2" x14ac:dyDescent="0.25">
      <c r="A761" s="4" t="s">
        <v>5</v>
      </c>
      <c r="B761" s="8">
        <v>1722</v>
      </c>
    </row>
    <row r="762" spans="1:2" x14ac:dyDescent="0.25">
      <c r="A762" s="4" t="s">
        <v>6</v>
      </c>
      <c r="B762" s="8">
        <v>1140</v>
      </c>
    </row>
    <row r="763" spans="1:2" x14ac:dyDescent="0.25">
      <c r="A763" s="4" t="s">
        <v>7</v>
      </c>
      <c r="B763" s="8">
        <v>82732.37</v>
      </c>
    </row>
    <row r="764" spans="1:2" x14ac:dyDescent="0.25">
      <c r="A764" s="4" t="s">
        <v>8</v>
      </c>
      <c r="B764" s="8">
        <v>427857.33</v>
      </c>
    </row>
    <row r="765" spans="1:2" x14ac:dyDescent="0.25">
      <c r="A765" s="4" t="s">
        <v>9</v>
      </c>
      <c r="B765" s="8">
        <v>76870.080000000002</v>
      </c>
    </row>
    <row r="766" spans="1:2" x14ac:dyDescent="0.25">
      <c r="A766" s="4" t="s">
        <v>10</v>
      </c>
      <c r="B766" s="8">
        <v>155743.01999999999</v>
      </c>
    </row>
    <row r="767" spans="1:2" x14ac:dyDescent="0.25">
      <c r="A767" s="4" t="s">
        <v>11</v>
      </c>
      <c r="B767" s="8">
        <v>205967.48</v>
      </c>
    </row>
    <row r="768" spans="1:2" x14ac:dyDescent="0.25">
      <c r="A768" s="4" t="s">
        <v>12</v>
      </c>
      <c r="B768" s="8">
        <v>101368.8</v>
      </c>
    </row>
    <row r="769" spans="1:2" x14ac:dyDescent="0.25">
      <c r="A769" s="4" t="s">
        <v>13</v>
      </c>
      <c r="B769" s="8">
        <v>53754</v>
      </c>
    </row>
    <row r="770" spans="1:2" x14ac:dyDescent="0.25">
      <c r="A770" s="4" t="s">
        <v>14</v>
      </c>
      <c r="B770" s="8">
        <v>12282.55</v>
      </c>
    </row>
    <row r="771" spans="1:2" x14ac:dyDescent="0.25">
      <c r="A771" s="4" t="s">
        <v>28</v>
      </c>
      <c r="B771" s="8">
        <v>7347.69</v>
      </c>
    </row>
    <row r="772" spans="1:2" x14ac:dyDescent="0.25">
      <c r="A772" s="4" t="s">
        <v>15</v>
      </c>
      <c r="B772" s="8">
        <v>89322.21</v>
      </c>
    </row>
    <row r="773" spans="1:2" x14ac:dyDescent="0.25">
      <c r="A773" s="4" t="s">
        <v>16</v>
      </c>
      <c r="B773" s="8">
        <v>50058.04</v>
      </c>
    </row>
    <row r="774" spans="1:2" x14ac:dyDescent="0.25">
      <c r="A774" s="4" t="s">
        <v>17</v>
      </c>
      <c r="B774" s="8">
        <v>460201.77</v>
      </c>
    </row>
    <row r="775" spans="1:2" x14ac:dyDescent="0.25">
      <c r="A775" s="4" t="s">
        <v>18</v>
      </c>
      <c r="B775" s="8">
        <v>92350.96</v>
      </c>
    </row>
    <row r="776" spans="1:2" x14ac:dyDescent="0.25">
      <c r="A776" s="4" t="s">
        <v>20</v>
      </c>
      <c r="B776" s="8">
        <v>17725.09</v>
      </c>
    </row>
    <row r="777" spans="1:2" x14ac:dyDescent="0.25">
      <c r="A777" s="4" t="s">
        <v>21</v>
      </c>
      <c r="B777" s="8">
        <v>19596.55</v>
      </c>
    </row>
    <row r="778" spans="1:2" x14ac:dyDescent="0.25">
      <c r="A778" s="4" t="s">
        <v>22</v>
      </c>
      <c r="B778" s="8">
        <v>188473.51</v>
      </c>
    </row>
    <row r="779" spans="1:2" x14ac:dyDescent="0.25">
      <c r="A779" s="4" t="s">
        <v>24</v>
      </c>
      <c r="B779" s="8">
        <v>2155.92</v>
      </c>
    </row>
    <row r="780" spans="1:2" x14ac:dyDescent="0.25">
      <c r="A780" s="4" t="s">
        <v>25</v>
      </c>
      <c r="B780" s="8">
        <v>69393.66</v>
      </c>
    </row>
    <row r="781" spans="1:2" x14ac:dyDescent="0.25">
      <c r="A781" s="4" t="s">
        <v>26</v>
      </c>
      <c r="B781" s="8">
        <v>223816.03</v>
      </c>
    </row>
    <row r="782" spans="1:2" x14ac:dyDescent="0.25">
      <c r="A782" s="4" t="s">
        <v>27</v>
      </c>
      <c r="B782" s="8">
        <v>173759</v>
      </c>
    </row>
    <row r="783" spans="1:2" x14ac:dyDescent="0.25">
      <c r="A783" s="4" t="s">
        <v>2</v>
      </c>
      <c r="B783" s="8">
        <v>11087</v>
      </c>
    </row>
    <row r="784" spans="1:2" x14ac:dyDescent="0.25">
      <c r="A784" s="4" t="s">
        <v>3</v>
      </c>
      <c r="B784" s="8">
        <v>170314.03</v>
      </c>
    </row>
    <row r="785" spans="1:2" x14ac:dyDescent="0.25">
      <c r="A785" s="4" t="s">
        <v>4</v>
      </c>
      <c r="B785" s="8">
        <v>15738.45</v>
      </c>
    </row>
    <row r="786" spans="1:2" x14ac:dyDescent="0.25">
      <c r="A786" s="4" t="s">
        <v>6</v>
      </c>
      <c r="B786" s="8">
        <v>3524</v>
      </c>
    </row>
    <row r="787" spans="1:2" x14ac:dyDescent="0.25">
      <c r="A787" s="4" t="s">
        <v>7</v>
      </c>
      <c r="B787" s="8">
        <v>101833.89</v>
      </c>
    </row>
    <row r="788" spans="1:2" x14ac:dyDescent="0.25">
      <c r="A788" s="4" t="s">
        <v>8</v>
      </c>
      <c r="B788" s="8">
        <v>451102.25</v>
      </c>
    </row>
    <row r="789" spans="1:2" x14ac:dyDescent="0.25">
      <c r="A789" s="4" t="s">
        <v>9</v>
      </c>
      <c r="B789" s="8">
        <v>110808.98</v>
      </c>
    </row>
    <row r="790" spans="1:2" x14ac:dyDescent="0.25">
      <c r="A790" s="4" t="s">
        <v>10</v>
      </c>
      <c r="B790" s="8">
        <v>167001</v>
      </c>
    </row>
    <row r="791" spans="1:2" x14ac:dyDescent="0.25">
      <c r="A791" s="4" t="s">
        <v>11</v>
      </c>
      <c r="B791" s="8">
        <v>338873.48</v>
      </c>
    </row>
    <row r="792" spans="1:2" x14ac:dyDescent="0.25">
      <c r="A792" s="4" t="s">
        <v>12</v>
      </c>
      <c r="B792" s="8">
        <v>183395.16</v>
      </c>
    </row>
    <row r="793" spans="1:2" x14ac:dyDescent="0.25">
      <c r="A793" s="4" t="s">
        <v>13</v>
      </c>
      <c r="B793" s="8">
        <v>76501</v>
      </c>
    </row>
    <row r="794" spans="1:2" x14ac:dyDescent="0.25">
      <c r="A794" s="4" t="s">
        <v>14</v>
      </c>
      <c r="B794" s="8">
        <v>13646.3</v>
      </c>
    </row>
    <row r="795" spans="1:2" x14ac:dyDescent="0.25">
      <c r="A795" s="4" t="s">
        <v>28</v>
      </c>
      <c r="B795" s="8">
        <v>10575.53</v>
      </c>
    </row>
    <row r="796" spans="1:2" x14ac:dyDescent="0.25">
      <c r="A796" s="4" t="s">
        <v>15</v>
      </c>
      <c r="B796" s="8">
        <v>104591.83</v>
      </c>
    </row>
    <row r="797" spans="1:2" x14ac:dyDescent="0.25">
      <c r="A797" s="4" t="s">
        <v>16</v>
      </c>
      <c r="B797" s="8">
        <v>66699.87</v>
      </c>
    </row>
    <row r="798" spans="1:2" x14ac:dyDescent="0.25">
      <c r="A798" s="4" t="s">
        <v>17</v>
      </c>
      <c r="B798" s="8">
        <v>539223.98</v>
      </c>
    </row>
    <row r="799" spans="1:2" x14ac:dyDescent="0.25">
      <c r="A799" s="4" t="s">
        <v>18</v>
      </c>
      <c r="B799" s="8">
        <v>64967.98</v>
      </c>
    </row>
    <row r="800" spans="1:2" x14ac:dyDescent="0.25">
      <c r="A800" s="4" t="s">
        <v>20</v>
      </c>
      <c r="B800" s="8">
        <v>23011.42</v>
      </c>
    </row>
    <row r="801" spans="1:2" x14ac:dyDescent="0.25">
      <c r="A801" s="4" t="s">
        <v>21</v>
      </c>
      <c r="B801" s="8">
        <v>19902.349999999999</v>
      </c>
    </row>
    <row r="802" spans="1:2" x14ac:dyDescent="0.25">
      <c r="A802" s="4" t="s">
        <v>22</v>
      </c>
      <c r="B802" s="8">
        <v>160798.01999999999</v>
      </c>
    </row>
    <row r="803" spans="1:2" x14ac:dyDescent="0.25">
      <c r="A803" s="4" t="s">
        <v>23</v>
      </c>
      <c r="B803" s="8">
        <v>760</v>
      </c>
    </row>
    <row r="804" spans="1:2" x14ac:dyDescent="0.25">
      <c r="A804" s="4" t="s">
        <v>24</v>
      </c>
      <c r="B804" s="8">
        <v>371.6</v>
      </c>
    </row>
    <row r="805" spans="1:2" x14ac:dyDescent="0.25">
      <c r="A805" s="4" t="s">
        <v>25</v>
      </c>
      <c r="B805" s="8">
        <v>105836.29</v>
      </c>
    </row>
    <row r="806" spans="1:2" x14ac:dyDescent="0.25">
      <c r="A806" s="4" t="s">
        <v>26</v>
      </c>
      <c r="B806" s="8">
        <v>370788.52</v>
      </c>
    </row>
    <row r="807" spans="1:2" x14ac:dyDescent="0.25">
      <c r="A807" s="4" t="s">
        <v>27</v>
      </c>
      <c r="B807" s="8">
        <v>276273.24</v>
      </c>
    </row>
    <row r="808" spans="1:2" x14ac:dyDescent="0.25">
      <c r="A808" s="4" t="s">
        <v>2</v>
      </c>
      <c r="B808" s="8">
        <v>12698</v>
      </c>
    </row>
    <row r="809" spans="1:2" x14ac:dyDescent="0.25">
      <c r="A809" s="4" t="s">
        <v>3</v>
      </c>
      <c r="B809" s="8">
        <v>193073.35</v>
      </c>
    </row>
    <row r="810" spans="1:2" x14ac:dyDescent="0.25">
      <c r="A810" s="4" t="s">
        <v>4</v>
      </c>
      <c r="B810" s="8">
        <v>27638.34</v>
      </c>
    </row>
    <row r="811" spans="1:2" x14ac:dyDescent="0.25">
      <c r="A811" s="4" t="s">
        <v>5</v>
      </c>
      <c r="B811" s="8">
        <v>574</v>
      </c>
    </row>
    <row r="812" spans="1:2" x14ac:dyDescent="0.25">
      <c r="A812" s="4" t="s">
        <v>6</v>
      </c>
      <c r="B812" s="8">
        <v>2642</v>
      </c>
    </row>
    <row r="813" spans="1:2" x14ac:dyDescent="0.25">
      <c r="A813" s="4" t="s">
        <v>7</v>
      </c>
      <c r="B813" s="8">
        <v>76875.92</v>
      </c>
    </row>
    <row r="814" spans="1:2" x14ac:dyDescent="0.25">
      <c r="A814" s="4" t="s">
        <v>8</v>
      </c>
      <c r="B814" s="8">
        <v>457472.92</v>
      </c>
    </row>
    <row r="815" spans="1:2" x14ac:dyDescent="0.25">
      <c r="A815" s="4" t="s">
        <v>9</v>
      </c>
      <c r="B815" s="8">
        <v>101059.64</v>
      </c>
    </row>
    <row r="816" spans="1:2" x14ac:dyDescent="0.25">
      <c r="A816" s="4" t="s">
        <v>10</v>
      </c>
      <c r="B816" s="8">
        <v>150001.95000000001</v>
      </c>
    </row>
    <row r="817" spans="1:2" x14ac:dyDescent="0.25">
      <c r="A817" s="4" t="s">
        <v>11</v>
      </c>
      <c r="B817" s="8">
        <v>236735</v>
      </c>
    </row>
    <row r="818" spans="1:2" x14ac:dyDescent="0.25">
      <c r="A818" s="4" t="s">
        <v>12</v>
      </c>
      <c r="B818" s="8">
        <v>136533.9</v>
      </c>
    </row>
    <row r="819" spans="1:2" x14ac:dyDescent="0.25">
      <c r="A819" s="4" t="s">
        <v>13</v>
      </c>
      <c r="B819" s="8">
        <v>47949</v>
      </c>
    </row>
    <row r="820" spans="1:2" x14ac:dyDescent="0.25">
      <c r="A820" s="4" t="s">
        <v>14</v>
      </c>
      <c r="B820" s="8">
        <v>28042.15</v>
      </c>
    </row>
    <row r="821" spans="1:2" x14ac:dyDescent="0.25">
      <c r="A821" s="4" t="s">
        <v>28</v>
      </c>
      <c r="B821" s="8">
        <v>16664.71</v>
      </c>
    </row>
    <row r="822" spans="1:2" x14ac:dyDescent="0.25">
      <c r="A822" s="4" t="s">
        <v>15</v>
      </c>
      <c r="B822" s="8">
        <v>141250.1</v>
      </c>
    </row>
    <row r="823" spans="1:2" x14ac:dyDescent="0.25">
      <c r="A823" s="4" t="s">
        <v>16</v>
      </c>
      <c r="B823" s="8">
        <v>93380.14</v>
      </c>
    </row>
    <row r="824" spans="1:2" x14ac:dyDescent="0.25">
      <c r="A824" s="4" t="s">
        <v>17</v>
      </c>
      <c r="B824" s="8">
        <v>582822.62</v>
      </c>
    </row>
    <row r="825" spans="1:2" x14ac:dyDescent="0.25">
      <c r="A825" s="4" t="s">
        <v>18</v>
      </c>
      <c r="B825" s="8">
        <v>121897.42</v>
      </c>
    </row>
    <row r="826" spans="1:2" x14ac:dyDescent="0.25">
      <c r="A826" s="4" t="s">
        <v>20</v>
      </c>
      <c r="B826" s="8">
        <v>13116.42</v>
      </c>
    </row>
    <row r="827" spans="1:2" x14ac:dyDescent="0.25">
      <c r="A827" s="4" t="s">
        <v>21</v>
      </c>
      <c r="B827" s="8">
        <v>19492.12</v>
      </c>
    </row>
    <row r="828" spans="1:2" x14ac:dyDescent="0.25">
      <c r="A828" s="4" t="s">
        <v>22</v>
      </c>
      <c r="B828" s="8">
        <v>196754.29</v>
      </c>
    </row>
    <row r="829" spans="1:2" x14ac:dyDescent="0.25">
      <c r="A829" s="4" t="s">
        <v>23</v>
      </c>
      <c r="B829" s="8">
        <v>684</v>
      </c>
    </row>
    <row r="830" spans="1:2" x14ac:dyDescent="0.25">
      <c r="A830" s="4" t="s">
        <v>24</v>
      </c>
      <c r="B830" s="8">
        <v>2135.3200000000002</v>
      </c>
    </row>
    <row r="831" spans="1:2" x14ac:dyDescent="0.25">
      <c r="A831" s="4" t="s">
        <v>25</v>
      </c>
      <c r="B831" s="8">
        <v>99581.45</v>
      </c>
    </row>
    <row r="832" spans="1:2" x14ac:dyDescent="0.25">
      <c r="A832" s="4" t="s">
        <v>26</v>
      </c>
      <c r="B832" s="8">
        <v>276162.46000000002</v>
      </c>
    </row>
    <row r="833" spans="1:2" x14ac:dyDescent="0.25">
      <c r="A833" s="4" t="s">
        <v>27</v>
      </c>
      <c r="B833" s="8">
        <v>225711</v>
      </c>
    </row>
    <row r="834" spans="1:2" x14ac:dyDescent="0.25">
      <c r="A834" s="4" t="s">
        <v>2</v>
      </c>
      <c r="B834" s="8">
        <v>10121</v>
      </c>
    </row>
    <row r="835" spans="1:2" x14ac:dyDescent="0.25">
      <c r="A835" s="4" t="s">
        <v>3</v>
      </c>
      <c r="B835" s="8">
        <v>213630.96</v>
      </c>
    </row>
    <row r="836" spans="1:2" x14ac:dyDescent="0.25">
      <c r="A836" s="4" t="s">
        <v>4</v>
      </c>
      <c r="B836" s="8">
        <v>72934.39</v>
      </c>
    </row>
    <row r="837" spans="1:2" x14ac:dyDescent="0.25">
      <c r="A837" s="4" t="s">
        <v>5</v>
      </c>
      <c r="B837" s="8">
        <v>1722</v>
      </c>
    </row>
    <row r="838" spans="1:2" x14ac:dyDescent="0.25">
      <c r="A838" s="4" t="s">
        <v>6</v>
      </c>
      <c r="B838" s="8">
        <v>588</v>
      </c>
    </row>
    <row r="839" spans="1:2" x14ac:dyDescent="0.25">
      <c r="A839" s="4" t="s">
        <v>7</v>
      </c>
      <c r="B839" s="8">
        <v>123603.02</v>
      </c>
    </row>
    <row r="840" spans="1:2" x14ac:dyDescent="0.25">
      <c r="A840" s="4" t="s">
        <v>8</v>
      </c>
      <c r="B840" s="8">
        <v>514287.65</v>
      </c>
    </row>
    <row r="841" spans="1:2" x14ac:dyDescent="0.25">
      <c r="A841" s="4" t="s">
        <v>9</v>
      </c>
      <c r="B841" s="8">
        <v>162658.87</v>
      </c>
    </row>
    <row r="842" spans="1:2" x14ac:dyDescent="0.25">
      <c r="A842" s="4" t="s">
        <v>10</v>
      </c>
      <c r="B842" s="8">
        <v>207036.35</v>
      </c>
    </row>
    <row r="843" spans="1:2" x14ac:dyDescent="0.25">
      <c r="A843" s="4" t="s">
        <v>11</v>
      </c>
      <c r="B843" s="8">
        <v>440742.99</v>
      </c>
    </row>
    <row r="844" spans="1:2" x14ac:dyDescent="0.25">
      <c r="A844" s="4" t="s">
        <v>12</v>
      </c>
      <c r="B844" s="8">
        <v>228882.1</v>
      </c>
    </row>
    <row r="845" spans="1:2" x14ac:dyDescent="0.25">
      <c r="A845" s="4" t="s">
        <v>13</v>
      </c>
      <c r="B845" s="8">
        <v>62686</v>
      </c>
    </row>
    <row r="846" spans="1:2" x14ac:dyDescent="0.25">
      <c r="A846" s="4" t="s">
        <v>14</v>
      </c>
      <c r="B846" s="8">
        <v>18599.599999999999</v>
      </c>
    </row>
    <row r="847" spans="1:2" x14ac:dyDescent="0.25">
      <c r="A847" s="4" t="s">
        <v>28</v>
      </c>
      <c r="B847" s="8">
        <v>11113.37</v>
      </c>
    </row>
    <row r="848" spans="1:2" x14ac:dyDescent="0.25">
      <c r="A848" s="4" t="s">
        <v>15</v>
      </c>
      <c r="B848" s="8">
        <v>142717.26999999999</v>
      </c>
    </row>
    <row r="849" spans="1:2" x14ac:dyDescent="0.25">
      <c r="A849" s="4" t="s">
        <v>16</v>
      </c>
      <c r="B849" s="8">
        <v>114934.84</v>
      </c>
    </row>
    <row r="850" spans="1:2" x14ac:dyDescent="0.25">
      <c r="A850" s="4" t="s">
        <v>17</v>
      </c>
      <c r="B850" s="8">
        <v>666366.12</v>
      </c>
    </row>
    <row r="851" spans="1:2" x14ac:dyDescent="0.25">
      <c r="A851" s="4" t="s">
        <v>18</v>
      </c>
      <c r="B851" s="8">
        <v>181392.96</v>
      </c>
    </row>
    <row r="852" spans="1:2" x14ac:dyDescent="0.25">
      <c r="A852" s="4" t="s">
        <v>20</v>
      </c>
      <c r="B852" s="8">
        <v>31369.41</v>
      </c>
    </row>
    <row r="853" spans="1:2" x14ac:dyDescent="0.25">
      <c r="A853" s="4" t="s">
        <v>21</v>
      </c>
      <c r="B853" s="8">
        <v>16729.3</v>
      </c>
    </row>
    <row r="854" spans="1:2" x14ac:dyDescent="0.25">
      <c r="A854" s="4" t="s">
        <v>22</v>
      </c>
      <c r="B854" s="8">
        <v>244027.67</v>
      </c>
    </row>
    <row r="855" spans="1:2" x14ac:dyDescent="0.25">
      <c r="A855" s="4" t="s">
        <v>23</v>
      </c>
      <c r="B855" s="8">
        <v>608</v>
      </c>
    </row>
    <row r="856" spans="1:2" x14ac:dyDescent="0.25">
      <c r="A856" s="4" t="s">
        <v>24</v>
      </c>
      <c r="B856" s="8">
        <v>2251.7600000000002</v>
      </c>
    </row>
    <row r="857" spans="1:2" x14ac:dyDescent="0.25">
      <c r="A857" s="4" t="s">
        <v>25</v>
      </c>
      <c r="B857" s="8">
        <v>167933.77</v>
      </c>
    </row>
    <row r="858" spans="1:2" x14ac:dyDescent="0.25">
      <c r="A858" s="4" t="s">
        <v>26</v>
      </c>
      <c r="B858" s="8">
        <v>408066.26</v>
      </c>
    </row>
    <row r="859" spans="1:2" x14ac:dyDescent="0.25">
      <c r="A859" s="4" t="s">
        <v>27</v>
      </c>
      <c r="B859" s="8">
        <v>374226.47</v>
      </c>
    </row>
    <row r="860" spans="1:2" x14ac:dyDescent="0.25">
      <c r="A860" s="4" t="s">
        <v>2</v>
      </c>
      <c r="B860" s="8">
        <v>24897</v>
      </c>
    </row>
    <row r="861" spans="1:2" x14ac:dyDescent="0.25">
      <c r="A861" s="4" t="s">
        <v>3</v>
      </c>
      <c r="B861" s="8">
        <v>389832.46</v>
      </c>
    </row>
    <row r="862" spans="1:2" x14ac:dyDescent="0.25">
      <c r="A862" s="4" t="s">
        <v>4</v>
      </c>
      <c r="B862" s="8">
        <v>154184.72</v>
      </c>
    </row>
    <row r="863" spans="1:2" x14ac:dyDescent="0.25">
      <c r="A863" s="4" t="s">
        <v>5</v>
      </c>
      <c r="B863" s="8">
        <v>574</v>
      </c>
    </row>
    <row r="864" spans="1:2" x14ac:dyDescent="0.25">
      <c r="A864" s="4" t="s">
        <v>6</v>
      </c>
      <c r="B864" s="8">
        <v>882</v>
      </c>
    </row>
    <row r="865" spans="1:2" x14ac:dyDescent="0.25">
      <c r="A865" s="4" t="s">
        <v>7</v>
      </c>
      <c r="B865" s="8">
        <v>214316.87</v>
      </c>
    </row>
    <row r="866" spans="1:2" x14ac:dyDescent="0.25">
      <c r="A866" s="4" t="s">
        <v>8</v>
      </c>
      <c r="B866" s="8">
        <v>739419.85</v>
      </c>
    </row>
    <row r="867" spans="1:2" x14ac:dyDescent="0.25">
      <c r="A867" s="4" t="s">
        <v>9</v>
      </c>
      <c r="B867" s="8">
        <v>229940.46</v>
      </c>
    </row>
    <row r="868" spans="1:2" x14ac:dyDescent="0.25">
      <c r="A868" s="4" t="s">
        <v>10</v>
      </c>
      <c r="B868" s="8">
        <v>327979.65000000002</v>
      </c>
    </row>
    <row r="869" spans="1:2" x14ac:dyDescent="0.25">
      <c r="A869" s="4" t="s">
        <v>11</v>
      </c>
      <c r="B869" s="8">
        <v>692174.98</v>
      </c>
    </row>
    <row r="870" spans="1:2" x14ac:dyDescent="0.25">
      <c r="A870" s="4" t="s">
        <v>12</v>
      </c>
      <c r="B870" s="8">
        <v>322383.5</v>
      </c>
    </row>
    <row r="871" spans="1:2" x14ac:dyDescent="0.25">
      <c r="A871" s="4" t="s">
        <v>13</v>
      </c>
      <c r="B871" s="8">
        <v>199743</v>
      </c>
    </row>
    <row r="872" spans="1:2" x14ac:dyDescent="0.25">
      <c r="A872" s="4" t="s">
        <v>14</v>
      </c>
      <c r="B872" s="8">
        <v>28518.95</v>
      </c>
    </row>
    <row r="873" spans="1:2" x14ac:dyDescent="0.25">
      <c r="A873" s="4" t="s">
        <v>28</v>
      </c>
      <c r="B873" s="8">
        <v>12974.11</v>
      </c>
    </row>
    <row r="874" spans="1:2" x14ac:dyDescent="0.25">
      <c r="A874" s="4" t="s">
        <v>15</v>
      </c>
      <c r="B874" s="8">
        <v>199740.11</v>
      </c>
    </row>
    <row r="875" spans="1:2" x14ac:dyDescent="0.25">
      <c r="A875" s="4" t="s">
        <v>16</v>
      </c>
      <c r="B875" s="8">
        <v>130792.8</v>
      </c>
    </row>
    <row r="876" spans="1:2" x14ac:dyDescent="0.25">
      <c r="A876" s="4" t="s">
        <v>17</v>
      </c>
      <c r="B876" s="8">
        <v>1096754.52</v>
      </c>
    </row>
    <row r="877" spans="1:2" x14ac:dyDescent="0.25">
      <c r="A877" s="4" t="s">
        <v>18</v>
      </c>
      <c r="B877" s="8">
        <v>265962.78000000003</v>
      </c>
    </row>
    <row r="878" spans="1:2" x14ac:dyDescent="0.25">
      <c r="A878" s="4" t="s">
        <v>20</v>
      </c>
      <c r="B878" s="8">
        <v>52635.55</v>
      </c>
    </row>
    <row r="879" spans="1:2" x14ac:dyDescent="0.25">
      <c r="A879" s="4" t="s">
        <v>21</v>
      </c>
      <c r="B879" s="8">
        <v>48809.21</v>
      </c>
    </row>
    <row r="880" spans="1:2" x14ac:dyDescent="0.25">
      <c r="A880" s="4" t="s">
        <v>22</v>
      </c>
      <c r="B880" s="8">
        <v>316717.17</v>
      </c>
    </row>
    <row r="881" spans="1:2" x14ac:dyDescent="0.25">
      <c r="A881" s="4" t="s">
        <v>23</v>
      </c>
      <c r="B881" s="8">
        <v>684</v>
      </c>
    </row>
    <row r="882" spans="1:2" x14ac:dyDescent="0.25">
      <c r="A882" s="4" t="s">
        <v>24</v>
      </c>
      <c r="B882" s="8">
        <v>2317.88</v>
      </c>
    </row>
    <row r="883" spans="1:2" x14ac:dyDescent="0.25">
      <c r="A883" s="4" t="s">
        <v>25</v>
      </c>
      <c r="B883" s="8">
        <v>248612.95</v>
      </c>
    </row>
    <row r="884" spans="1:2" x14ac:dyDescent="0.25">
      <c r="A884" s="4" t="s">
        <v>26</v>
      </c>
      <c r="B884" s="8">
        <v>927134.42</v>
      </c>
    </row>
    <row r="885" spans="1:2" x14ac:dyDescent="0.25">
      <c r="A885" s="4" t="s">
        <v>27</v>
      </c>
      <c r="B885" s="8">
        <v>361287.12</v>
      </c>
    </row>
    <row r="886" spans="1:2" x14ac:dyDescent="0.25">
      <c r="A886" s="4" t="s">
        <v>2</v>
      </c>
      <c r="B886" s="8">
        <v>10214.32</v>
      </c>
    </row>
    <row r="887" spans="1:2" x14ac:dyDescent="0.25">
      <c r="A887" s="4" t="s">
        <v>3</v>
      </c>
      <c r="B887" s="8">
        <v>304899.40999999997</v>
      </c>
    </row>
    <row r="888" spans="1:2" x14ac:dyDescent="0.25">
      <c r="A888" s="4" t="s">
        <v>4</v>
      </c>
      <c r="B888" s="8">
        <v>111885.33</v>
      </c>
    </row>
    <row r="889" spans="1:2" x14ac:dyDescent="0.25">
      <c r="A889" s="4" t="s">
        <v>5</v>
      </c>
      <c r="B889" s="8">
        <v>574</v>
      </c>
    </row>
    <row r="890" spans="1:2" x14ac:dyDescent="0.25">
      <c r="A890" s="4" t="s">
        <v>6</v>
      </c>
      <c r="B890" s="8">
        <v>1360</v>
      </c>
    </row>
    <row r="891" spans="1:2" x14ac:dyDescent="0.25">
      <c r="A891" s="4" t="s">
        <v>7</v>
      </c>
      <c r="B891" s="8">
        <v>215178.19</v>
      </c>
    </row>
    <row r="892" spans="1:2" x14ac:dyDescent="0.25">
      <c r="A892" s="4" t="s">
        <v>8</v>
      </c>
      <c r="B892" s="8">
        <v>672596.78</v>
      </c>
    </row>
    <row r="893" spans="1:2" x14ac:dyDescent="0.25">
      <c r="A893" s="4" t="s">
        <v>9</v>
      </c>
      <c r="B893" s="8">
        <v>169210.64</v>
      </c>
    </row>
    <row r="894" spans="1:2" x14ac:dyDescent="0.25">
      <c r="A894" s="4" t="s">
        <v>10</v>
      </c>
      <c r="B894" s="8">
        <v>279622.64</v>
      </c>
    </row>
    <row r="895" spans="1:2" x14ac:dyDescent="0.25">
      <c r="A895" s="4" t="s">
        <v>11</v>
      </c>
      <c r="B895" s="8">
        <v>395763.93</v>
      </c>
    </row>
    <row r="896" spans="1:2" x14ac:dyDescent="0.25">
      <c r="A896" s="4" t="s">
        <v>12</v>
      </c>
      <c r="B896" s="8">
        <v>236894.9</v>
      </c>
    </row>
    <row r="897" spans="1:2" x14ac:dyDescent="0.25">
      <c r="A897" s="4" t="s">
        <v>13</v>
      </c>
      <c r="B897" s="8">
        <v>139069</v>
      </c>
    </row>
    <row r="898" spans="1:2" x14ac:dyDescent="0.25">
      <c r="A898" s="4" t="s">
        <v>14</v>
      </c>
      <c r="B898" s="8">
        <v>18979.5</v>
      </c>
    </row>
    <row r="899" spans="1:2" x14ac:dyDescent="0.25">
      <c r="A899" s="4" t="s">
        <v>28</v>
      </c>
      <c r="B899" s="8">
        <v>12540.29</v>
      </c>
    </row>
    <row r="900" spans="1:2" x14ac:dyDescent="0.25">
      <c r="A900" s="4" t="s">
        <v>15</v>
      </c>
      <c r="B900" s="8">
        <v>144444.67000000001</v>
      </c>
    </row>
    <row r="901" spans="1:2" x14ac:dyDescent="0.25">
      <c r="A901" s="4" t="s">
        <v>16</v>
      </c>
      <c r="B901" s="8">
        <v>101094.96</v>
      </c>
    </row>
    <row r="902" spans="1:2" x14ac:dyDescent="0.25">
      <c r="A902" s="4" t="s">
        <v>17</v>
      </c>
      <c r="B902" s="8">
        <v>782201.48</v>
      </c>
    </row>
    <row r="903" spans="1:2" x14ac:dyDescent="0.25">
      <c r="A903" s="4" t="s">
        <v>18</v>
      </c>
      <c r="B903" s="8">
        <v>178153.96</v>
      </c>
    </row>
    <row r="904" spans="1:2" x14ac:dyDescent="0.25">
      <c r="A904" s="4" t="s">
        <v>20</v>
      </c>
      <c r="B904" s="8">
        <v>66224.160000000003</v>
      </c>
    </row>
    <row r="905" spans="1:2" x14ac:dyDescent="0.25">
      <c r="A905" s="4" t="s">
        <v>21</v>
      </c>
      <c r="B905" s="8">
        <v>34254.839999999997</v>
      </c>
    </row>
    <row r="906" spans="1:2" x14ac:dyDescent="0.25">
      <c r="A906" s="4" t="s">
        <v>22</v>
      </c>
      <c r="B906" s="8">
        <v>246525.62</v>
      </c>
    </row>
    <row r="907" spans="1:2" x14ac:dyDescent="0.25">
      <c r="A907" s="4" t="s">
        <v>23</v>
      </c>
      <c r="B907" s="8">
        <v>456</v>
      </c>
    </row>
    <row r="908" spans="1:2" x14ac:dyDescent="0.25">
      <c r="A908" s="4" t="s">
        <v>24</v>
      </c>
      <c r="B908" s="8">
        <v>2130.44</v>
      </c>
    </row>
    <row r="909" spans="1:2" x14ac:dyDescent="0.25">
      <c r="A909" s="4" t="s">
        <v>25</v>
      </c>
      <c r="B909" s="8">
        <v>201296.48</v>
      </c>
    </row>
    <row r="910" spans="1:2" x14ac:dyDescent="0.25">
      <c r="A910" s="4" t="s">
        <v>26</v>
      </c>
      <c r="B910" s="8">
        <v>460622.38</v>
      </c>
    </row>
    <row r="911" spans="1:2" x14ac:dyDescent="0.25">
      <c r="A911" s="4" t="s">
        <v>27</v>
      </c>
      <c r="B911" s="8">
        <v>307305.5</v>
      </c>
    </row>
    <row r="912" spans="1:2" x14ac:dyDescent="0.25">
      <c r="A912" s="4" t="s">
        <v>2</v>
      </c>
      <c r="B912" s="8">
        <v>15447.64</v>
      </c>
    </row>
    <row r="913" spans="1:2" x14ac:dyDescent="0.25">
      <c r="A913" s="4" t="s">
        <v>3</v>
      </c>
      <c r="B913" s="8">
        <v>337064.5</v>
      </c>
    </row>
    <row r="914" spans="1:2" x14ac:dyDescent="0.25">
      <c r="A914" s="4" t="s">
        <v>4</v>
      </c>
      <c r="B914" s="8">
        <v>95447.92</v>
      </c>
    </row>
    <row r="915" spans="1:2" x14ac:dyDescent="0.25">
      <c r="A915" s="4" t="s">
        <v>5</v>
      </c>
      <c r="B915" s="8">
        <v>1722</v>
      </c>
    </row>
    <row r="916" spans="1:2" x14ac:dyDescent="0.25">
      <c r="A916" s="4" t="s">
        <v>6</v>
      </c>
      <c r="B916" s="8">
        <v>294</v>
      </c>
    </row>
    <row r="917" spans="1:2" x14ac:dyDescent="0.25">
      <c r="A917" s="4" t="s">
        <v>7</v>
      </c>
      <c r="B917" s="8">
        <v>155586.91</v>
      </c>
    </row>
    <row r="918" spans="1:2" x14ac:dyDescent="0.25">
      <c r="A918" s="4" t="s">
        <v>8</v>
      </c>
      <c r="B918" s="8">
        <v>473476.18</v>
      </c>
    </row>
    <row r="919" spans="1:2" x14ac:dyDescent="0.25">
      <c r="A919" s="4" t="s">
        <v>9</v>
      </c>
      <c r="B919" s="8">
        <v>131265.31</v>
      </c>
    </row>
    <row r="920" spans="1:2" x14ac:dyDescent="0.25">
      <c r="A920" s="4" t="s">
        <v>10</v>
      </c>
      <c r="B920" s="8">
        <v>197925.54</v>
      </c>
    </row>
    <row r="921" spans="1:2" x14ac:dyDescent="0.25">
      <c r="A921" s="4" t="s">
        <v>11</v>
      </c>
      <c r="B921" s="8">
        <v>341712.67</v>
      </c>
    </row>
    <row r="922" spans="1:2" x14ac:dyDescent="0.25">
      <c r="A922" s="4" t="s">
        <v>12</v>
      </c>
      <c r="B922" s="8">
        <v>185177.60000000001</v>
      </c>
    </row>
    <row r="923" spans="1:2" x14ac:dyDescent="0.25">
      <c r="A923" s="4" t="s">
        <v>13</v>
      </c>
      <c r="B923" s="8">
        <v>60940</v>
      </c>
    </row>
    <row r="924" spans="1:2" x14ac:dyDescent="0.25">
      <c r="A924" s="4" t="s">
        <v>14</v>
      </c>
      <c r="B924" s="8">
        <v>22575.1</v>
      </c>
    </row>
    <row r="925" spans="1:2" x14ac:dyDescent="0.25">
      <c r="A925" s="4" t="s">
        <v>28</v>
      </c>
      <c r="B925" s="8">
        <v>13706.26</v>
      </c>
    </row>
    <row r="926" spans="1:2" x14ac:dyDescent="0.25">
      <c r="A926" s="4" t="s">
        <v>15</v>
      </c>
      <c r="B926" s="8">
        <v>101120.92</v>
      </c>
    </row>
    <row r="927" spans="1:2" x14ac:dyDescent="0.25">
      <c r="A927" s="4" t="s">
        <v>16</v>
      </c>
      <c r="B927" s="8">
        <v>71179.149999999994</v>
      </c>
    </row>
    <row r="928" spans="1:2" x14ac:dyDescent="0.25">
      <c r="A928" s="4" t="s">
        <v>17</v>
      </c>
      <c r="B928" s="8">
        <v>398198</v>
      </c>
    </row>
    <row r="929" spans="1:2" x14ac:dyDescent="0.25">
      <c r="A929" s="4" t="s">
        <v>18</v>
      </c>
      <c r="B929" s="8">
        <v>89060.04</v>
      </c>
    </row>
    <row r="930" spans="1:2" x14ac:dyDescent="0.25">
      <c r="A930" s="4" t="s">
        <v>20</v>
      </c>
      <c r="B930" s="8">
        <v>94779.85</v>
      </c>
    </row>
    <row r="931" spans="1:2" x14ac:dyDescent="0.25">
      <c r="A931" s="4" t="s">
        <v>21</v>
      </c>
      <c r="B931" s="8">
        <v>38681.1</v>
      </c>
    </row>
    <row r="932" spans="1:2" x14ac:dyDescent="0.25">
      <c r="A932" s="4" t="s">
        <v>22</v>
      </c>
      <c r="B932" s="8">
        <v>265252.11</v>
      </c>
    </row>
    <row r="933" spans="1:2" x14ac:dyDescent="0.25">
      <c r="A933" s="4" t="s">
        <v>23</v>
      </c>
      <c r="B933" s="8">
        <v>304</v>
      </c>
    </row>
    <row r="934" spans="1:2" x14ac:dyDescent="0.25">
      <c r="A934" s="4" t="s">
        <v>24</v>
      </c>
      <c r="B934" s="8">
        <v>1869.96</v>
      </c>
    </row>
    <row r="935" spans="1:2" x14ac:dyDescent="0.25">
      <c r="A935" s="4" t="s">
        <v>25</v>
      </c>
      <c r="B935" s="8">
        <v>146562.5</v>
      </c>
    </row>
    <row r="936" spans="1:2" x14ac:dyDescent="0.25">
      <c r="A936" s="4" t="s">
        <v>26</v>
      </c>
      <c r="B936" s="8">
        <v>301991.65999999997</v>
      </c>
    </row>
    <row r="937" spans="1:2" x14ac:dyDescent="0.25">
      <c r="A937" s="4" t="s">
        <v>27</v>
      </c>
      <c r="B937" s="8">
        <v>224952.91</v>
      </c>
    </row>
    <row r="938" spans="1:2" x14ac:dyDescent="0.25">
      <c r="A938" s="4" t="s">
        <v>2</v>
      </c>
      <c r="B938" s="8">
        <v>9112.61</v>
      </c>
    </row>
    <row r="939" spans="1:2" x14ac:dyDescent="0.25">
      <c r="A939" s="4" t="s">
        <v>3</v>
      </c>
      <c r="B939" s="8">
        <v>167762.04</v>
      </c>
    </row>
    <row r="940" spans="1:2" x14ac:dyDescent="0.25">
      <c r="A940" s="4" t="s">
        <v>4</v>
      </c>
      <c r="B940" s="8">
        <v>71428.070000000007</v>
      </c>
    </row>
    <row r="941" spans="1:2" x14ac:dyDescent="0.25">
      <c r="A941" s="4" t="s">
        <v>6</v>
      </c>
      <c r="B941" s="8">
        <v>1133</v>
      </c>
    </row>
    <row r="942" spans="1:2" x14ac:dyDescent="0.25">
      <c r="A942" s="4" t="s">
        <v>7</v>
      </c>
      <c r="B942" s="8">
        <v>147971.71</v>
      </c>
    </row>
    <row r="943" spans="1:2" x14ac:dyDescent="0.25">
      <c r="A943" s="4" t="s">
        <v>8</v>
      </c>
      <c r="B943" s="8">
        <v>418794.03</v>
      </c>
    </row>
    <row r="944" spans="1:2" x14ac:dyDescent="0.25">
      <c r="A944" s="4" t="s">
        <v>9</v>
      </c>
      <c r="B944" s="8">
        <v>100057.59</v>
      </c>
    </row>
    <row r="945" spans="1:2" x14ac:dyDescent="0.25">
      <c r="A945" s="4" t="s">
        <v>10</v>
      </c>
      <c r="B945" s="8">
        <v>128091.16</v>
      </c>
    </row>
    <row r="946" spans="1:2" x14ac:dyDescent="0.25">
      <c r="A946" s="4" t="s">
        <v>11</v>
      </c>
      <c r="B946" s="8">
        <v>194590.44</v>
      </c>
    </row>
    <row r="947" spans="1:2" x14ac:dyDescent="0.25">
      <c r="A947" s="4" t="s">
        <v>12</v>
      </c>
      <c r="B947" s="8">
        <v>156488.20000000001</v>
      </c>
    </row>
    <row r="948" spans="1:2" x14ac:dyDescent="0.25">
      <c r="A948" s="4" t="s">
        <v>13</v>
      </c>
      <c r="B948" s="8">
        <v>44541</v>
      </c>
    </row>
    <row r="949" spans="1:2" x14ac:dyDescent="0.25">
      <c r="A949" s="4" t="s">
        <v>14</v>
      </c>
      <c r="B949" s="8">
        <v>15898.15</v>
      </c>
    </row>
    <row r="950" spans="1:2" x14ac:dyDescent="0.25">
      <c r="A950" s="4" t="s">
        <v>28</v>
      </c>
      <c r="B950" s="8">
        <v>7195.59</v>
      </c>
    </row>
    <row r="951" spans="1:2" x14ac:dyDescent="0.25">
      <c r="A951" s="4" t="s">
        <v>15</v>
      </c>
      <c r="B951" s="8">
        <v>70089.78</v>
      </c>
    </row>
    <row r="952" spans="1:2" x14ac:dyDescent="0.25">
      <c r="A952" s="4" t="s">
        <v>16</v>
      </c>
      <c r="B952" s="8">
        <v>40096.94</v>
      </c>
    </row>
    <row r="953" spans="1:2" x14ac:dyDescent="0.25">
      <c r="A953" s="4" t="s">
        <v>17</v>
      </c>
      <c r="B953" s="8">
        <v>297011</v>
      </c>
    </row>
    <row r="954" spans="1:2" x14ac:dyDescent="0.25">
      <c r="A954" s="4" t="s">
        <v>18</v>
      </c>
      <c r="B954" s="8">
        <v>55841.94</v>
      </c>
    </row>
    <row r="955" spans="1:2" x14ac:dyDescent="0.25">
      <c r="A955" s="4" t="s">
        <v>20</v>
      </c>
      <c r="B955" s="8">
        <v>59211.57</v>
      </c>
    </row>
    <row r="956" spans="1:2" x14ac:dyDescent="0.25">
      <c r="A956" s="4" t="s">
        <v>21</v>
      </c>
      <c r="B956" s="8">
        <v>23950.21</v>
      </c>
    </row>
    <row r="957" spans="1:2" x14ac:dyDescent="0.25">
      <c r="A957" s="4" t="s">
        <v>22</v>
      </c>
      <c r="B957" s="8">
        <v>160582.76</v>
      </c>
    </row>
    <row r="958" spans="1:2" x14ac:dyDescent="0.25">
      <c r="A958" s="4" t="s">
        <v>23</v>
      </c>
      <c r="B958" s="8">
        <v>152</v>
      </c>
    </row>
    <row r="959" spans="1:2" x14ac:dyDescent="0.25">
      <c r="A959" s="4" t="s">
        <v>24</v>
      </c>
      <c r="B959" s="8">
        <v>2746.36</v>
      </c>
    </row>
    <row r="960" spans="1:2" x14ac:dyDescent="0.25">
      <c r="A960" s="4" t="s">
        <v>25</v>
      </c>
      <c r="B960" s="8">
        <v>141605.51999999999</v>
      </c>
    </row>
    <row r="961" spans="1:2" x14ac:dyDescent="0.25">
      <c r="A961" s="4" t="s">
        <v>26</v>
      </c>
      <c r="B961" s="8">
        <v>264214.34000000003</v>
      </c>
    </row>
    <row r="962" spans="1:2" x14ac:dyDescent="0.25">
      <c r="A962" s="4" t="s">
        <v>27</v>
      </c>
      <c r="B962" s="8">
        <v>239639.71</v>
      </c>
    </row>
    <row r="963" spans="1:2" x14ac:dyDescent="0.25">
      <c r="A963" s="4" t="s">
        <v>2</v>
      </c>
      <c r="B963" s="8">
        <v>5222.3900000000003</v>
      </c>
    </row>
    <row r="964" spans="1:2" x14ac:dyDescent="0.25">
      <c r="A964" s="4" t="s">
        <v>3</v>
      </c>
      <c r="B964" s="8">
        <v>117000.58</v>
      </c>
    </row>
    <row r="965" spans="1:2" x14ac:dyDescent="0.25">
      <c r="A965" s="4" t="s">
        <v>4</v>
      </c>
      <c r="B965" s="8">
        <v>42278.8</v>
      </c>
    </row>
    <row r="966" spans="1:2" x14ac:dyDescent="0.25">
      <c r="A966" s="4" t="s">
        <v>5</v>
      </c>
      <c r="B966" s="8">
        <v>574</v>
      </c>
    </row>
    <row r="967" spans="1:2" x14ac:dyDescent="0.25">
      <c r="A967" s="4" t="s">
        <v>6</v>
      </c>
      <c r="B967" s="8">
        <v>294</v>
      </c>
    </row>
    <row r="968" spans="1:2" x14ac:dyDescent="0.25">
      <c r="A968" s="4" t="s">
        <v>7</v>
      </c>
      <c r="B968" s="8">
        <v>106148.81</v>
      </c>
    </row>
    <row r="969" spans="1:2" x14ac:dyDescent="0.25">
      <c r="A969" s="4" t="s">
        <v>8</v>
      </c>
      <c r="B969" s="8">
        <v>284752.14</v>
      </c>
    </row>
    <row r="970" spans="1:2" x14ac:dyDescent="0.25">
      <c r="A970" s="4" t="s">
        <v>9</v>
      </c>
      <c r="B970" s="8">
        <v>59390.51</v>
      </c>
    </row>
    <row r="971" spans="1:2" x14ac:dyDescent="0.25">
      <c r="A971" s="4" t="s">
        <v>10</v>
      </c>
      <c r="B971" s="8">
        <v>91749.57</v>
      </c>
    </row>
    <row r="972" spans="1:2" x14ac:dyDescent="0.25">
      <c r="A972" s="4" t="s">
        <v>11</v>
      </c>
      <c r="B972" s="8">
        <v>99784.98</v>
      </c>
    </row>
    <row r="973" spans="1:2" x14ac:dyDescent="0.25">
      <c r="A973" s="4" t="s">
        <v>12</v>
      </c>
      <c r="B973" s="8">
        <v>110261.3</v>
      </c>
    </row>
    <row r="974" spans="1:2" x14ac:dyDescent="0.25">
      <c r="A974" s="4" t="s">
        <v>13</v>
      </c>
      <c r="B974" s="8">
        <v>64107</v>
      </c>
    </row>
    <row r="975" spans="1:2" x14ac:dyDescent="0.25">
      <c r="A975" s="4" t="s">
        <v>14</v>
      </c>
      <c r="B975" s="8">
        <v>9937.2999999999993</v>
      </c>
    </row>
    <row r="976" spans="1:2" x14ac:dyDescent="0.25">
      <c r="A976" s="4" t="s">
        <v>28</v>
      </c>
      <c r="B976" s="8">
        <v>3064.97</v>
      </c>
    </row>
    <row r="977" spans="1:2" x14ac:dyDescent="0.25">
      <c r="A977" s="4" t="s">
        <v>15</v>
      </c>
      <c r="B977" s="8">
        <v>63400.62</v>
      </c>
    </row>
    <row r="978" spans="1:2" x14ac:dyDescent="0.25">
      <c r="A978" s="4" t="s">
        <v>16</v>
      </c>
      <c r="B978" s="8">
        <v>33682.019999999997</v>
      </c>
    </row>
    <row r="979" spans="1:2" x14ac:dyDescent="0.25">
      <c r="A979" s="4" t="s">
        <v>17</v>
      </c>
      <c r="B979" s="8">
        <v>215152</v>
      </c>
    </row>
    <row r="980" spans="1:2" x14ac:dyDescent="0.25">
      <c r="A980" s="4" t="s">
        <v>18</v>
      </c>
      <c r="B980" s="8">
        <v>44241.54</v>
      </c>
    </row>
    <row r="981" spans="1:2" x14ac:dyDescent="0.25">
      <c r="A981" s="4" t="s">
        <v>20</v>
      </c>
      <c r="B981" s="8">
        <v>25275.24</v>
      </c>
    </row>
    <row r="982" spans="1:2" x14ac:dyDescent="0.25">
      <c r="A982" s="4" t="s">
        <v>21</v>
      </c>
      <c r="B982" s="8">
        <v>11922.72</v>
      </c>
    </row>
    <row r="983" spans="1:2" x14ac:dyDescent="0.25">
      <c r="A983" s="4" t="s">
        <v>22</v>
      </c>
      <c r="B983" s="8">
        <v>114107.81</v>
      </c>
    </row>
    <row r="984" spans="1:2" x14ac:dyDescent="0.25">
      <c r="A984" s="4" t="s">
        <v>23</v>
      </c>
      <c r="B984" s="8">
        <v>684</v>
      </c>
    </row>
    <row r="985" spans="1:2" x14ac:dyDescent="0.25">
      <c r="A985" s="4" t="s">
        <v>24</v>
      </c>
      <c r="B985" s="8">
        <v>592.44000000000005</v>
      </c>
    </row>
    <row r="986" spans="1:2" x14ac:dyDescent="0.25">
      <c r="A986" s="4" t="s">
        <v>25</v>
      </c>
      <c r="B986" s="8">
        <v>166177.63</v>
      </c>
    </row>
    <row r="987" spans="1:2" x14ac:dyDescent="0.25">
      <c r="A987" s="4" t="s">
        <v>26</v>
      </c>
      <c r="B987" s="8">
        <v>178734.04</v>
      </c>
    </row>
    <row r="988" spans="1:2" x14ac:dyDescent="0.25">
      <c r="A988" s="4" t="s">
        <v>27</v>
      </c>
      <c r="B988" s="8">
        <v>166528.69</v>
      </c>
    </row>
    <row r="989" spans="1:2" x14ac:dyDescent="0.25">
      <c r="A989" s="4" t="s">
        <v>2</v>
      </c>
      <c r="B989" s="8">
        <v>2928</v>
      </c>
    </row>
    <row r="990" spans="1:2" x14ac:dyDescent="0.25">
      <c r="A990" s="4" t="s">
        <v>3</v>
      </c>
      <c r="B990" s="8">
        <v>137716.23000000001</v>
      </c>
    </row>
    <row r="991" spans="1:2" x14ac:dyDescent="0.25">
      <c r="A991" s="4" t="s">
        <v>4</v>
      </c>
      <c r="B991" s="8">
        <v>50651.15</v>
      </c>
    </row>
    <row r="992" spans="1:2" x14ac:dyDescent="0.25">
      <c r="A992" s="4" t="s">
        <v>5</v>
      </c>
      <c r="B992" s="8">
        <v>574</v>
      </c>
    </row>
    <row r="993" spans="1:2" x14ac:dyDescent="0.25">
      <c r="A993" s="4" t="s">
        <v>6</v>
      </c>
      <c r="B993" s="8">
        <v>477.87</v>
      </c>
    </row>
    <row r="994" spans="1:2" x14ac:dyDescent="0.25">
      <c r="A994" s="4" t="s">
        <v>7</v>
      </c>
      <c r="B994" s="8">
        <v>119132.73</v>
      </c>
    </row>
    <row r="995" spans="1:2" x14ac:dyDescent="0.25">
      <c r="A995" s="4" t="s">
        <v>8</v>
      </c>
      <c r="B995" s="8">
        <v>343285.08</v>
      </c>
    </row>
    <row r="996" spans="1:2" x14ac:dyDescent="0.25">
      <c r="A996" s="4" t="s">
        <v>9</v>
      </c>
      <c r="B996" s="8">
        <v>65553.039999999994</v>
      </c>
    </row>
    <row r="997" spans="1:2" x14ac:dyDescent="0.25">
      <c r="A997" s="4" t="s">
        <v>10</v>
      </c>
      <c r="B997" s="8">
        <v>104763.61</v>
      </c>
    </row>
    <row r="998" spans="1:2" x14ac:dyDescent="0.25">
      <c r="A998" s="4" t="s">
        <v>11</v>
      </c>
      <c r="B998" s="8">
        <v>124503.99</v>
      </c>
    </row>
    <row r="999" spans="1:2" x14ac:dyDescent="0.25">
      <c r="A999" s="4" t="s">
        <v>12</v>
      </c>
      <c r="B999" s="8">
        <v>129473.2</v>
      </c>
    </row>
    <row r="1000" spans="1:2" x14ac:dyDescent="0.25">
      <c r="A1000" s="4" t="s">
        <v>13</v>
      </c>
      <c r="B1000" s="8">
        <v>65195</v>
      </c>
    </row>
    <row r="1001" spans="1:2" x14ac:dyDescent="0.25">
      <c r="A1001" s="4" t="s">
        <v>14</v>
      </c>
      <c r="B1001" s="8">
        <v>13276.8</v>
      </c>
    </row>
    <row r="1002" spans="1:2" x14ac:dyDescent="0.25">
      <c r="A1002" s="4" t="s">
        <v>28</v>
      </c>
      <c r="B1002" s="8">
        <v>4626.28</v>
      </c>
    </row>
    <row r="1003" spans="1:2" x14ac:dyDescent="0.25">
      <c r="A1003" s="4" t="s">
        <v>15</v>
      </c>
      <c r="B1003" s="8">
        <v>81166.789999999994</v>
      </c>
    </row>
    <row r="1004" spans="1:2" x14ac:dyDescent="0.25">
      <c r="A1004" s="4" t="s">
        <v>16</v>
      </c>
      <c r="B1004" s="8">
        <v>93758.22</v>
      </c>
    </row>
    <row r="1005" spans="1:2" x14ac:dyDescent="0.25">
      <c r="A1005" s="4" t="s">
        <v>17</v>
      </c>
      <c r="B1005" s="8">
        <v>306728</v>
      </c>
    </row>
    <row r="1006" spans="1:2" x14ac:dyDescent="0.25">
      <c r="A1006" s="4" t="s">
        <v>18</v>
      </c>
      <c r="B1006" s="8">
        <v>41119.040000000001</v>
      </c>
    </row>
    <row r="1007" spans="1:2" x14ac:dyDescent="0.25">
      <c r="A1007" s="4" t="s">
        <v>20</v>
      </c>
      <c r="B1007" s="8">
        <v>19074.63</v>
      </c>
    </row>
    <row r="1008" spans="1:2" x14ac:dyDescent="0.25">
      <c r="A1008" s="4" t="s">
        <v>21</v>
      </c>
      <c r="B1008" s="8">
        <v>11408.78</v>
      </c>
    </row>
    <row r="1009" spans="1:2" x14ac:dyDescent="0.25">
      <c r="A1009" s="4" t="s">
        <v>22</v>
      </c>
      <c r="B1009" s="8">
        <v>138794.01999999999</v>
      </c>
    </row>
    <row r="1010" spans="1:2" x14ac:dyDescent="0.25">
      <c r="A1010" s="4" t="s">
        <v>23</v>
      </c>
      <c r="B1010" s="8">
        <v>228</v>
      </c>
    </row>
    <row r="1011" spans="1:2" x14ac:dyDescent="0.25">
      <c r="A1011" s="4" t="s">
        <v>24</v>
      </c>
      <c r="B1011" s="8">
        <v>911.52</v>
      </c>
    </row>
    <row r="1012" spans="1:2" x14ac:dyDescent="0.25">
      <c r="A1012" s="4" t="s">
        <v>25</v>
      </c>
      <c r="B1012" s="8">
        <v>66046.39</v>
      </c>
    </row>
    <row r="1013" spans="1:2" x14ac:dyDescent="0.25">
      <c r="A1013" s="4" t="s">
        <v>26</v>
      </c>
      <c r="B1013" s="8">
        <v>115470.76</v>
      </c>
    </row>
    <row r="1014" spans="1:2" x14ac:dyDescent="0.25">
      <c r="A1014" s="4" t="s">
        <v>27</v>
      </c>
      <c r="B1014" s="8">
        <v>88909.81</v>
      </c>
    </row>
    <row r="1015" spans="1:2" x14ac:dyDescent="0.25">
      <c r="A1015" s="4" t="s">
        <v>2</v>
      </c>
      <c r="B1015" s="8">
        <v>4526.8100000000004</v>
      </c>
    </row>
    <row r="1016" spans="1:2" x14ac:dyDescent="0.25">
      <c r="A1016" s="4" t="s">
        <v>3</v>
      </c>
      <c r="B1016" s="8">
        <v>140070.71</v>
      </c>
    </row>
    <row r="1017" spans="1:2" x14ac:dyDescent="0.25">
      <c r="A1017" s="4" t="s">
        <v>4</v>
      </c>
      <c r="B1017" s="8">
        <v>68876.210000000006</v>
      </c>
    </row>
    <row r="1018" spans="1:2" x14ac:dyDescent="0.25">
      <c r="A1018" s="4" t="s">
        <v>6</v>
      </c>
      <c r="B1018" s="8">
        <v>294</v>
      </c>
    </row>
    <row r="1019" spans="1:2" x14ac:dyDescent="0.25">
      <c r="A1019" s="4" t="s">
        <v>7</v>
      </c>
      <c r="B1019" s="8">
        <v>129697.15</v>
      </c>
    </row>
    <row r="1020" spans="1:2" x14ac:dyDescent="0.25">
      <c r="A1020" s="4" t="s">
        <v>8</v>
      </c>
      <c r="B1020" s="8">
        <v>350496.07</v>
      </c>
    </row>
    <row r="1021" spans="1:2" x14ac:dyDescent="0.25">
      <c r="A1021" s="4" t="s">
        <v>9</v>
      </c>
      <c r="B1021" s="8">
        <v>81288.97</v>
      </c>
    </row>
    <row r="1022" spans="1:2" x14ac:dyDescent="0.25">
      <c r="A1022" s="4" t="s">
        <v>10</v>
      </c>
      <c r="B1022" s="8">
        <v>130995.29</v>
      </c>
    </row>
    <row r="1023" spans="1:2" x14ac:dyDescent="0.25">
      <c r="A1023" s="4" t="s">
        <v>11</v>
      </c>
      <c r="B1023" s="8">
        <v>250530.14</v>
      </c>
    </row>
    <row r="1024" spans="1:2" x14ac:dyDescent="0.25">
      <c r="A1024" s="4" t="s">
        <v>12</v>
      </c>
      <c r="B1024" s="8">
        <v>172090.9</v>
      </c>
    </row>
    <row r="1025" spans="1:2" x14ac:dyDescent="0.25">
      <c r="A1025" s="4" t="s">
        <v>13</v>
      </c>
      <c r="B1025" s="8">
        <v>90523</v>
      </c>
    </row>
    <row r="1026" spans="1:2" x14ac:dyDescent="0.25">
      <c r="A1026" s="4" t="s">
        <v>14</v>
      </c>
      <c r="B1026" s="8">
        <v>20202.25</v>
      </c>
    </row>
    <row r="1027" spans="1:2" x14ac:dyDescent="0.25">
      <c r="A1027" s="4" t="s">
        <v>28</v>
      </c>
      <c r="B1027" s="8">
        <v>4704.3100000000004</v>
      </c>
    </row>
    <row r="1028" spans="1:2" x14ac:dyDescent="0.25">
      <c r="A1028" s="4" t="s">
        <v>15</v>
      </c>
      <c r="B1028" s="8">
        <v>127603.89</v>
      </c>
    </row>
    <row r="1029" spans="1:2" x14ac:dyDescent="0.25">
      <c r="A1029" s="4" t="s">
        <v>16</v>
      </c>
      <c r="B1029" s="8">
        <v>77985.8</v>
      </c>
    </row>
    <row r="1030" spans="1:2" x14ac:dyDescent="0.25">
      <c r="A1030" s="4" t="s">
        <v>17</v>
      </c>
      <c r="B1030" s="8">
        <v>425814.33</v>
      </c>
    </row>
    <row r="1031" spans="1:2" x14ac:dyDescent="0.25">
      <c r="A1031" s="4" t="s">
        <v>18</v>
      </c>
      <c r="B1031" s="8">
        <v>32772</v>
      </c>
    </row>
    <row r="1032" spans="1:2" x14ac:dyDescent="0.25">
      <c r="A1032" s="4" t="s">
        <v>20</v>
      </c>
      <c r="B1032" s="8">
        <v>18544.38</v>
      </c>
    </row>
    <row r="1033" spans="1:2" x14ac:dyDescent="0.25">
      <c r="A1033" s="4" t="s">
        <v>21</v>
      </c>
      <c r="B1033" s="8">
        <v>17158.63</v>
      </c>
    </row>
    <row r="1034" spans="1:2" x14ac:dyDescent="0.25">
      <c r="A1034" s="4" t="s">
        <v>22</v>
      </c>
      <c r="B1034" s="8">
        <v>170795.49</v>
      </c>
    </row>
    <row r="1035" spans="1:2" x14ac:dyDescent="0.25">
      <c r="A1035" s="4" t="s">
        <v>23</v>
      </c>
      <c r="B1035" s="8">
        <v>912</v>
      </c>
    </row>
    <row r="1036" spans="1:2" x14ac:dyDescent="0.25">
      <c r="A1036" s="4" t="s">
        <v>24</v>
      </c>
      <c r="B1036" s="8">
        <v>3738.6</v>
      </c>
    </row>
    <row r="1037" spans="1:2" x14ac:dyDescent="0.25">
      <c r="A1037" s="4" t="s">
        <v>25</v>
      </c>
      <c r="B1037" s="8">
        <v>97172.35</v>
      </c>
    </row>
    <row r="1038" spans="1:2" x14ac:dyDescent="0.25">
      <c r="A1038" s="4" t="s">
        <v>26</v>
      </c>
      <c r="B1038" s="8">
        <v>214333.51</v>
      </c>
    </row>
    <row r="1039" spans="1:2" x14ac:dyDescent="0.25">
      <c r="A1039" s="4" t="s">
        <v>27</v>
      </c>
      <c r="B1039" s="8">
        <v>160725.66</v>
      </c>
    </row>
    <row r="1040" spans="1:2" x14ac:dyDescent="0.25">
      <c r="A1040" s="4" t="s">
        <v>2</v>
      </c>
      <c r="B1040" s="8">
        <v>16224.33</v>
      </c>
    </row>
    <row r="1041" spans="1:2" x14ac:dyDescent="0.25">
      <c r="A1041" s="4" t="s">
        <v>3</v>
      </c>
      <c r="B1041" s="8">
        <v>208006.71</v>
      </c>
    </row>
    <row r="1042" spans="1:2" x14ac:dyDescent="0.25">
      <c r="A1042" s="4" t="s">
        <v>4</v>
      </c>
      <c r="B1042" s="8">
        <v>74514.259999999995</v>
      </c>
    </row>
    <row r="1043" spans="1:2" x14ac:dyDescent="0.25">
      <c r="A1043" s="4" t="s">
        <v>7</v>
      </c>
      <c r="B1043" s="8">
        <v>168504.7</v>
      </c>
    </row>
    <row r="1044" spans="1:2" x14ac:dyDescent="0.25">
      <c r="A1044" s="4" t="s">
        <v>8</v>
      </c>
      <c r="B1044" s="8">
        <v>440986.97</v>
      </c>
    </row>
    <row r="1045" spans="1:2" x14ac:dyDescent="0.25">
      <c r="A1045" s="4" t="s">
        <v>9</v>
      </c>
      <c r="B1045" s="8">
        <v>114898.79</v>
      </c>
    </row>
    <row r="1046" spans="1:2" x14ac:dyDescent="0.25">
      <c r="A1046" s="4" t="s">
        <v>10</v>
      </c>
      <c r="B1046" s="8">
        <v>169091.51</v>
      </c>
    </row>
    <row r="1047" spans="1:2" x14ac:dyDescent="0.25">
      <c r="A1047" s="4" t="s">
        <v>11</v>
      </c>
      <c r="B1047" s="8">
        <v>292527.27</v>
      </c>
    </row>
    <row r="1048" spans="1:2" x14ac:dyDescent="0.25">
      <c r="A1048" s="4" t="s">
        <v>12</v>
      </c>
      <c r="B1048" s="8">
        <v>156130</v>
      </c>
    </row>
    <row r="1049" spans="1:2" x14ac:dyDescent="0.25">
      <c r="A1049" s="4" t="s">
        <v>13</v>
      </c>
      <c r="B1049" s="8">
        <v>95905</v>
      </c>
    </row>
    <row r="1050" spans="1:2" x14ac:dyDescent="0.25">
      <c r="A1050" s="4" t="s">
        <v>14</v>
      </c>
      <c r="B1050" s="8">
        <v>14602.6</v>
      </c>
    </row>
    <row r="1051" spans="1:2" x14ac:dyDescent="0.25">
      <c r="A1051" s="4" t="s">
        <v>28</v>
      </c>
      <c r="B1051" s="8">
        <v>7520.42</v>
      </c>
    </row>
    <row r="1052" spans="1:2" x14ac:dyDescent="0.25">
      <c r="A1052" s="4" t="s">
        <v>15</v>
      </c>
      <c r="B1052" s="8">
        <v>182190.47</v>
      </c>
    </row>
    <row r="1053" spans="1:2" x14ac:dyDescent="0.25">
      <c r="A1053" s="4" t="s">
        <v>16</v>
      </c>
      <c r="B1053" s="8">
        <v>83061.3</v>
      </c>
    </row>
    <row r="1054" spans="1:2" x14ac:dyDescent="0.25">
      <c r="A1054" s="4" t="s">
        <v>17</v>
      </c>
      <c r="B1054" s="8">
        <v>786333.33</v>
      </c>
    </row>
    <row r="1055" spans="1:2" x14ac:dyDescent="0.25">
      <c r="A1055" s="4" t="s">
        <v>18</v>
      </c>
      <c r="B1055" s="8">
        <v>150503.64000000001</v>
      </c>
    </row>
    <row r="1056" spans="1:2" x14ac:dyDescent="0.25">
      <c r="A1056" s="4" t="s">
        <v>20</v>
      </c>
      <c r="B1056" s="8">
        <v>35801.870000000003</v>
      </c>
    </row>
    <row r="1057" spans="1:2" x14ac:dyDescent="0.25">
      <c r="A1057" s="4" t="s">
        <v>21</v>
      </c>
      <c r="B1057" s="8">
        <v>27532.82</v>
      </c>
    </row>
    <row r="1058" spans="1:2" x14ac:dyDescent="0.25">
      <c r="A1058" s="4" t="s">
        <v>22</v>
      </c>
      <c r="B1058" s="8">
        <v>218498.71</v>
      </c>
    </row>
    <row r="1059" spans="1:2" x14ac:dyDescent="0.25">
      <c r="A1059" s="4" t="s">
        <v>23</v>
      </c>
      <c r="B1059" s="8">
        <v>1140</v>
      </c>
    </row>
    <row r="1060" spans="1:2" x14ac:dyDescent="0.25">
      <c r="A1060" s="4" t="s">
        <v>24</v>
      </c>
      <c r="B1060" s="8">
        <v>3389.64</v>
      </c>
    </row>
    <row r="1061" spans="1:2" x14ac:dyDescent="0.25">
      <c r="A1061" s="4" t="s">
        <v>25</v>
      </c>
      <c r="B1061" s="8">
        <v>208337.41</v>
      </c>
    </row>
    <row r="1062" spans="1:2" x14ac:dyDescent="0.25">
      <c r="A1062" s="4" t="s">
        <v>26</v>
      </c>
      <c r="B1062" s="8">
        <v>597412.34</v>
      </c>
    </row>
    <row r="1063" spans="1:2" x14ac:dyDescent="0.25">
      <c r="A1063" s="4" t="s">
        <v>27</v>
      </c>
      <c r="B1063" s="8">
        <v>309462.15999999997</v>
      </c>
    </row>
    <row r="1064" spans="1:2" x14ac:dyDescent="0.25">
      <c r="A1064" s="4" t="s">
        <v>2</v>
      </c>
      <c r="B1064" s="8">
        <v>9646.76</v>
      </c>
    </row>
    <row r="1065" spans="1:2" x14ac:dyDescent="0.25">
      <c r="A1065" s="4" t="s">
        <v>3</v>
      </c>
      <c r="B1065" s="8">
        <v>145687.39000000001</v>
      </c>
    </row>
    <row r="1066" spans="1:2" x14ac:dyDescent="0.25">
      <c r="A1066" s="4" t="s">
        <v>4</v>
      </c>
      <c r="B1066" s="8">
        <v>68075.740000000005</v>
      </c>
    </row>
    <row r="1067" spans="1:2" x14ac:dyDescent="0.25">
      <c r="A1067" s="4" t="s">
        <v>5</v>
      </c>
      <c r="B1067" s="8">
        <v>574</v>
      </c>
    </row>
    <row r="1068" spans="1:2" x14ac:dyDescent="0.25">
      <c r="A1068" s="4" t="s">
        <v>7</v>
      </c>
      <c r="B1068" s="8">
        <v>160876.79</v>
      </c>
    </row>
    <row r="1069" spans="1:2" x14ac:dyDescent="0.25">
      <c r="A1069" s="4" t="s">
        <v>8</v>
      </c>
      <c r="B1069" s="8">
        <v>455922.34</v>
      </c>
    </row>
    <row r="1070" spans="1:2" x14ac:dyDescent="0.25">
      <c r="A1070" s="4" t="s">
        <v>9</v>
      </c>
      <c r="B1070" s="8">
        <v>93573.19</v>
      </c>
    </row>
    <row r="1071" spans="1:2" x14ac:dyDescent="0.25">
      <c r="A1071" s="4" t="s">
        <v>10</v>
      </c>
      <c r="B1071" s="8">
        <v>183156.69</v>
      </c>
    </row>
    <row r="1072" spans="1:2" x14ac:dyDescent="0.25">
      <c r="A1072" s="4" t="s">
        <v>11</v>
      </c>
      <c r="B1072" s="8">
        <v>152786.32</v>
      </c>
    </row>
    <row r="1073" spans="1:2" x14ac:dyDescent="0.25">
      <c r="A1073" s="4" t="s">
        <v>12</v>
      </c>
      <c r="B1073" s="8">
        <v>132399.70000000001</v>
      </c>
    </row>
    <row r="1074" spans="1:2" x14ac:dyDescent="0.25">
      <c r="A1074" s="4" t="s">
        <v>13</v>
      </c>
      <c r="B1074" s="8">
        <v>84607</v>
      </c>
    </row>
    <row r="1075" spans="1:2" x14ac:dyDescent="0.25">
      <c r="A1075" s="4" t="s">
        <v>14</v>
      </c>
      <c r="B1075" s="8">
        <v>14229.35</v>
      </c>
    </row>
    <row r="1076" spans="1:2" x14ac:dyDescent="0.25">
      <c r="A1076" s="4" t="s">
        <v>28</v>
      </c>
      <c r="B1076" s="8">
        <v>4289.3100000000004</v>
      </c>
    </row>
    <row r="1077" spans="1:2" x14ac:dyDescent="0.25">
      <c r="A1077" s="4" t="s">
        <v>15</v>
      </c>
      <c r="B1077" s="8">
        <v>136164.48000000001</v>
      </c>
    </row>
    <row r="1078" spans="1:2" x14ac:dyDescent="0.25">
      <c r="A1078" s="4" t="s">
        <v>16</v>
      </c>
      <c r="B1078" s="8">
        <v>58171.25</v>
      </c>
    </row>
    <row r="1079" spans="1:2" x14ac:dyDescent="0.25">
      <c r="A1079" s="4" t="s">
        <v>17</v>
      </c>
      <c r="B1079" s="8">
        <v>613454</v>
      </c>
    </row>
    <row r="1080" spans="1:2" x14ac:dyDescent="0.25">
      <c r="A1080" s="4" t="s">
        <v>18</v>
      </c>
      <c r="B1080" s="8">
        <v>130564.16</v>
      </c>
    </row>
    <row r="1081" spans="1:2" x14ac:dyDescent="0.25">
      <c r="A1081" s="4" t="s">
        <v>20</v>
      </c>
      <c r="B1081" s="8">
        <v>27264.880000000001</v>
      </c>
    </row>
    <row r="1082" spans="1:2" x14ac:dyDescent="0.25">
      <c r="A1082" s="4" t="s">
        <v>21</v>
      </c>
      <c r="B1082" s="8">
        <v>17352.62</v>
      </c>
    </row>
    <row r="1083" spans="1:2" x14ac:dyDescent="0.25">
      <c r="A1083" s="4" t="s">
        <v>22</v>
      </c>
      <c r="B1083" s="8">
        <v>190074.26</v>
      </c>
    </row>
    <row r="1084" spans="1:2" x14ac:dyDescent="0.25">
      <c r="A1084" s="4" t="s">
        <v>23</v>
      </c>
      <c r="B1084" s="8">
        <v>532</v>
      </c>
    </row>
    <row r="1085" spans="1:2" x14ac:dyDescent="0.25">
      <c r="A1085" s="4" t="s">
        <v>24</v>
      </c>
      <c r="B1085" s="8">
        <v>3703.8</v>
      </c>
    </row>
    <row r="1086" spans="1:2" x14ac:dyDescent="0.25">
      <c r="A1086" s="4" t="s">
        <v>25</v>
      </c>
      <c r="B1086" s="8">
        <v>175415.59</v>
      </c>
    </row>
    <row r="1087" spans="1:2" x14ac:dyDescent="0.25">
      <c r="A1087" s="4" t="s">
        <v>26</v>
      </c>
      <c r="B1087" s="8">
        <v>291568.51</v>
      </c>
    </row>
    <row r="1088" spans="1:2" x14ac:dyDescent="0.25">
      <c r="A1088" s="4" t="s">
        <v>27</v>
      </c>
      <c r="B1088" s="8">
        <v>190436.05</v>
      </c>
    </row>
    <row r="1089" spans="1:2" x14ac:dyDescent="0.25">
      <c r="A1089" s="4" t="s">
        <v>2</v>
      </c>
      <c r="B1089" s="8">
        <v>7441.66</v>
      </c>
    </row>
    <row r="1090" spans="1:2" x14ac:dyDescent="0.25">
      <c r="A1090" s="4" t="s">
        <v>3</v>
      </c>
      <c r="B1090" s="8">
        <v>121902.42</v>
      </c>
    </row>
    <row r="1091" spans="1:2" x14ac:dyDescent="0.25">
      <c r="A1091" s="4" t="s">
        <v>4</v>
      </c>
      <c r="B1091" s="8">
        <v>53262.2</v>
      </c>
    </row>
    <row r="1092" spans="1:2" x14ac:dyDescent="0.25">
      <c r="A1092" s="4" t="s">
        <v>5</v>
      </c>
      <c r="B1092" s="8">
        <v>574</v>
      </c>
    </row>
    <row r="1093" spans="1:2" x14ac:dyDescent="0.25">
      <c r="A1093" s="4" t="s">
        <v>6</v>
      </c>
      <c r="B1093" s="8">
        <v>1022.87</v>
      </c>
    </row>
    <row r="1094" spans="1:2" x14ac:dyDescent="0.25">
      <c r="A1094" s="4" t="s">
        <v>7</v>
      </c>
      <c r="B1094" s="8">
        <v>101650.69</v>
      </c>
    </row>
    <row r="1095" spans="1:2" x14ac:dyDescent="0.25">
      <c r="A1095" s="4" t="s">
        <v>8</v>
      </c>
      <c r="B1095" s="8">
        <v>354651.88</v>
      </c>
    </row>
    <row r="1096" spans="1:2" x14ac:dyDescent="0.25">
      <c r="A1096" s="4" t="s">
        <v>9</v>
      </c>
      <c r="B1096" s="8">
        <v>72168.53</v>
      </c>
    </row>
    <row r="1097" spans="1:2" x14ac:dyDescent="0.25">
      <c r="A1097" s="4" t="s">
        <v>10</v>
      </c>
      <c r="B1097" s="8">
        <v>148478.66</v>
      </c>
    </row>
    <row r="1098" spans="1:2" x14ac:dyDescent="0.25">
      <c r="A1098" s="4" t="s">
        <v>11</v>
      </c>
      <c r="B1098" s="8">
        <v>138232.5</v>
      </c>
    </row>
    <row r="1099" spans="1:2" x14ac:dyDescent="0.25">
      <c r="A1099" s="4" t="s">
        <v>12</v>
      </c>
      <c r="B1099" s="8">
        <v>104956.5</v>
      </c>
    </row>
    <row r="1100" spans="1:2" x14ac:dyDescent="0.25">
      <c r="A1100" s="4" t="s">
        <v>13</v>
      </c>
      <c r="B1100" s="8">
        <v>46461</v>
      </c>
    </row>
    <row r="1101" spans="1:2" x14ac:dyDescent="0.25">
      <c r="A1101" s="4" t="s">
        <v>14</v>
      </c>
      <c r="B1101" s="8">
        <v>16105.05</v>
      </c>
    </row>
    <row r="1102" spans="1:2" x14ac:dyDescent="0.25">
      <c r="A1102" s="4" t="s">
        <v>28</v>
      </c>
      <c r="B1102" s="8">
        <v>963.7</v>
      </c>
    </row>
    <row r="1103" spans="1:2" x14ac:dyDescent="0.25">
      <c r="A1103" s="4" t="s">
        <v>15</v>
      </c>
      <c r="B1103" s="8">
        <v>92362.77</v>
      </c>
    </row>
    <row r="1104" spans="1:2" x14ac:dyDescent="0.25">
      <c r="A1104" s="4" t="s">
        <v>16</v>
      </c>
      <c r="B1104" s="8">
        <v>21260.43</v>
      </c>
    </row>
    <row r="1105" spans="1:2" x14ac:dyDescent="0.25">
      <c r="A1105" s="4" t="s">
        <v>17</v>
      </c>
      <c r="B1105" s="8">
        <v>305723.67</v>
      </c>
    </row>
    <row r="1106" spans="1:2" x14ac:dyDescent="0.25">
      <c r="A1106" s="4" t="s">
        <v>18</v>
      </c>
      <c r="B1106" s="8">
        <v>86269.18</v>
      </c>
    </row>
    <row r="1107" spans="1:2" x14ac:dyDescent="0.25">
      <c r="A1107" s="4" t="s">
        <v>20</v>
      </c>
      <c r="B1107" s="8">
        <v>15310.7</v>
      </c>
    </row>
    <row r="1108" spans="1:2" x14ac:dyDescent="0.25">
      <c r="A1108" s="4" t="s">
        <v>21</v>
      </c>
      <c r="B1108" s="8">
        <v>13742.93</v>
      </c>
    </row>
    <row r="1109" spans="1:2" x14ac:dyDescent="0.25">
      <c r="A1109" s="4" t="s">
        <v>22</v>
      </c>
      <c r="B1109" s="8">
        <v>149589.88</v>
      </c>
    </row>
    <row r="1110" spans="1:2" x14ac:dyDescent="0.25">
      <c r="A1110" s="4" t="s">
        <v>23</v>
      </c>
      <c r="B1110" s="8">
        <v>228</v>
      </c>
    </row>
    <row r="1111" spans="1:2" x14ac:dyDescent="0.25">
      <c r="A1111" s="4" t="s">
        <v>24</v>
      </c>
      <c r="B1111" s="8">
        <v>972.24</v>
      </c>
    </row>
    <row r="1112" spans="1:2" x14ac:dyDescent="0.25">
      <c r="A1112" s="4" t="s">
        <v>25</v>
      </c>
      <c r="B1112" s="8">
        <v>92201.91</v>
      </c>
    </row>
    <row r="1113" spans="1:2" x14ac:dyDescent="0.25">
      <c r="A1113" s="4" t="s">
        <v>26</v>
      </c>
      <c r="B1113" s="8">
        <v>181419.78</v>
      </c>
    </row>
    <row r="1114" spans="1:2" x14ac:dyDescent="0.25">
      <c r="A1114" s="4" t="s">
        <v>27</v>
      </c>
      <c r="B1114" s="8">
        <v>105569.68</v>
      </c>
    </row>
    <row r="1115" spans="1:2" x14ac:dyDescent="0.25">
      <c r="A1115" s="4" t="s">
        <v>2</v>
      </c>
      <c r="B1115" s="8">
        <v>6448.55</v>
      </c>
    </row>
    <row r="1116" spans="1:2" x14ac:dyDescent="0.25">
      <c r="A1116" s="4" t="s">
        <v>3</v>
      </c>
      <c r="B1116" s="8">
        <v>137371.38</v>
      </c>
    </row>
    <row r="1117" spans="1:2" x14ac:dyDescent="0.25">
      <c r="A1117" s="4" t="s">
        <v>4</v>
      </c>
      <c r="B1117" s="8">
        <v>52893.5</v>
      </c>
    </row>
    <row r="1118" spans="1:2" x14ac:dyDescent="0.25">
      <c r="A1118" s="4" t="s">
        <v>7</v>
      </c>
      <c r="B1118" s="8">
        <v>109067.71</v>
      </c>
    </row>
    <row r="1119" spans="1:2" x14ac:dyDescent="0.25">
      <c r="A1119" s="4" t="s">
        <v>8</v>
      </c>
      <c r="B1119" s="8">
        <v>343374.17</v>
      </c>
    </row>
    <row r="1120" spans="1:2" x14ac:dyDescent="0.25">
      <c r="A1120" s="4" t="s">
        <v>9</v>
      </c>
      <c r="B1120" s="8">
        <v>72029.899999999994</v>
      </c>
    </row>
    <row r="1121" spans="1:2" x14ac:dyDescent="0.25">
      <c r="A1121" s="4" t="s">
        <v>10</v>
      </c>
      <c r="B1121" s="8">
        <v>124509.98</v>
      </c>
    </row>
    <row r="1122" spans="1:2" x14ac:dyDescent="0.25">
      <c r="A1122" s="4" t="s">
        <v>11</v>
      </c>
      <c r="B1122" s="8">
        <v>126883</v>
      </c>
    </row>
    <row r="1123" spans="1:2" x14ac:dyDescent="0.25">
      <c r="A1123" s="4" t="s">
        <v>12</v>
      </c>
      <c r="B1123" s="8">
        <v>112502</v>
      </c>
    </row>
    <row r="1124" spans="1:2" x14ac:dyDescent="0.25">
      <c r="A1124" s="4" t="s">
        <v>13</v>
      </c>
      <c r="B1124" s="8">
        <v>81333</v>
      </c>
    </row>
    <row r="1125" spans="1:2" x14ac:dyDescent="0.25">
      <c r="A1125" s="4" t="s">
        <v>14</v>
      </c>
      <c r="B1125" s="8">
        <v>18174.55</v>
      </c>
    </row>
    <row r="1126" spans="1:2" x14ac:dyDescent="0.25">
      <c r="A1126" s="4" t="s">
        <v>28</v>
      </c>
      <c r="B1126" s="8">
        <v>4380.6099999999997</v>
      </c>
    </row>
    <row r="1127" spans="1:2" x14ac:dyDescent="0.25">
      <c r="A1127" s="4" t="s">
        <v>15</v>
      </c>
      <c r="B1127" s="8">
        <v>84096.89</v>
      </c>
    </row>
    <row r="1128" spans="1:2" x14ac:dyDescent="0.25">
      <c r="A1128" s="4" t="s">
        <v>16</v>
      </c>
      <c r="B1128" s="8">
        <v>64389.24</v>
      </c>
    </row>
    <row r="1129" spans="1:2" x14ac:dyDescent="0.25">
      <c r="A1129" s="4" t="s">
        <v>17</v>
      </c>
      <c r="B1129" s="8">
        <v>544316.84</v>
      </c>
    </row>
    <row r="1130" spans="1:2" x14ac:dyDescent="0.25">
      <c r="A1130" s="4" t="s">
        <v>18</v>
      </c>
      <c r="B1130" s="8">
        <v>110989.08</v>
      </c>
    </row>
    <row r="1131" spans="1:2" x14ac:dyDescent="0.25">
      <c r="A1131" s="4" t="s">
        <v>20</v>
      </c>
      <c r="B1131" s="8">
        <v>22063.53</v>
      </c>
    </row>
    <row r="1132" spans="1:2" x14ac:dyDescent="0.25">
      <c r="A1132" s="4" t="s">
        <v>21</v>
      </c>
      <c r="B1132" s="8">
        <v>12114.34</v>
      </c>
    </row>
    <row r="1133" spans="1:2" x14ac:dyDescent="0.25">
      <c r="A1133" s="4" t="s">
        <v>22</v>
      </c>
      <c r="B1133" s="8">
        <v>168549.7</v>
      </c>
    </row>
    <row r="1134" spans="1:2" x14ac:dyDescent="0.25">
      <c r="A1134" s="4" t="s">
        <v>24</v>
      </c>
      <c r="B1134" s="8">
        <v>3277.64</v>
      </c>
    </row>
    <row r="1135" spans="1:2" x14ac:dyDescent="0.25">
      <c r="A1135" s="4" t="s">
        <v>25</v>
      </c>
      <c r="B1135" s="8">
        <v>115413.29</v>
      </c>
    </row>
    <row r="1136" spans="1:2" x14ac:dyDescent="0.25">
      <c r="A1136" s="4" t="s">
        <v>26</v>
      </c>
      <c r="B1136" s="8">
        <v>221133.51</v>
      </c>
    </row>
    <row r="1137" spans="1:2" x14ac:dyDescent="0.25">
      <c r="A1137" s="4" t="s">
        <v>27</v>
      </c>
      <c r="B1137" s="8">
        <v>153078.17000000001</v>
      </c>
    </row>
    <row r="1138" spans="1:2" x14ac:dyDescent="0.25">
      <c r="A1138" s="4" t="s">
        <v>2</v>
      </c>
      <c r="B1138" s="8">
        <v>6722.77</v>
      </c>
    </row>
    <row r="1139" spans="1:2" x14ac:dyDescent="0.25">
      <c r="A1139" s="4" t="s">
        <v>3</v>
      </c>
      <c r="B1139" s="8">
        <v>183118.66</v>
      </c>
    </row>
    <row r="1140" spans="1:2" x14ac:dyDescent="0.25">
      <c r="A1140" s="4" t="s">
        <v>4</v>
      </c>
      <c r="B1140" s="8">
        <v>54024.49</v>
      </c>
    </row>
    <row r="1141" spans="1:2" x14ac:dyDescent="0.25">
      <c r="A1141" s="4" t="s">
        <v>5</v>
      </c>
      <c r="B1141" s="8">
        <v>574</v>
      </c>
    </row>
    <row r="1142" spans="1:2" x14ac:dyDescent="0.25">
      <c r="A1142" s="4" t="s">
        <v>7</v>
      </c>
      <c r="B1142" s="8">
        <v>118701.71</v>
      </c>
    </row>
    <row r="1143" spans="1:2" x14ac:dyDescent="0.25">
      <c r="A1143" s="4" t="s">
        <v>8</v>
      </c>
      <c r="B1143" s="8">
        <v>307054.33</v>
      </c>
    </row>
    <row r="1144" spans="1:2" x14ac:dyDescent="0.25">
      <c r="A1144" s="4" t="s">
        <v>9</v>
      </c>
      <c r="B1144" s="8">
        <v>95669.08</v>
      </c>
    </row>
    <row r="1145" spans="1:2" x14ac:dyDescent="0.25">
      <c r="A1145" s="4" t="s">
        <v>10</v>
      </c>
      <c r="B1145" s="8">
        <v>129484.42</v>
      </c>
    </row>
    <row r="1146" spans="1:2" x14ac:dyDescent="0.25">
      <c r="A1146" s="4" t="s">
        <v>11</v>
      </c>
      <c r="B1146" s="8">
        <v>178432.62</v>
      </c>
    </row>
    <row r="1147" spans="1:2" x14ac:dyDescent="0.25">
      <c r="A1147" s="4" t="s">
        <v>12</v>
      </c>
      <c r="B1147" s="8">
        <v>117621.7</v>
      </c>
    </row>
    <row r="1148" spans="1:2" x14ac:dyDescent="0.25">
      <c r="A1148" s="4" t="s">
        <v>13</v>
      </c>
      <c r="B1148" s="8">
        <v>60029</v>
      </c>
    </row>
    <row r="1149" spans="1:2" x14ac:dyDescent="0.25">
      <c r="A1149" s="4" t="s">
        <v>14</v>
      </c>
      <c r="B1149" s="8">
        <v>16419.75</v>
      </c>
    </row>
    <row r="1150" spans="1:2" x14ac:dyDescent="0.25">
      <c r="A1150" s="4" t="s">
        <v>28</v>
      </c>
      <c r="B1150" s="8">
        <v>3275.07</v>
      </c>
    </row>
    <row r="1151" spans="1:2" x14ac:dyDescent="0.25">
      <c r="A1151" s="4" t="s">
        <v>15</v>
      </c>
      <c r="B1151" s="8">
        <v>96080.46</v>
      </c>
    </row>
    <row r="1152" spans="1:2" x14ac:dyDescent="0.25">
      <c r="A1152" s="4" t="s">
        <v>16</v>
      </c>
      <c r="B1152" s="8">
        <v>75947.95</v>
      </c>
    </row>
    <row r="1153" spans="1:2" x14ac:dyDescent="0.25">
      <c r="A1153" s="4" t="s">
        <v>17</v>
      </c>
      <c r="B1153" s="8">
        <v>591464.65</v>
      </c>
    </row>
    <row r="1154" spans="1:2" x14ac:dyDescent="0.25">
      <c r="A1154" s="4" t="s">
        <v>18</v>
      </c>
      <c r="B1154" s="8">
        <v>119008.66</v>
      </c>
    </row>
    <row r="1155" spans="1:2" x14ac:dyDescent="0.25">
      <c r="A1155" s="4" t="s">
        <v>20</v>
      </c>
      <c r="B1155" s="8">
        <v>23259.03</v>
      </c>
    </row>
    <row r="1156" spans="1:2" x14ac:dyDescent="0.25">
      <c r="A1156" s="4" t="s">
        <v>21</v>
      </c>
      <c r="B1156" s="8">
        <v>13856.71</v>
      </c>
    </row>
    <row r="1157" spans="1:2" x14ac:dyDescent="0.25">
      <c r="A1157" s="4" t="s">
        <v>22</v>
      </c>
      <c r="B1157" s="8">
        <v>175636.83</v>
      </c>
    </row>
    <row r="1158" spans="1:2" x14ac:dyDescent="0.25">
      <c r="A1158" s="4" t="s">
        <v>23</v>
      </c>
      <c r="B1158" s="8">
        <v>1596</v>
      </c>
    </row>
    <row r="1159" spans="1:2" x14ac:dyDescent="0.25">
      <c r="A1159" s="4" t="s">
        <v>24</v>
      </c>
      <c r="B1159" s="8">
        <v>1508</v>
      </c>
    </row>
    <row r="1160" spans="1:2" x14ac:dyDescent="0.25">
      <c r="A1160" s="4" t="s">
        <v>25</v>
      </c>
      <c r="B1160" s="8">
        <v>108895.03</v>
      </c>
    </row>
    <row r="1161" spans="1:2" x14ac:dyDescent="0.25">
      <c r="A1161" s="4" t="s">
        <v>26</v>
      </c>
      <c r="B1161" s="8">
        <v>216664.89</v>
      </c>
    </row>
    <row r="1162" spans="1:2" x14ac:dyDescent="0.25">
      <c r="A1162" s="4" t="s">
        <v>27</v>
      </c>
      <c r="B1162" s="8">
        <v>199711.9</v>
      </c>
    </row>
    <row r="1163" spans="1:2" x14ac:dyDescent="0.25">
      <c r="A1163" s="4" t="s">
        <v>2</v>
      </c>
      <c r="B1163" s="8">
        <v>7080.82</v>
      </c>
    </row>
    <row r="1164" spans="1:2" x14ac:dyDescent="0.25">
      <c r="A1164" s="4" t="s">
        <v>3</v>
      </c>
      <c r="B1164" s="8">
        <v>162929.91</v>
      </c>
    </row>
    <row r="1165" spans="1:2" x14ac:dyDescent="0.25">
      <c r="A1165" s="4" t="s">
        <v>4</v>
      </c>
      <c r="B1165" s="8">
        <v>69133.3</v>
      </c>
    </row>
    <row r="1166" spans="1:2" x14ac:dyDescent="0.25">
      <c r="A1166" s="4" t="s">
        <v>5</v>
      </c>
      <c r="B1166" s="8">
        <v>574</v>
      </c>
    </row>
    <row r="1167" spans="1:2" x14ac:dyDescent="0.25">
      <c r="A1167" s="4" t="s">
        <v>6</v>
      </c>
      <c r="B1167" s="8">
        <v>8495</v>
      </c>
    </row>
    <row r="1168" spans="1:2" x14ac:dyDescent="0.25">
      <c r="A1168" s="4" t="s">
        <v>7</v>
      </c>
      <c r="B1168" s="8">
        <v>139823.18</v>
      </c>
    </row>
    <row r="1169" spans="1:2" x14ac:dyDescent="0.25">
      <c r="A1169" s="4" t="s">
        <v>8</v>
      </c>
      <c r="B1169" s="8">
        <v>343629.81</v>
      </c>
    </row>
    <row r="1170" spans="1:2" x14ac:dyDescent="0.25">
      <c r="A1170" s="4" t="s">
        <v>9</v>
      </c>
      <c r="B1170" s="8">
        <v>87230.93</v>
      </c>
    </row>
    <row r="1171" spans="1:2" x14ac:dyDescent="0.25">
      <c r="A1171" s="4" t="s">
        <v>10</v>
      </c>
      <c r="B1171" s="8">
        <v>177841.07</v>
      </c>
    </row>
    <row r="1172" spans="1:2" x14ac:dyDescent="0.25">
      <c r="A1172" s="4" t="s">
        <v>11</v>
      </c>
      <c r="B1172" s="8">
        <v>245184.68</v>
      </c>
    </row>
    <row r="1173" spans="1:2" x14ac:dyDescent="0.25">
      <c r="A1173" s="4" t="s">
        <v>12</v>
      </c>
      <c r="B1173" s="8">
        <v>139155.4</v>
      </c>
    </row>
    <row r="1174" spans="1:2" x14ac:dyDescent="0.25">
      <c r="A1174" s="4" t="s">
        <v>13</v>
      </c>
      <c r="B1174" s="8">
        <v>73546</v>
      </c>
    </row>
    <row r="1175" spans="1:2" x14ac:dyDescent="0.25">
      <c r="A1175" s="4" t="s">
        <v>14</v>
      </c>
      <c r="B1175" s="8">
        <v>12911.35</v>
      </c>
    </row>
    <row r="1176" spans="1:2" x14ac:dyDescent="0.25">
      <c r="A1176" s="4" t="s">
        <v>28</v>
      </c>
      <c r="B1176" s="8">
        <v>3925.82</v>
      </c>
    </row>
    <row r="1177" spans="1:2" x14ac:dyDescent="0.25">
      <c r="A1177" s="4" t="s">
        <v>15</v>
      </c>
      <c r="B1177" s="8">
        <v>84558.04</v>
      </c>
    </row>
    <row r="1178" spans="1:2" x14ac:dyDescent="0.25">
      <c r="A1178" s="4" t="s">
        <v>16</v>
      </c>
      <c r="B1178" s="8">
        <v>68947.61</v>
      </c>
    </row>
    <row r="1179" spans="1:2" x14ac:dyDescent="0.25">
      <c r="A1179" s="4" t="s">
        <v>17</v>
      </c>
      <c r="B1179" s="8">
        <v>464809.96</v>
      </c>
    </row>
    <row r="1180" spans="1:2" x14ac:dyDescent="0.25">
      <c r="A1180" s="4" t="s">
        <v>18</v>
      </c>
      <c r="B1180" s="8">
        <v>112379.7</v>
      </c>
    </row>
    <row r="1181" spans="1:2" x14ac:dyDescent="0.25">
      <c r="A1181" s="4" t="s">
        <v>20</v>
      </c>
      <c r="B1181" s="8">
        <v>15832.3</v>
      </c>
    </row>
    <row r="1182" spans="1:2" x14ac:dyDescent="0.25">
      <c r="A1182" s="4" t="s">
        <v>21</v>
      </c>
      <c r="B1182" s="8">
        <v>18298.8</v>
      </c>
    </row>
    <row r="1183" spans="1:2" x14ac:dyDescent="0.25">
      <c r="A1183" s="4" t="s">
        <v>22</v>
      </c>
      <c r="B1183" s="8">
        <v>166103.32999999999</v>
      </c>
    </row>
    <row r="1184" spans="1:2" x14ac:dyDescent="0.25">
      <c r="A1184" s="4" t="s">
        <v>24</v>
      </c>
      <c r="B1184" s="8">
        <v>3861</v>
      </c>
    </row>
    <row r="1185" spans="1:2" x14ac:dyDescent="0.25">
      <c r="A1185" s="4" t="s">
        <v>25</v>
      </c>
      <c r="B1185" s="8">
        <v>123890.88</v>
      </c>
    </row>
    <row r="1186" spans="1:2" x14ac:dyDescent="0.25">
      <c r="A1186" s="4" t="s">
        <v>26</v>
      </c>
      <c r="B1186" s="8">
        <v>234272.55</v>
      </c>
    </row>
    <row r="1187" spans="1:2" x14ac:dyDescent="0.25">
      <c r="A1187" s="4" t="s">
        <v>27</v>
      </c>
      <c r="B1187" s="8">
        <v>228798.36</v>
      </c>
    </row>
    <row r="1188" spans="1:2" x14ac:dyDescent="0.25">
      <c r="A1188" s="4" t="s">
        <v>2</v>
      </c>
      <c r="B1188" s="8">
        <v>9147.69</v>
      </c>
    </row>
    <row r="1189" spans="1:2" x14ac:dyDescent="0.25">
      <c r="A1189" s="4" t="s">
        <v>3</v>
      </c>
      <c r="B1189" s="8">
        <v>205941.81</v>
      </c>
    </row>
    <row r="1190" spans="1:2" x14ac:dyDescent="0.25">
      <c r="A1190" s="4" t="s">
        <v>4</v>
      </c>
      <c r="B1190" s="8">
        <v>77725.61</v>
      </c>
    </row>
    <row r="1191" spans="1:2" x14ac:dyDescent="0.25">
      <c r="A1191" s="4" t="s">
        <v>5</v>
      </c>
      <c r="B1191" s="8">
        <v>1722</v>
      </c>
    </row>
    <row r="1192" spans="1:2" x14ac:dyDescent="0.25">
      <c r="A1192" s="4" t="s">
        <v>7</v>
      </c>
      <c r="B1192" s="8">
        <v>134268.73000000001</v>
      </c>
    </row>
    <row r="1193" spans="1:2" x14ac:dyDescent="0.25">
      <c r="A1193" s="4" t="s">
        <v>8</v>
      </c>
      <c r="B1193" s="8">
        <v>312829.07</v>
      </c>
    </row>
    <row r="1194" spans="1:2" x14ac:dyDescent="0.25">
      <c r="A1194" s="4" t="s">
        <v>9</v>
      </c>
      <c r="B1194" s="8">
        <v>112710.79</v>
      </c>
    </row>
    <row r="1195" spans="1:2" x14ac:dyDescent="0.25">
      <c r="A1195" s="4" t="s">
        <v>10</v>
      </c>
      <c r="B1195" s="8">
        <v>194274.74</v>
      </c>
    </row>
    <row r="1196" spans="1:2" x14ac:dyDescent="0.25">
      <c r="A1196" s="4" t="s">
        <v>11</v>
      </c>
      <c r="B1196" s="8">
        <v>370150.92</v>
      </c>
    </row>
    <row r="1197" spans="1:2" x14ac:dyDescent="0.25">
      <c r="A1197" s="4" t="s">
        <v>12</v>
      </c>
      <c r="B1197" s="8">
        <v>188596</v>
      </c>
    </row>
    <row r="1198" spans="1:2" x14ac:dyDescent="0.25">
      <c r="A1198" s="4" t="s">
        <v>13</v>
      </c>
      <c r="B1198" s="8">
        <v>93542</v>
      </c>
    </row>
    <row r="1199" spans="1:2" x14ac:dyDescent="0.25">
      <c r="A1199" s="4" t="s">
        <v>14</v>
      </c>
      <c r="B1199" s="8">
        <v>12598.05</v>
      </c>
    </row>
    <row r="1200" spans="1:2" x14ac:dyDescent="0.25">
      <c r="A1200" s="4" t="s">
        <v>28</v>
      </c>
      <c r="B1200" s="8">
        <v>2926.16</v>
      </c>
    </row>
    <row r="1201" spans="1:2" x14ac:dyDescent="0.25">
      <c r="A1201" s="4" t="s">
        <v>15</v>
      </c>
      <c r="B1201" s="8">
        <v>96652.56</v>
      </c>
    </row>
    <row r="1202" spans="1:2" x14ac:dyDescent="0.25">
      <c r="A1202" s="4" t="s">
        <v>16</v>
      </c>
      <c r="B1202" s="8">
        <v>74602.899999999994</v>
      </c>
    </row>
    <row r="1203" spans="1:2" x14ac:dyDescent="0.25">
      <c r="A1203" s="4" t="s">
        <v>17</v>
      </c>
      <c r="B1203" s="8">
        <v>529893.30000000005</v>
      </c>
    </row>
    <row r="1204" spans="1:2" x14ac:dyDescent="0.25">
      <c r="A1204" s="4" t="s">
        <v>18</v>
      </c>
      <c r="B1204" s="8">
        <v>85314.82</v>
      </c>
    </row>
    <row r="1205" spans="1:2" x14ac:dyDescent="0.25">
      <c r="A1205" s="4" t="s">
        <v>20</v>
      </c>
      <c r="B1205" s="8">
        <v>20807.560000000001</v>
      </c>
    </row>
    <row r="1206" spans="1:2" x14ac:dyDescent="0.25">
      <c r="A1206" s="4" t="s">
        <v>21</v>
      </c>
      <c r="B1206" s="8">
        <v>20164.900000000001</v>
      </c>
    </row>
    <row r="1207" spans="1:2" x14ac:dyDescent="0.25">
      <c r="A1207" s="4" t="s">
        <v>22</v>
      </c>
      <c r="B1207" s="8">
        <v>295484.68</v>
      </c>
    </row>
    <row r="1208" spans="1:2" x14ac:dyDescent="0.25">
      <c r="A1208" s="4" t="s">
        <v>23</v>
      </c>
      <c r="B1208" s="8">
        <v>76</v>
      </c>
    </row>
    <row r="1209" spans="1:2" x14ac:dyDescent="0.25">
      <c r="A1209" s="4" t="s">
        <v>24</v>
      </c>
      <c r="B1209" s="8">
        <v>2369.4</v>
      </c>
    </row>
    <row r="1210" spans="1:2" x14ac:dyDescent="0.25">
      <c r="A1210" s="4" t="s">
        <v>25</v>
      </c>
      <c r="B1210" s="8">
        <v>183221.02</v>
      </c>
    </row>
    <row r="1211" spans="1:2" x14ac:dyDescent="0.25">
      <c r="A1211" s="4" t="s">
        <v>26</v>
      </c>
      <c r="B1211" s="8">
        <v>307740.56</v>
      </c>
    </row>
    <row r="1212" spans="1:2" x14ac:dyDescent="0.25">
      <c r="A1212" s="4" t="s">
        <v>27</v>
      </c>
      <c r="B1212" s="8">
        <v>245151.5</v>
      </c>
    </row>
    <row r="1213" spans="1:2" x14ac:dyDescent="0.25">
      <c r="A1213" s="4" t="s">
        <v>2</v>
      </c>
      <c r="B1213" s="8">
        <v>10717.64</v>
      </c>
    </row>
    <row r="1214" spans="1:2" x14ac:dyDescent="0.25">
      <c r="A1214" s="4" t="s">
        <v>3</v>
      </c>
      <c r="B1214" s="8">
        <v>295919.31</v>
      </c>
    </row>
    <row r="1215" spans="1:2" x14ac:dyDescent="0.25">
      <c r="A1215" s="4" t="s">
        <v>4</v>
      </c>
      <c r="B1215" s="8">
        <v>77923.8</v>
      </c>
    </row>
    <row r="1216" spans="1:2" x14ac:dyDescent="0.25">
      <c r="A1216" s="4" t="s">
        <v>5</v>
      </c>
      <c r="B1216" s="8">
        <v>574</v>
      </c>
    </row>
    <row r="1217" spans="1:2" x14ac:dyDescent="0.25">
      <c r="A1217" s="4" t="s">
        <v>7</v>
      </c>
      <c r="B1217" s="8">
        <v>140803.76999999999</v>
      </c>
    </row>
    <row r="1218" spans="1:2" x14ac:dyDescent="0.25">
      <c r="A1218" s="4" t="s">
        <v>8</v>
      </c>
      <c r="B1218" s="8">
        <v>295129.51</v>
      </c>
    </row>
    <row r="1219" spans="1:2" x14ac:dyDescent="0.25">
      <c r="A1219" s="4" t="s">
        <v>9</v>
      </c>
      <c r="B1219" s="8">
        <v>124297.2</v>
      </c>
    </row>
    <row r="1220" spans="1:2" x14ac:dyDescent="0.25">
      <c r="A1220" s="4" t="s">
        <v>10</v>
      </c>
      <c r="B1220" s="8">
        <v>214850.22</v>
      </c>
    </row>
    <row r="1221" spans="1:2" x14ac:dyDescent="0.25">
      <c r="A1221" s="4" t="s">
        <v>11</v>
      </c>
      <c r="B1221" s="8">
        <v>445247.67</v>
      </c>
    </row>
    <row r="1222" spans="1:2" x14ac:dyDescent="0.25">
      <c r="A1222" s="4" t="s">
        <v>12</v>
      </c>
      <c r="B1222" s="8">
        <v>266565.8</v>
      </c>
    </row>
    <row r="1223" spans="1:2" x14ac:dyDescent="0.25">
      <c r="A1223" s="4" t="s">
        <v>13</v>
      </c>
      <c r="B1223" s="8">
        <v>146704</v>
      </c>
    </row>
    <row r="1224" spans="1:2" x14ac:dyDescent="0.25">
      <c r="A1224" s="4" t="s">
        <v>14</v>
      </c>
      <c r="B1224" s="8">
        <v>35419.1</v>
      </c>
    </row>
    <row r="1225" spans="1:2" x14ac:dyDescent="0.25">
      <c r="A1225" s="4" t="s">
        <v>28</v>
      </c>
      <c r="B1225" s="8">
        <v>2301.17</v>
      </c>
    </row>
    <row r="1226" spans="1:2" x14ac:dyDescent="0.25">
      <c r="A1226" s="4" t="s">
        <v>15</v>
      </c>
      <c r="B1226" s="8">
        <v>107763.85</v>
      </c>
    </row>
    <row r="1227" spans="1:2" x14ac:dyDescent="0.25">
      <c r="A1227" s="4" t="s">
        <v>16</v>
      </c>
      <c r="B1227" s="8">
        <v>57865.52</v>
      </c>
    </row>
    <row r="1228" spans="1:2" x14ac:dyDescent="0.25">
      <c r="A1228" s="4" t="s">
        <v>17</v>
      </c>
      <c r="B1228" s="8">
        <v>886050.28</v>
      </c>
    </row>
    <row r="1229" spans="1:2" x14ac:dyDescent="0.25">
      <c r="A1229" s="4" t="s">
        <v>18</v>
      </c>
      <c r="B1229" s="8">
        <v>174710.98</v>
      </c>
    </row>
    <row r="1230" spans="1:2" x14ac:dyDescent="0.25">
      <c r="A1230" s="4" t="s">
        <v>20</v>
      </c>
      <c r="B1230" s="8">
        <v>83963.85</v>
      </c>
    </row>
    <row r="1231" spans="1:2" x14ac:dyDescent="0.25">
      <c r="A1231" s="4" t="s">
        <v>21</v>
      </c>
      <c r="B1231" s="8">
        <v>44481.03</v>
      </c>
    </row>
    <row r="1232" spans="1:2" x14ac:dyDescent="0.25">
      <c r="A1232" s="4" t="s">
        <v>22</v>
      </c>
      <c r="B1232" s="8">
        <v>361931.59</v>
      </c>
    </row>
    <row r="1233" spans="1:2" x14ac:dyDescent="0.25">
      <c r="A1233" s="4" t="s">
        <v>23</v>
      </c>
      <c r="B1233" s="8">
        <v>152</v>
      </c>
    </row>
    <row r="1234" spans="1:2" x14ac:dyDescent="0.25">
      <c r="A1234" s="4" t="s">
        <v>24</v>
      </c>
      <c r="B1234" s="8">
        <v>3912.88</v>
      </c>
    </row>
    <row r="1235" spans="1:2" x14ac:dyDescent="0.25">
      <c r="A1235" s="4" t="s">
        <v>25</v>
      </c>
      <c r="B1235" s="8">
        <v>186250.01</v>
      </c>
    </row>
    <row r="1236" spans="1:2" x14ac:dyDescent="0.25">
      <c r="A1236" s="4" t="s">
        <v>26</v>
      </c>
      <c r="B1236" s="8">
        <v>353111.23</v>
      </c>
    </row>
    <row r="1237" spans="1:2" x14ac:dyDescent="0.25">
      <c r="A1237" s="4" t="s">
        <v>27</v>
      </c>
      <c r="B1237" s="8">
        <v>358758.89</v>
      </c>
    </row>
    <row r="1238" spans="1:2" x14ac:dyDescent="0.25">
      <c r="A1238" s="4" t="s">
        <v>2</v>
      </c>
      <c r="B1238" s="8">
        <v>6320.81</v>
      </c>
    </row>
    <row r="1239" spans="1:2" x14ac:dyDescent="0.25">
      <c r="A1239" s="4" t="s">
        <v>3</v>
      </c>
      <c r="B1239" s="8">
        <v>171666.23</v>
      </c>
    </row>
    <row r="1240" spans="1:2" x14ac:dyDescent="0.25">
      <c r="A1240" s="4" t="s">
        <v>4</v>
      </c>
      <c r="B1240" s="8">
        <v>28800.06</v>
      </c>
    </row>
    <row r="1241" spans="1:2" x14ac:dyDescent="0.25">
      <c r="A1241" s="4" t="s">
        <v>6</v>
      </c>
      <c r="B1241" s="8">
        <v>973</v>
      </c>
    </row>
    <row r="1242" spans="1:2" x14ac:dyDescent="0.25">
      <c r="A1242" s="4" t="s">
        <v>7</v>
      </c>
      <c r="B1242" s="8">
        <v>109795.99</v>
      </c>
    </row>
    <row r="1243" spans="1:2" x14ac:dyDescent="0.25">
      <c r="A1243" s="4" t="s">
        <v>8</v>
      </c>
      <c r="B1243" s="8">
        <v>218298.51</v>
      </c>
    </row>
    <row r="1244" spans="1:2" x14ac:dyDescent="0.25">
      <c r="A1244" s="4" t="s">
        <v>9</v>
      </c>
      <c r="B1244" s="8">
        <v>71897.91</v>
      </c>
    </row>
    <row r="1245" spans="1:2" x14ac:dyDescent="0.25">
      <c r="A1245" s="4" t="s">
        <v>10</v>
      </c>
      <c r="B1245" s="8">
        <v>154174.85999999999</v>
      </c>
    </row>
    <row r="1246" spans="1:2" x14ac:dyDescent="0.25">
      <c r="A1246" s="4" t="s">
        <v>11</v>
      </c>
      <c r="B1246" s="8">
        <v>173929.28</v>
      </c>
    </row>
    <row r="1247" spans="1:2" x14ac:dyDescent="0.25">
      <c r="A1247" s="4" t="s">
        <v>12</v>
      </c>
      <c r="B1247" s="8">
        <v>152681.29999999999</v>
      </c>
    </row>
    <row r="1248" spans="1:2" x14ac:dyDescent="0.25">
      <c r="A1248" s="4" t="s">
        <v>13</v>
      </c>
      <c r="B1248" s="8">
        <v>69224</v>
      </c>
    </row>
    <row r="1249" spans="1:2" x14ac:dyDescent="0.25">
      <c r="A1249" s="4" t="s">
        <v>14</v>
      </c>
      <c r="B1249" s="8">
        <v>7477.25</v>
      </c>
    </row>
    <row r="1250" spans="1:2" x14ac:dyDescent="0.25">
      <c r="A1250" s="4" t="s">
        <v>28</v>
      </c>
      <c r="B1250" s="8">
        <v>2084.44</v>
      </c>
    </row>
    <row r="1251" spans="1:2" x14ac:dyDescent="0.25">
      <c r="A1251" s="4" t="s">
        <v>15</v>
      </c>
      <c r="B1251" s="8">
        <v>47249.01</v>
      </c>
    </row>
    <row r="1252" spans="1:2" x14ac:dyDescent="0.25">
      <c r="A1252" s="4" t="s">
        <v>16</v>
      </c>
      <c r="B1252" s="8">
        <v>33462.26</v>
      </c>
    </row>
    <row r="1253" spans="1:2" x14ac:dyDescent="0.25">
      <c r="A1253" s="4" t="s">
        <v>17</v>
      </c>
      <c r="B1253" s="8">
        <v>370941.91</v>
      </c>
    </row>
    <row r="1254" spans="1:2" x14ac:dyDescent="0.25">
      <c r="A1254" s="4" t="s">
        <v>18</v>
      </c>
      <c r="B1254" s="8">
        <v>125098.96</v>
      </c>
    </row>
    <row r="1255" spans="1:2" x14ac:dyDescent="0.25">
      <c r="A1255" s="4" t="s">
        <v>20</v>
      </c>
      <c r="B1255" s="8">
        <v>17137.900000000001</v>
      </c>
    </row>
    <row r="1256" spans="1:2" x14ac:dyDescent="0.25">
      <c r="A1256" s="4" t="s">
        <v>21</v>
      </c>
      <c r="B1256" s="8">
        <v>22129.07</v>
      </c>
    </row>
    <row r="1257" spans="1:2" x14ac:dyDescent="0.25">
      <c r="A1257" s="4" t="s">
        <v>22</v>
      </c>
      <c r="B1257" s="8">
        <v>181892.75</v>
      </c>
    </row>
    <row r="1258" spans="1:2" x14ac:dyDescent="0.25">
      <c r="A1258" s="4" t="s">
        <v>23</v>
      </c>
      <c r="B1258" s="8">
        <v>380</v>
      </c>
    </row>
    <row r="1259" spans="1:2" x14ac:dyDescent="0.25">
      <c r="A1259" s="4" t="s">
        <v>24</v>
      </c>
      <c r="B1259" s="8">
        <v>2296.08</v>
      </c>
    </row>
    <row r="1260" spans="1:2" x14ac:dyDescent="0.25">
      <c r="A1260" s="4" t="s">
        <v>25</v>
      </c>
      <c r="B1260" s="8">
        <v>155158.56</v>
      </c>
    </row>
    <row r="1261" spans="1:2" x14ac:dyDescent="0.25">
      <c r="A1261" s="4" t="s">
        <v>26</v>
      </c>
      <c r="B1261" s="8">
        <v>254529.96</v>
      </c>
    </row>
    <row r="1262" spans="1:2" x14ac:dyDescent="0.25">
      <c r="A1262" s="4" t="s">
        <v>27</v>
      </c>
      <c r="B1262" s="8">
        <v>248030.57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56"/>
  <sheetViews>
    <sheetView workbookViewId="0">
      <selection activeCell="E15" sqref="E15"/>
    </sheetView>
  </sheetViews>
  <sheetFormatPr defaultRowHeight="15" x14ac:dyDescent="0.25"/>
  <cols>
    <col min="1" max="1" width="40.7109375" bestFit="1" customWidth="1"/>
    <col min="2" max="2" width="13.28515625" style="9" bestFit="1" customWidth="1"/>
  </cols>
  <sheetData>
    <row r="1" spans="1:2" ht="16.5" thickBot="1" x14ac:dyDescent="0.3">
      <c r="A1" s="16" t="s">
        <v>0</v>
      </c>
      <c r="B1" s="17" t="s">
        <v>1</v>
      </c>
    </row>
    <row r="2" spans="1:2" x14ac:dyDescent="0.25">
      <c r="A2" s="5" t="s">
        <v>2</v>
      </c>
      <c r="B2" s="8">
        <v>16764</v>
      </c>
    </row>
    <row r="3" spans="1:2" x14ac:dyDescent="0.25">
      <c r="A3" s="5" t="s">
        <v>3</v>
      </c>
      <c r="B3" s="8">
        <v>203581.19</v>
      </c>
    </row>
    <row r="4" spans="1:2" x14ac:dyDescent="0.25">
      <c r="A4" s="5" t="s">
        <v>4</v>
      </c>
      <c r="B4" s="8">
        <v>84532.1</v>
      </c>
    </row>
    <row r="5" spans="1:2" x14ac:dyDescent="0.25">
      <c r="A5" s="5" t="s">
        <v>5</v>
      </c>
      <c r="B5" s="8">
        <v>3298</v>
      </c>
    </row>
    <row r="6" spans="1:2" x14ac:dyDescent="0.25">
      <c r="A6" s="5" t="s">
        <v>6</v>
      </c>
      <c r="B6" s="8">
        <v>34836.870000000003</v>
      </c>
    </row>
    <row r="7" spans="1:2" x14ac:dyDescent="0.25">
      <c r="A7" s="5" t="s">
        <v>7</v>
      </c>
      <c r="B7" s="8">
        <v>125858.47</v>
      </c>
    </row>
    <row r="8" spans="1:2" x14ac:dyDescent="0.25">
      <c r="A8" s="5" t="s">
        <v>8</v>
      </c>
      <c r="B8" s="8">
        <v>447084.74</v>
      </c>
    </row>
    <row r="9" spans="1:2" x14ac:dyDescent="0.25">
      <c r="A9" s="5" t="s">
        <v>9</v>
      </c>
      <c r="B9" s="8">
        <v>108571.97</v>
      </c>
    </row>
    <row r="10" spans="1:2" x14ac:dyDescent="0.25">
      <c r="A10" s="5" t="s">
        <v>10</v>
      </c>
      <c r="B10" s="8">
        <v>178209.93</v>
      </c>
    </row>
    <row r="11" spans="1:2" x14ac:dyDescent="0.25">
      <c r="A11" s="5" t="s">
        <v>11</v>
      </c>
      <c r="B11" s="8">
        <v>334985.94</v>
      </c>
    </row>
    <row r="12" spans="1:2" x14ac:dyDescent="0.25">
      <c r="A12" s="5" t="s">
        <v>12</v>
      </c>
      <c r="B12" s="8">
        <v>114554.73</v>
      </c>
    </row>
    <row r="13" spans="1:2" x14ac:dyDescent="0.25">
      <c r="A13" s="5" t="s">
        <v>13</v>
      </c>
      <c r="B13" s="8">
        <v>129453.31</v>
      </c>
    </row>
    <row r="14" spans="1:2" x14ac:dyDescent="0.25">
      <c r="A14" s="5" t="s">
        <v>14</v>
      </c>
      <c r="B14" s="8">
        <v>12198</v>
      </c>
    </row>
    <row r="15" spans="1:2" x14ac:dyDescent="0.25">
      <c r="A15" s="5" t="s">
        <v>28</v>
      </c>
      <c r="B15" s="8">
        <v>3717</v>
      </c>
    </row>
    <row r="16" spans="1:2" x14ac:dyDescent="0.25">
      <c r="A16" s="5" t="s">
        <v>15</v>
      </c>
      <c r="B16" s="8">
        <v>138906.99</v>
      </c>
    </row>
    <row r="17" spans="1:2" x14ac:dyDescent="0.25">
      <c r="A17" s="5" t="s">
        <v>16</v>
      </c>
      <c r="B17" s="8">
        <v>121229.86</v>
      </c>
    </row>
    <row r="18" spans="1:2" x14ac:dyDescent="0.25">
      <c r="A18" s="5" t="s">
        <v>17</v>
      </c>
      <c r="B18" s="8">
        <v>397833.25</v>
      </c>
    </row>
    <row r="19" spans="1:2" x14ac:dyDescent="0.25">
      <c r="A19" s="5" t="s">
        <v>18</v>
      </c>
      <c r="B19" s="8">
        <v>101876.03</v>
      </c>
    </row>
    <row r="20" spans="1:2" x14ac:dyDescent="0.25">
      <c r="A20" s="5" t="s">
        <v>19</v>
      </c>
      <c r="B20" s="8">
        <v>624591.01</v>
      </c>
    </row>
    <row r="21" spans="1:2" x14ac:dyDescent="0.25">
      <c r="A21" s="5" t="s">
        <v>20</v>
      </c>
      <c r="B21" s="8">
        <v>69087.47</v>
      </c>
    </row>
    <row r="22" spans="1:2" x14ac:dyDescent="0.25">
      <c r="A22" s="5" t="s">
        <v>22</v>
      </c>
      <c r="B22" s="8">
        <v>63831.63</v>
      </c>
    </row>
    <row r="23" spans="1:2" x14ac:dyDescent="0.25">
      <c r="A23" s="5" t="s">
        <v>23</v>
      </c>
      <c r="B23" s="8">
        <v>5290.82</v>
      </c>
    </row>
    <row r="24" spans="1:2" x14ac:dyDescent="0.25">
      <c r="A24" s="5" t="s">
        <v>24</v>
      </c>
      <c r="B24" s="8">
        <v>16239.2</v>
      </c>
    </row>
    <row r="25" spans="1:2" x14ac:dyDescent="0.25">
      <c r="A25" s="5" t="s">
        <v>25</v>
      </c>
      <c r="B25" s="8">
        <v>113489.94</v>
      </c>
    </row>
    <row r="26" spans="1:2" x14ac:dyDescent="0.25">
      <c r="A26" s="5" t="s">
        <v>26</v>
      </c>
      <c r="B26" s="8">
        <v>300002.12</v>
      </c>
    </row>
    <row r="27" spans="1:2" x14ac:dyDescent="0.25">
      <c r="A27" s="5" t="s">
        <v>27</v>
      </c>
      <c r="B27" s="8">
        <v>238154.92</v>
      </c>
    </row>
    <row r="28" spans="1:2" x14ac:dyDescent="0.25">
      <c r="A28" s="5" t="s">
        <v>2</v>
      </c>
      <c r="B28" s="8">
        <v>17719</v>
      </c>
    </row>
    <row r="29" spans="1:2" x14ac:dyDescent="0.25">
      <c r="A29" s="5" t="s">
        <v>3</v>
      </c>
      <c r="B29" s="8">
        <v>197871.99</v>
      </c>
    </row>
    <row r="30" spans="1:2" x14ac:dyDescent="0.25">
      <c r="A30" s="5" t="s">
        <v>4</v>
      </c>
      <c r="B30" s="8">
        <v>106934.75</v>
      </c>
    </row>
    <row r="31" spans="1:2" x14ac:dyDescent="0.25">
      <c r="A31" s="5" t="s">
        <v>5</v>
      </c>
      <c r="B31" s="8">
        <v>8371</v>
      </c>
    </row>
    <row r="32" spans="1:2" x14ac:dyDescent="0.25">
      <c r="A32" s="5" t="s">
        <v>6</v>
      </c>
      <c r="B32" s="8">
        <v>27385.78</v>
      </c>
    </row>
    <row r="33" spans="1:2" x14ac:dyDescent="0.25">
      <c r="A33" s="5" t="s">
        <v>7</v>
      </c>
      <c r="B33" s="8">
        <v>153326.45000000001</v>
      </c>
    </row>
    <row r="34" spans="1:2" x14ac:dyDescent="0.25">
      <c r="A34" s="5" t="s">
        <v>8</v>
      </c>
      <c r="B34" s="8">
        <v>484846.31</v>
      </c>
    </row>
    <row r="35" spans="1:2" x14ac:dyDescent="0.25">
      <c r="A35" s="5" t="s">
        <v>9</v>
      </c>
      <c r="B35" s="8">
        <v>106785.94</v>
      </c>
    </row>
    <row r="36" spans="1:2" x14ac:dyDescent="0.25">
      <c r="A36" s="5" t="s">
        <v>10</v>
      </c>
      <c r="B36" s="8">
        <v>186225.29</v>
      </c>
    </row>
    <row r="37" spans="1:2" x14ac:dyDescent="0.25">
      <c r="A37" s="5" t="s">
        <v>11</v>
      </c>
      <c r="B37" s="8">
        <v>382123.89299999998</v>
      </c>
    </row>
    <row r="38" spans="1:2" x14ac:dyDescent="0.25">
      <c r="A38" s="5" t="s">
        <v>12</v>
      </c>
      <c r="B38" s="8">
        <v>141270.81</v>
      </c>
    </row>
    <row r="39" spans="1:2" x14ac:dyDescent="0.25">
      <c r="A39" s="5" t="s">
        <v>13</v>
      </c>
      <c r="B39" s="8">
        <v>131088.99</v>
      </c>
    </row>
    <row r="40" spans="1:2" x14ac:dyDescent="0.25">
      <c r="A40" s="5" t="s">
        <v>14</v>
      </c>
      <c r="B40" s="8">
        <v>15072</v>
      </c>
    </row>
    <row r="41" spans="1:2" x14ac:dyDescent="0.25">
      <c r="A41" s="5" t="s">
        <v>28</v>
      </c>
      <c r="B41" s="8">
        <v>4517</v>
      </c>
    </row>
    <row r="42" spans="1:2" x14ac:dyDescent="0.25">
      <c r="A42" s="5" t="s">
        <v>15</v>
      </c>
      <c r="B42" s="8">
        <v>123452.52</v>
      </c>
    </row>
    <row r="43" spans="1:2" x14ac:dyDescent="0.25">
      <c r="A43" s="5" t="s">
        <v>16</v>
      </c>
      <c r="B43" s="8">
        <v>131920.29</v>
      </c>
    </row>
    <row r="44" spans="1:2" x14ac:dyDescent="0.25">
      <c r="A44" s="5" t="s">
        <v>17</v>
      </c>
      <c r="B44" s="8">
        <v>401604.35</v>
      </c>
    </row>
    <row r="45" spans="1:2" x14ac:dyDescent="0.25">
      <c r="A45" s="5" t="s">
        <v>18</v>
      </c>
      <c r="B45" s="8">
        <v>86752.639999999999</v>
      </c>
    </row>
    <row r="46" spans="1:2" x14ac:dyDescent="0.25">
      <c r="A46" s="5" t="s">
        <v>19</v>
      </c>
      <c r="B46" s="8">
        <v>664504.9</v>
      </c>
    </row>
    <row r="47" spans="1:2" x14ac:dyDescent="0.25">
      <c r="A47" s="5" t="s">
        <v>20</v>
      </c>
      <c r="B47" s="8">
        <v>93456.98</v>
      </c>
    </row>
    <row r="48" spans="1:2" x14ac:dyDescent="0.25">
      <c r="A48" s="5" t="s">
        <v>22</v>
      </c>
      <c r="B48" s="8">
        <v>62891.26</v>
      </c>
    </row>
    <row r="49" spans="1:2" x14ac:dyDescent="0.25">
      <c r="A49" s="5" t="s">
        <v>23</v>
      </c>
      <c r="B49" s="8">
        <v>3417.96</v>
      </c>
    </row>
    <row r="50" spans="1:2" x14ac:dyDescent="0.25">
      <c r="A50" s="5" t="s">
        <v>24</v>
      </c>
      <c r="B50" s="8">
        <v>6702.72</v>
      </c>
    </row>
    <row r="51" spans="1:2" x14ac:dyDescent="0.25">
      <c r="A51" s="5" t="s">
        <v>25</v>
      </c>
      <c r="B51" s="8">
        <v>141445.62</v>
      </c>
    </row>
    <row r="52" spans="1:2" x14ac:dyDescent="0.25">
      <c r="A52" s="5" t="s">
        <v>26</v>
      </c>
      <c r="B52" s="8">
        <v>268606.90999999997</v>
      </c>
    </row>
    <row r="53" spans="1:2" x14ac:dyDescent="0.25">
      <c r="A53" s="5" t="s">
        <v>27</v>
      </c>
      <c r="B53" s="8">
        <v>265160.21999999997</v>
      </c>
    </row>
    <row r="54" spans="1:2" x14ac:dyDescent="0.25">
      <c r="A54" s="5" t="s">
        <v>2</v>
      </c>
      <c r="B54" s="8">
        <v>17892</v>
      </c>
    </row>
    <row r="55" spans="1:2" x14ac:dyDescent="0.25">
      <c r="A55" s="5" t="s">
        <v>3</v>
      </c>
      <c r="B55" s="8">
        <v>173806.4</v>
      </c>
    </row>
    <row r="56" spans="1:2" x14ac:dyDescent="0.25">
      <c r="A56" s="5" t="s">
        <v>4</v>
      </c>
      <c r="B56" s="8">
        <v>149641.19</v>
      </c>
    </row>
    <row r="57" spans="1:2" x14ac:dyDescent="0.25">
      <c r="A57" s="5" t="s">
        <v>5</v>
      </c>
      <c r="B57" s="8">
        <v>8292</v>
      </c>
    </row>
    <row r="58" spans="1:2" x14ac:dyDescent="0.25">
      <c r="A58" s="5" t="s">
        <v>6</v>
      </c>
      <c r="B58" s="8">
        <v>40910.160000000003</v>
      </c>
    </row>
    <row r="59" spans="1:2" x14ac:dyDescent="0.25">
      <c r="A59" s="5" t="s">
        <v>7</v>
      </c>
      <c r="B59" s="8">
        <v>167862.63</v>
      </c>
    </row>
    <row r="60" spans="1:2" x14ac:dyDescent="0.25">
      <c r="A60" s="5" t="s">
        <v>8</v>
      </c>
      <c r="B60" s="8">
        <v>569301.56000000006</v>
      </c>
    </row>
    <row r="61" spans="1:2" x14ac:dyDescent="0.25">
      <c r="A61" s="5" t="s">
        <v>9</v>
      </c>
      <c r="B61" s="8">
        <v>154846.97</v>
      </c>
    </row>
    <row r="62" spans="1:2" x14ac:dyDescent="0.25">
      <c r="A62" s="5" t="s">
        <v>10</v>
      </c>
      <c r="B62" s="8">
        <v>188988.76</v>
      </c>
    </row>
    <row r="63" spans="1:2" x14ac:dyDescent="0.25">
      <c r="A63" s="5" t="s">
        <v>11</v>
      </c>
      <c r="B63" s="8">
        <v>502311.43</v>
      </c>
    </row>
    <row r="64" spans="1:2" x14ac:dyDescent="0.25">
      <c r="A64" s="5" t="s">
        <v>12</v>
      </c>
      <c r="B64" s="8">
        <v>118469.29</v>
      </c>
    </row>
    <row r="65" spans="1:2" x14ac:dyDescent="0.25">
      <c r="A65" s="5" t="s">
        <v>13</v>
      </c>
      <c r="B65" s="8">
        <v>109152.44</v>
      </c>
    </row>
    <row r="66" spans="1:2" x14ac:dyDescent="0.25">
      <c r="A66" s="5" t="s">
        <v>14</v>
      </c>
      <c r="B66" s="8">
        <v>7750</v>
      </c>
    </row>
    <row r="67" spans="1:2" x14ac:dyDescent="0.25">
      <c r="A67" s="5" t="s">
        <v>28</v>
      </c>
      <c r="B67" s="8">
        <v>4639</v>
      </c>
    </row>
    <row r="68" spans="1:2" x14ac:dyDescent="0.25">
      <c r="A68" s="5" t="s">
        <v>15</v>
      </c>
      <c r="B68" s="8">
        <v>135865</v>
      </c>
    </row>
    <row r="69" spans="1:2" x14ac:dyDescent="0.25">
      <c r="A69" s="5" t="s">
        <v>16</v>
      </c>
      <c r="B69" s="8">
        <v>84497.33</v>
      </c>
    </row>
    <row r="70" spans="1:2" x14ac:dyDescent="0.25">
      <c r="A70" s="5" t="s">
        <v>17</v>
      </c>
      <c r="B70" s="8">
        <v>462954.43</v>
      </c>
    </row>
    <row r="71" spans="1:2" x14ac:dyDescent="0.25">
      <c r="A71" s="5" t="s">
        <v>18</v>
      </c>
      <c r="B71" s="8">
        <v>82174.92</v>
      </c>
    </row>
    <row r="72" spans="1:2" x14ac:dyDescent="0.25">
      <c r="A72" s="5" t="s">
        <v>19</v>
      </c>
      <c r="B72" s="8">
        <v>639713.91</v>
      </c>
    </row>
    <row r="73" spans="1:2" x14ac:dyDescent="0.25">
      <c r="A73" s="5" t="s">
        <v>20</v>
      </c>
      <c r="B73" s="8">
        <v>85413.04</v>
      </c>
    </row>
    <row r="74" spans="1:2" x14ac:dyDescent="0.25">
      <c r="A74" s="5" t="s">
        <v>22</v>
      </c>
      <c r="B74" s="8">
        <v>63554.7</v>
      </c>
    </row>
    <row r="75" spans="1:2" x14ac:dyDescent="0.25">
      <c r="A75" s="5" t="s">
        <v>23</v>
      </c>
      <c r="B75" s="8">
        <v>5160.21</v>
      </c>
    </row>
    <row r="76" spans="1:2" x14ac:dyDescent="0.25">
      <c r="A76" s="5" t="s">
        <v>24</v>
      </c>
      <c r="B76" s="8">
        <v>10769.6</v>
      </c>
    </row>
    <row r="77" spans="1:2" x14ac:dyDescent="0.25">
      <c r="A77" s="5" t="s">
        <v>25</v>
      </c>
      <c r="B77" s="8">
        <v>115510.49</v>
      </c>
    </row>
    <row r="78" spans="1:2" x14ac:dyDescent="0.25">
      <c r="A78" s="5" t="s">
        <v>26</v>
      </c>
      <c r="B78" s="8">
        <v>236174.36</v>
      </c>
    </row>
    <row r="79" spans="1:2" x14ac:dyDescent="0.25">
      <c r="A79" s="5" t="s">
        <v>27</v>
      </c>
      <c r="B79" s="8">
        <v>245932.93</v>
      </c>
    </row>
    <row r="80" spans="1:2" x14ac:dyDescent="0.25">
      <c r="A80" s="5" t="s">
        <v>2</v>
      </c>
      <c r="B80" s="8">
        <v>12378</v>
      </c>
    </row>
    <row r="81" spans="1:2" x14ac:dyDescent="0.25">
      <c r="A81" s="5" t="s">
        <v>3</v>
      </c>
      <c r="B81" s="8">
        <v>219132</v>
      </c>
    </row>
    <row r="82" spans="1:2" x14ac:dyDescent="0.25">
      <c r="A82" s="5" t="s">
        <v>4</v>
      </c>
      <c r="B82" s="8">
        <v>93612</v>
      </c>
    </row>
    <row r="83" spans="1:2" x14ac:dyDescent="0.25">
      <c r="A83" s="5" t="s">
        <v>5</v>
      </c>
      <c r="B83" s="8">
        <v>6911</v>
      </c>
    </row>
    <row r="84" spans="1:2" x14ac:dyDescent="0.25">
      <c r="A84" s="5" t="s">
        <v>6</v>
      </c>
      <c r="B84" s="8">
        <v>31372</v>
      </c>
    </row>
    <row r="85" spans="1:2" x14ac:dyDescent="0.25">
      <c r="A85" s="5" t="s">
        <v>7</v>
      </c>
      <c r="B85" s="8">
        <v>152322</v>
      </c>
    </row>
    <row r="86" spans="1:2" x14ac:dyDescent="0.25">
      <c r="A86" s="5" t="s">
        <v>8</v>
      </c>
      <c r="B86" s="8">
        <v>416888</v>
      </c>
    </row>
    <row r="87" spans="1:2" x14ac:dyDescent="0.25">
      <c r="A87" s="5" t="s">
        <v>9</v>
      </c>
      <c r="B87" s="8">
        <v>101591</v>
      </c>
    </row>
    <row r="88" spans="1:2" x14ac:dyDescent="0.25">
      <c r="A88" s="5" t="s">
        <v>10</v>
      </c>
      <c r="B88" s="8">
        <v>172980</v>
      </c>
    </row>
    <row r="89" spans="1:2" x14ac:dyDescent="0.25">
      <c r="A89" s="5" t="s">
        <v>11</v>
      </c>
      <c r="B89" s="8">
        <v>494572</v>
      </c>
    </row>
    <row r="90" spans="1:2" x14ac:dyDescent="0.25">
      <c r="A90" s="5" t="s">
        <v>12</v>
      </c>
      <c r="B90" s="8">
        <v>177437</v>
      </c>
    </row>
    <row r="91" spans="1:2" x14ac:dyDescent="0.25">
      <c r="A91" s="5" t="s">
        <v>13</v>
      </c>
      <c r="B91" s="8">
        <v>155922</v>
      </c>
    </row>
    <row r="92" spans="1:2" x14ac:dyDescent="0.25">
      <c r="A92" s="5" t="s">
        <v>14</v>
      </c>
      <c r="B92" s="8">
        <v>15658</v>
      </c>
    </row>
    <row r="93" spans="1:2" x14ac:dyDescent="0.25">
      <c r="A93" s="5" t="s">
        <v>28</v>
      </c>
      <c r="B93" s="8">
        <v>3843</v>
      </c>
    </row>
    <row r="94" spans="1:2" x14ac:dyDescent="0.25">
      <c r="A94" s="5" t="s">
        <v>15</v>
      </c>
      <c r="B94" s="8">
        <v>153452</v>
      </c>
    </row>
    <row r="95" spans="1:2" x14ac:dyDescent="0.25">
      <c r="A95" s="5" t="s">
        <v>16</v>
      </c>
      <c r="B95" s="8">
        <v>66508</v>
      </c>
    </row>
    <row r="96" spans="1:2" x14ac:dyDescent="0.25">
      <c r="A96" s="5" t="s">
        <v>17</v>
      </c>
      <c r="B96" s="8">
        <v>476398</v>
      </c>
    </row>
    <row r="97" spans="1:2" x14ac:dyDescent="0.25">
      <c r="A97" s="5" t="s">
        <v>18</v>
      </c>
      <c r="B97" s="8">
        <v>96486</v>
      </c>
    </row>
    <row r="98" spans="1:2" x14ac:dyDescent="0.25">
      <c r="A98" s="5" t="s">
        <v>19</v>
      </c>
      <c r="B98" s="8">
        <v>636022</v>
      </c>
    </row>
    <row r="99" spans="1:2" x14ac:dyDescent="0.25">
      <c r="A99" s="5" t="s">
        <v>20</v>
      </c>
      <c r="B99" s="8">
        <v>54441</v>
      </c>
    </row>
    <row r="100" spans="1:2" x14ac:dyDescent="0.25">
      <c r="A100" s="5" t="s">
        <v>22</v>
      </c>
      <c r="B100" s="8">
        <v>51769</v>
      </c>
    </row>
    <row r="101" spans="1:2" x14ac:dyDescent="0.25">
      <c r="A101" s="5" t="s">
        <v>23</v>
      </c>
      <c r="B101" s="8">
        <v>5821</v>
      </c>
    </row>
    <row r="102" spans="1:2" x14ac:dyDescent="0.25">
      <c r="A102" s="5" t="s">
        <v>24</v>
      </c>
      <c r="B102" s="8">
        <v>8724</v>
      </c>
    </row>
    <row r="103" spans="1:2" x14ac:dyDescent="0.25">
      <c r="A103" s="5" t="s">
        <v>25</v>
      </c>
      <c r="B103" s="8">
        <v>134164</v>
      </c>
    </row>
    <row r="104" spans="1:2" x14ac:dyDescent="0.25">
      <c r="A104" s="5" t="s">
        <v>26</v>
      </c>
      <c r="B104" s="8">
        <v>291414</v>
      </c>
    </row>
    <row r="105" spans="1:2" x14ac:dyDescent="0.25">
      <c r="A105" s="5" t="s">
        <v>27</v>
      </c>
      <c r="B105" s="8">
        <v>254373</v>
      </c>
    </row>
    <row r="106" spans="1:2" x14ac:dyDescent="0.25">
      <c r="A106" s="5" t="s">
        <v>2</v>
      </c>
      <c r="B106" s="8">
        <v>19556</v>
      </c>
    </row>
    <row r="107" spans="1:2" x14ac:dyDescent="0.25">
      <c r="A107" s="5" t="s">
        <v>3</v>
      </c>
      <c r="B107" s="8">
        <v>267059</v>
      </c>
    </row>
    <row r="108" spans="1:2" x14ac:dyDescent="0.25">
      <c r="A108" s="5" t="s">
        <v>4</v>
      </c>
      <c r="B108" s="8">
        <v>97169</v>
      </c>
    </row>
    <row r="109" spans="1:2" x14ac:dyDescent="0.25">
      <c r="A109" s="5" t="s">
        <v>5</v>
      </c>
      <c r="B109" s="8">
        <v>5422</v>
      </c>
    </row>
    <row r="110" spans="1:2" x14ac:dyDescent="0.25">
      <c r="A110" s="5" t="s">
        <v>6</v>
      </c>
      <c r="B110" s="8">
        <v>35461</v>
      </c>
    </row>
    <row r="111" spans="1:2" x14ac:dyDescent="0.25">
      <c r="A111" s="5" t="s">
        <v>7</v>
      </c>
      <c r="B111" s="8">
        <v>146017</v>
      </c>
    </row>
    <row r="112" spans="1:2" x14ac:dyDescent="0.25">
      <c r="A112" s="5" t="s">
        <v>8</v>
      </c>
      <c r="B112" s="8">
        <v>456960</v>
      </c>
    </row>
    <row r="113" spans="1:2" x14ac:dyDescent="0.25">
      <c r="A113" s="5" t="s">
        <v>9</v>
      </c>
      <c r="B113" s="8">
        <v>184667</v>
      </c>
    </row>
    <row r="114" spans="1:2" x14ac:dyDescent="0.25">
      <c r="A114" s="5" t="s">
        <v>10</v>
      </c>
      <c r="B114" s="8">
        <v>208377</v>
      </c>
    </row>
    <row r="115" spans="1:2" x14ac:dyDescent="0.25">
      <c r="A115" s="5" t="s">
        <v>11</v>
      </c>
      <c r="B115" s="8">
        <v>1687185</v>
      </c>
    </row>
    <row r="116" spans="1:2" x14ac:dyDescent="0.25">
      <c r="A116" s="5" t="s">
        <v>12</v>
      </c>
      <c r="B116" s="8">
        <v>200153</v>
      </c>
    </row>
    <row r="117" spans="1:2" x14ac:dyDescent="0.25">
      <c r="A117" s="5" t="s">
        <v>13</v>
      </c>
      <c r="B117" s="8">
        <v>183719</v>
      </c>
    </row>
    <row r="118" spans="1:2" x14ac:dyDescent="0.25">
      <c r="A118" s="5" t="s">
        <v>14</v>
      </c>
      <c r="B118" s="8">
        <v>6464</v>
      </c>
    </row>
    <row r="119" spans="1:2" x14ac:dyDescent="0.25">
      <c r="A119" s="5" t="s">
        <v>28</v>
      </c>
      <c r="B119" s="8">
        <v>16931</v>
      </c>
    </row>
    <row r="120" spans="1:2" x14ac:dyDescent="0.25">
      <c r="A120" s="5" t="s">
        <v>15</v>
      </c>
      <c r="B120" s="8">
        <v>163013</v>
      </c>
    </row>
    <row r="121" spans="1:2" x14ac:dyDescent="0.25">
      <c r="A121" s="5" t="s">
        <v>16</v>
      </c>
      <c r="B121" s="8">
        <v>81572</v>
      </c>
    </row>
    <row r="122" spans="1:2" x14ac:dyDescent="0.25">
      <c r="A122" s="5" t="s">
        <v>17</v>
      </c>
      <c r="B122" s="8">
        <v>569973</v>
      </c>
    </row>
    <row r="123" spans="1:2" x14ac:dyDescent="0.25">
      <c r="A123" s="5" t="s">
        <v>18</v>
      </c>
      <c r="B123" s="8">
        <v>137488</v>
      </c>
    </row>
    <row r="124" spans="1:2" x14ac:dyDescent="0.25">
      <c r="A124" s="5" t="s">
        <v>19</v>
      </c>
      <c r="B124" s="8">
        <v>813774</v>
      </c>
    </row>
    <row r="125" spans="1:2" x14ac:dyDescent="0.25">
      <c r="A125" s="5" t="s">
        <v>20</v>
      </c>
      <c r="B125" s="8">
        <v>73147</v>
      </c>
    </row>
    <row r="126" spans="1:2" x14ac:dyDescent="0.25">
      <c r="A126" s="5" t="s">
        <v>22</v>
      </c>
      <c r="B126" s="8">
        <v>73529</v>
      </c>
    </row>
    <row r="127" spans="1:2" x14ac:dyDescent="0.25">
      <c r="A127" s="5" t="s">
        <v>23</v>
      </c>
      <c r="B127" s="8">
        <v>4909</v>
      </c>
    </row>
    <row r="128" spans="1:2" x14ac:dyDescent="0.25">
      <c r="A128" s="5" t="s">
        <v>24</v>
      </c>
      <c r="B128" s="8">
        <v>5514</v>
      </c>
    </row>
    <row r="129" spans="1:2" x14ac:dyDescent="0.25">
      <c r="A129" s="5" t="s">
        <v>25</v>
      </c>
      <c r="B129" s="8">
        <v>140650</v>
      </c>
    </row>
    <row r="130" spans="1:2" x14ac:dyDescent="0.25">
      <c r="A130" s="5" t="s">
        <v>26</v>
      </c>
      <c r="B130" s="8">
        <v>271492</v>
      </c>
    </row>
    <row r="131" spans="1:2" x14ac:dyDescent="0.25">
      <c r="A131" s="5" t="s">
        <v>27</v>
      </c>
      <c r="B131" s="8">
        <v>273699</v>
      </c>
    </row>
    <row r="132" spans="1:2" x14ac:dyDescent="0.25">
      <c r="A132" s="5" t="s">
        <v>2</v>
      </c>
      <c r="B132" s="8">
        <v>25281</v>
      </c>
    </row>
    <row r="133" spans="1:2" x14ac:dyDescent="0.25">
      <c r="A133" s="5" t="s">
        <v>3</v>
      </c>
      <c r="B133" s="8">
        <v>314593</v>
      </c>
    </row>
    <row r="134" spans="1:2" x14ac:dyDescent="0.25">
      <c r="A134" s="5" t="s">
        <v>4</v>
      </c>
      <c r="B134" s="8">
        <v>118813</v>
      </c>
    </row>
    <row r="135" spans="1:2" x14ac:dyDescent="0.25">
      <c r="A135" s="5" t="s">
        <v>5</v>
      </c>
      <c r="B135" s="8">
        <v>8579</v>
      </c>
    </row>
    <row r="136" spans="1:2" x14ac:dyDescent="0.25">
      <c r="A136" s="5" t="s">
        <v>6</v>
      </c>
      <c r="B136" s="8">
        <v>64233</v>
      </c>
    </row>
    <row r="137" spans="1:2" x14ac:dyDescent="0.25">
      <c r="A137" s="5" t="s">
        <v>7</v>
      </c>
      <c r="B137" s="8">
        <v>194311</v>
      </c>
    </row>
    <row r="138" spans="1:2" x14ac:dyDescent="0.25">
      <c r="A138" s="5" t="s">
        <v>8</v>
      </c>
      <c r="B138" s="8">
        <v>674046</v>
      </c>
    </row>
    <row r="139" spans="1:2" x14ac:dyDescent="0.25">
      <c r="A139" s="5" t="s">
        <v>9</v>
      </c>
      <c r="B139" s="8">
        <v>180098</v>
      </c>
    </row>
    <row r="140" spans="1:2" x14ac:dyDescent="0.25">
      <c r="A140" s="5" t="s">
        <v>10</v>
      </c>
      <c r="B140" s="8">
        <v>264053</v>
      </c>
    </row>
    <row r="141" spans="1:2" x14ac:dyDescent="0.25">
      <c r="A141" s="5" t="s">
        <v>11</v>
      </c>
      <c r="B141" s="8">
        <v>536933</v>
      </c>
    </row>
    <row r="142" spans="1:2" x14ac:dyDescent="0.25">
      <c r="A142" s="5" t="s">
        <v>12</v>
      </c>
      <c r="B142" s="8">
        <v>200824</v>
      </c>
    </row>
    <row r="143" spans="1:2" x14ac:dyDescent="0.25">
      <c r="A143" s="5" t="s">
        <v>13</v>
      </c>
      <c r="B143" s="8">
        <v>222104</v>
      </c>
    </row>
    <row r="144" spans="1:2" x14ac:dyDescent="0.25">
      <c r="A144" s="5" t="s">
        <v>14</v>
      </c>
      <c r="B144" s="8">
        <v>10972</v>
      </c>
    </row>
    <row r="145" spans="1:2" x14ac:dyDescent="0.25">
      <c r="A145" s="5" t="s">
        <v>28</v>
      </c>
      <c r="B145" s="8">
        <v>20154</v>
      </c>
    </row>
    <row r="146" spans="1:2" x14ac:dyDescent="0.25">
      <c r="A146" s="5" t="s">
        <v>15</v>
      </c>
      <c r="B146" s="8">
        <v>184993</v>
      </c>
    </row>
    <row r="147" spans="1:2" x14ac:dyDescent="0.25">
      <c r="A147" s="5" t="s">
        <v>16</v>
      </c>
      <c r="B147" s="8">
        <v>138001</v>
      </c>
    </row>
    <row r="148" spans="1:2" x14ac:dyDescent="0.25">
      <c r="A148" s="5" t="s">
        <v>17</v>
      </c>
      <c r="B148" s="8">
        <v>667511</v>
      </c>
    </row>
    <row r="149" spans="1:2" x14ac:dyDescent="0.25">
      <c r="A149" s="5" t="s">
        <v>18</v>
      </c>
      <c r="B149" s="8">
        <v>149315</v>
      </c>
    </row>
    <row r="150" spans="1:2" x14ac:dyDescent="0.25">
      <c r="A150" s="5" t="s">
        <v>19</v>
      </c>
      <c r="B150" s="8">
        <v>903442</v>
      </c>
    </row>
    <row r="151" spans="1:2" x14ac:dyDescent="0.25">
      <c r="A151" s="5" t="s">
        <v>20</v>
      </c>
      <c r="B151" s="8">
        <v>100333</v>
      </c>
    </row>
    <row r="152" spans="1:2" x14ac:dyDescent="0.25">
      <c r="A152" s="5" t="s">
        <v>22</v>
      </c>
      <c r="B152" s="8">
        <v>67181</v>
      </c>
    </row>
    <row r="153" spans="1:2" x14ac:dyDescent="0.25">
      <c r="A153" s="5" t="s">
        <v>24</v>
      </c>
      <c r="B153" s="8">
        <v>10914</v>
      </c>
    </row>
    <row r="154" spans="1:2" x14ac:dyDescent="0.25">
      <c r="A154" s="5" t="s">
        <v>25</v>
      </c>
      <c r="B154" s="8">
        <v>201456</v>
      </c>
    </row>
    <row r="155" spans="1:2" x14ac:dyDescent="0.25">
      <c r="A155" s="5" t="s">
        <v>26</v>
      </c>
      <c r="B155" s="8">
        <v>411667</v>
      </c>
    </row>
    <row r="156" spans="1:2" x14ac:dyDescent="0.25">
      <c r="A156" s="5" t="s">
        <v>27</v>
      </c>
      <c r="B156" s="8">
        <v>424372</v>
      </c>
    </row>
    <row r="157" spans="1:2" x14ac:dyDescent="0.25">
      <c r="A157" s="5" t="s">
        <v>2</v>
      </c>
      <c r="B157" s="8">
        <v>14486</v>
      </c>
    </row>
    <row r="158" spans="1:2" x14ac:dyDescent="0.25">
      <c r="A158" s="5" t="s">
        <v>3</v>
      </c>
      <c r="B158" s="8">
        <v>233361.73</v>
      </c>
    </row>
    <row r="159" spans="1:2" x14ac:dyDescent="0.25">
      <c r="A159" s="5" t="s">
        <v>4</v>
      </c>
      <c r="B159" s="8">
        <v>87098.15</v>
      </c>
    </row>
    <row r="160" spans="1:2" x14ac:dyDescent="0.25">
      <c r="A160" s="5" t="s">
        <v>5</v>
      </c>
      <c r="B160" s="8">
        <v>7143</v>
      </c>
    </row>
    <row r="161" spans="1:2" x14ac:dyDescent="0.25">
      <c r="A161" s="5" t="s">
        <v>6</v>
      </c>
      <c r="B161" s="8">
        <v>44647.86</v>
      </c>
    </row>
    <row r="162" spans="1:2" x14ac:dyDescent="0.25">
      <c r="A162" s="5" t="s">
        <v>7</v>
      </c>
      <c r="B162" s="8">
        <v>186287.42</v>
      </c>
    </row>
    <row r="163" spans="1:2" x14ac:dyDescent="0.25">
      <c r="A163" s="5" t="s">
        <v>8</v>
      </c>
      <c r="B163" s="8">
        <v>481028.62</v>
      </c>
    </row>
    <row r="164" spans="1:2" x14ac:dyDescent="0.25">
      <c r="A164" s="5" t="s">
        <v>9</v>
      </c>
      <c r="B164" s="8">
        <v>153160.44</v>
      </c>
    </row>
    <row r="165" spans="1:2" x14ac:dyDescent="0.25">
      <c r="A165" s="5" t="s">
        <v>10</v>
      </c>
      <c r="B165" s="8">
        <v>218128.21</v>
      </c>
    </row>
    <row r="166" spans="1:2" x14ac:dyDescent="0.25">
      <c r="A166" s="5" t="s">
        <v>11</v>
      </c>
      <c r="B166" s="8">
        <v>400775.24</v>
      </c>
    </row>
    <row r="167" spans="1:2" x14ac:dyDescent="0.25">
      <c r="A167" s="5" t="s">
        <v>12</v>
      </c>
      <c r="B167" s="8">
        <v>211536.69</v>
      </c>
    </row>
    <row r="168" spans="1:2" x14ac:dyDescent="0.25">
      <c r="A168" s="5" t="s">
        <v>13</v>
      </c>
      <c r="B168" s="8">
        <v>169916.43</v>
      </c>
    </row>
    <row r="169" spans="1:2" x14ac:dyDescent="0.25">
      <c r="A169" s="5" t="s">
        <v>14</v>
      </c>
      <c r="B169" s="8">
        <v>11300</v>
      </c>
    </row>
    <row r="170" spans="1:2" x14ac:dyDescent="0.25">
      <c r="A170" s="5" t="s">
        <v>28</v>
      </c>
      <c r="B170" s="8">
        <v>11925</v>
      </c>
    </row>
    <row r="171" spans="1:2" x14ac:dyDescent="0.25">
      <c r="A171" s="5" t="s">
        <v>15</v>
      </c>
      <c r="B171" s="8">
        <v>118450.32</v>
      </c>
    </row>
    <row r="172" spans="1:2" x14ac:dyDescent="0.25">
      <c r="A172" s="5" t="s">
        <v>16</v>
      </c>
      <c r="B172" s="8">
        <v>110769.31</v>
      </c>
    </row>
    <row r="173" spans="1:2" x14ac:dyDescent="0.25">
      <c r="A173" s="5" t="s">
        <v>17</v>
      </c>
      <c r="B173" s="8">
        <v>605960.31999999995</v>
      </c>
    </row>
    <row r="174" spans="1:2" x14ac:dyDescent="0.25">
      <c r="A174" s="5" t="s">
        <v>18</v>
      </c>
      <c r="B174" s="8">
        <v>120242.28</v>
      </c>
    </row>
    <row r="175" spans="1:2" x14ac:dyDescent="0.25">
      <c r="A175" s="5" t="s">
        <v>19</v>
      </c>
      <c r="B175" s="8">
        <v>657135.51</v>
      </c>
    </row>
    <row r="176" spans="1:2" x14ac:dyDescent="0.25">
      <c r="A176" s="5" t="s">
        <v>20</v>
      </c>
      <c r="B176" s="8">
        <v>82554.77</v>
      </c>
    </row>
    <row r="177" spans="1:2" x14ac:dyDescent="0.25">
      <c r="A177" s="5" t="s">
        <v>22</v>
      </c>
      <c r="B177" s="8">
        <v>64024.88</v>
      </c>
    </row>
    <row r="178" spans="1:2" x14ac:dyDescent="0.25">
      <c r="A178" s="5" t="s">
        <v>23</v>
      </c>
      <c r="B178" s="8">
        <v>3585.54</v>
      </c>
    </row>
    <row r="179" spans="1:2" x14ac:dyDescent="0.25">
      <c r="A179" s="5" t="s">
        <v>24</v>
      </c>
      <c r="B179" s="8">
        <v>5030.72</v>
      </c>
    </row>
    <row r="180" spans="1:2" x14ac:dyDescent="0.25">
      <c r="A180" s="5" t="s">
        <v>25</v>
      </c>
      <c r="B180" s="8">
        <v>183039.2</v>
      </c>
    </row>
    <row r="181" spans="1:2" x14ac:dyDescent="0.25">
      <c r="A181" s="5" t="s">
        <v>26</v>
      </c>
      <c r="B181" s="8">
        <v>338276.54</v>
      </c>
    </row>
    <row r="182" spans="1:2" x14ac:dyDescent="0.25">
      <c r="A182" s="5" t="s">
        <v>27</v>
      </c>
      <c r="B182" s="8">
        <v>344737.87</v>
      </c>
    </row>
    <row r="183" spans="1:2" x14ac:dyDescent="0.25">
      <c r="A183" s="5" t="s">
        <v>2</v>
      </c>
      <c r="B183" s="8">
        <v>16494</v>
      </c>
    </row>
    <row r="184" spans="1:2" x14ac:dyDescent="0.25">
      <c r="A184" s="5" t="s">
        <v>3</v>
      </c>
      <c r="B184" s="8">
        <v>232017</v>
      </c>
    </row>
    <row r="185" spans="1:2" x14ac:dyDescent="0.25">
      <c r="A185" s="5" t="s">
        <v>4</v>
      </c>
      <c r="B185" s="8">
        <v>86248</v>
      </c>
    </row>
    <row r="186" spans="1:2" x14ac:dyDescent="0.25">
      <c r="A186" s="5" t="s">
        <v>5</v>
      </c>
      <c r="B186" s="8">
        <v>5580</v>
      </c>
    </row>
    <row r="187" spans="1:2" x14ac:dyDescent="0.25">
      <c r="A187" s="5" t="s">
        <v>6</v>
      </c>
      <c r="B187" s="8">
        <v>20627</v>
      </c>
    </row>
    <row r="188" spans="1:2" x14ac:dyDescent="0.25">
      <c r="A188" s="5" t="s">
        <v>7</v>
      </c>
      <c r="B188" s="8">
        <v>138907</v>
      </c>
    </row>
    <row r="189" spans="1:2" x14ac:dyDescent="0.25">
      <c r="A189" s="5" t="s">
        <v>8</v>
      </c>
      <c r="B189" s="8">
        <v>417460</v>
      </c>
    </row>
    <row r="190" spans="1:2" x14ac:dyDescent="0.25">
      <c r="A190" s="5" t="s">
        <v>9</v>
      </c>
      <c r="B190" s="8">
        <v>122785</v>
      </c>
    </row>
    <row r="191" spans="1:2" x14ac:dyDescent="0.25">
      <c r="A191" s="5" t="s">
        <v>10</v>
      </c>
      <c r="B191" s="8">
        <v>154480</v>
      </c>
    </row>
    <row r="192" spans="1:2" x14ac:dyDescent="0.25">
      <c r="A192" s="5" t="s">
        <v>11</v>
      </c>
      <c r="B192" s="8">
        <v>368422</v>
      </c>
    </row>
    <row r="193" spans="1:2" x14ac:dyDescent="0.25">
      <c r="A193" s="5" t="s">
        <v>12</v>
      </c>
      <c r="B193" s="8">
        <v>147903</v>
      </c>
    </row>
    <row r="194" spans="1:2" x14ac:dyDescent="0.25">
      <c r="A194" s="5" t="s">
        <v>13</v>
      </c>
      <c r="B194" s="8">
        <v>165894</v>
      </c>
    </row>
    <row r="195" spans="1:2" x14ac:dyDescent="0.25">
      <c r="A195" s="5" t="s">
        <v>14</v>
      </c>
      <c r="B195" s="8">
        <v>11864</v>
      </c>
    </row>
    <row r="196" spans="1:2" x14ac:dyDescent="0.25">
      <c r="A196" s="5" t="s">
        <v>28</v>
      </c>
      <c r="B196" s="8">
        <v>14942</v>
      </c>
    </row>
    <row r="197" spans="1:2" x14ac:dyDescent="0.25">
      <c r="A197" s="5" t="s">
        <v>15</v>
      </c>
      <c r="B197" s="8">
        <v>109413</v>
      </c>
    </row>
    <row r="198" spans="1:2" x14ac:dyDescent="0.25">
      <c r="A198" s="5" t="s">
        <v>16</v>
      </c>
      <c r="B198" s="8">
        <v>74156</v>
      </c>
    </row>
    <row r="199" spans="1:2" x14ac:dyDescent="0.25">
      <c r="A199" s="5" t="s">
        <v>17</v>
      </c>
      <c r="B199" s="8">
        <v>400178</v>
      </c>
    </row>
    <row r="200" spans="1:2" x14ac:dyDescent="0.25">
      <c r="A200" s="5" t="s">
        <v>18</v>
      </c>
      <c r="B200" s="8">
        <v>96277</v>
      </c>
    </row>
    <row r="201" spans="1:2" x14ac:dyDescent="0.25">
      <c r="A201" s="5" t="s">
        <v>19</v>
      </c>
      <c r="B201" s="8">
        <v>518276</v>
      </c>
    </row>
    <row r="202" spans="1:2" x14ac:dyDescent="0.25">
      <c r="A202" s="5" t="s">
        <v>20</v>
      </c>
      <c r="B202" s="8">
        <v>64024</v>
      </c>
    </row>
    <row r="203" spans="1:2" x14ac:dyDescent="0.25">
      <c r="A203" s="5" t="s">
        <v>22</v>
      </c>
      <c r="B203" s="8">
        <v>61519</v>
      </c>
    </row>
    <row r="204" spans="1:2" x14ac:dyDescent="0.25">
      <c r="A204" s="5" t="s">
        <v>23</v>
      </c>
      <c r="B204" s="8">
        <v>5675</v>
      </c>
    </row>
    <row r="205" spans="1:2" x14ac:dyDescent="0.25">
      <c r="A205" s="5" t="s">
        <v>24</v>
      </c>
      <c r="B205" s="8">
        <v>6573</v>
      </c>
    </row>
    <row r="206" spans="1:2" x14ac:dyDescent="0.25">
      <c r="A206" s="5" t="s">
        <v>25</v>
      </c>
      <c r="B206" s="8">
        <v>121649</v>
      </c>
    </row>
    <row r="207" spans="1:2" x14ac:dyDescent="0.25">
      <c r="A207" s="5" t="s">
        <v>26</v>
      </c>
      <c r="B207" s="8">
        <v>248061</v>
      </c>
    </row>
    <row r="208" spans="1:2" x14ac:dyDescent="0.25">
      <c r="A208" s="5" t="s">
        <v>27</v>
      </c>
      <c r="B208" s="8">
        <v>229685</v>
      </c>
    </row>
    <row r="209" spans="1:2" x14ac:dyDescent="0.25">
      <c r="A209" s="5" t="s">
        <v>2</v>
      </c>
      <c r="B209" s="8">
        <v>11658</v>
      </c>
    </row>
    <row r="210" spans="1:2" x14ac:dyDescent="0.25">
      <c r="A210" s="5" t="s">
        <v>3</v>
      </c>
      <c r="B210" s="8">
        <v>197313.89</v>
      </c>
    </row>
    <row r="211" spans="1:2" x14ac:dyDescent="0.25">
      <c r="A211" s="5" t="s">
        <v>4</v>
      </c>
      <c r="B211" s="8">
        <v>103090.2</v>
      </c>
    </row>
    <row r="212" spans="1:2" x14ac:dyDescent="0.25">
      <c r="A212" s="5" t="s">
        <v>5</v>
      </c>
      <c r="B212" s="8">
        <v>1173</v>
      </c>
    </row>
    <row r="213" spans="1:2" x14ac:dyDescent="0.25">
      <c r="A213" s="5" t="s">
        <v>6</v>
      </c>
      <c r="B213" s="8">
        <v>25406.76</v>
      </c>
    </row>
    <row r="214" spans="1:2" x14ac:dyDescent="0.25">
      <c r="A214" s="5" t="s">
        <v>7</v>
      </c>
      <c r="B214" s="8">
        <v>111715.45</v>
      </c>
    </row>
    <row r="215" spans="1:2" x14ac:dyDescent="0.25">
      <c r="A215" s="5" t="s">
        <v>8</v>
      </c>
      <c r="B215" s="8">
        <v>383812.96</v>
      </c>
    </row>
    <row r="216" spans="1:2" x14ac:dyDescent="0.25">
      <c r="A216" s="5" t="s">
        <v>9</v>
      </c>
      <c r="B216" s="8">
        <v>85020.7</v>
      </c>
    </row>
    <row r="217" spans="1:2" x14ac:dyDescent="0.25">
      <c r="A217" s="5" t="s">
        <v>10</v>
      </c>
      <c r="B217" s="8">
        <v>161355.88</v>
      </c>
    </row>
    <row r="218" spans="1:2" x14ac:dyDescent="0.25">
      <c r="A218" s="5" t="s">
        <v>11</v>
      </c>
      <c r="B218" s="8">
        <v>333195.45</v>
      </c>
    </row>
    <row r="219" spans="1:2" x14ac:dyDescent="0.25">
      <c r="A219" s="5" t="s">
        <v>12</v>
      </c>
      <c r="B219" s="8">
        <v>112675.31</v>
      </c>
    </row>
    <row r="220" spans="1:2" x14ac:dyDescent="0.25">
      <c r="A220" s="5" t="s">
        <v>13</v>
      </c>
      <c r="B220" s="8">
        <v>130725.97</v>
      </c>
    </row>
    <row r="221" spans="1:2" x14ac:dyDescent="0.25">
      <c r="A221" s="5" t="s">
        <v>14</v>
      </c>
      <c r="B221" s="8">
        <v>4462</v>
      </c>
    </row>
    <row r="222" spans="1:2" x14ac:dyDescent="0.25">
      <c r="A222" s="5" t="s">
        <v>28</v>
      </c>
      <c r="B222" s="8">
        <v>6792</v>
      </c>
    </row>
    <row r="223" spans="1:2" x14ac:dyDescent="0.25">
      <c r="A223" s="5" t="s">
        <v>15</v>
      </c>
      <c r="B223" s="8">
        <v>73294.41</v>
      </c>
    </row>
    <row r="224" spans="1:2" x14ac:dyDescent="0.25">
      <c r="A224" s="5" t="s">
        <v>16</v>
      </c>
      <c r="B224" s="8">
        <v>85133.36</v>
      </c>
    </row>
    <row r="225" spans="1:2" x14ac:dyDescent="0.25">
      <c r="A225" s="5" t="s">
        <v>17</v>
      </c>
      <c r="B225" s="8">
        <v>356102.03</v>
      </c>
    </row>
    <row r="226" spans="1:2" x14ac:dyDescent="0.25">
      <c r="A226" s="5" t="s">
        <v>18</v>
      </c>
      <c r="B226" s="8">
        <v>67469.279999999999</v>
      </c>
    </row>
    <row r="227" spans="1:2" x14ac:dyDescent="0.25">
      <c r="A227" s="5" t="s">
        <v>19</v>
      </c>
      <c r="B227" s="8">
        <v>392005.4</v>
      </c>
    </row>
    <row r="228" spans="1:2" x14ac:dyDescent="0.25">
      <c r="A228" s="5" t="s">
        <v>20</v>
      </c>
      <c r="B228" s="8">
        <v>43510.25</v>
      </c>
    </row>
    <row r="229" spans="1:2" x14ac:dyDescent="0.25">
      <c r="A229" s="5" t="s">
        <v>22</v>
      </c>
      <c r="B229" s="8">
        <v>54846.46</v>
      </c>
    </row>
    <row r="230" spans="1:2" x14ac:dyDescent="0.25">
      <c r="A230" s="5" t="s">
        <v>24</v>
      </c>
      <c r="B230" s="8">
        <v>6238</v>
      </c>
    </row>
    <row r="231" spans="1:2" x14ac:dyDescent="0.25">
      <c r="A231" s="5" t="s">
        <v>25</v>
      </c>
      <c r="B231" s="8">
        <v>102870.5</v>
      </c>
    </row>
    <row r="232" spans="1:2" x14ac:dyDescent="0.25">
      <c r="A232" s="5" t="s">
        <v>26</v>
      </c>
      <c r="B232" s="8">
        <v>198667.55</v>
      </c>
    </row>
    <row r="233" spans="1:2" x14ac:dyDescent="0.25">
      <c r="A233" s="5" t="s">
        <v>27</v>
      </c>
      <c r="B233" s="8">
        <v>152894.94</v>
      </c>
    </row>
    <row r="234" spans="1:2" x14ac:dyDescent="0.25">
      <c r="A234" s="5" t="s">
        <v>2</v>
      </c>
      <c r="B234" s="8">
        <v>8513</v>
      </c>
    </row>
    <row r="235" spans="1:2" x14ac:dyDescent="0.25">
      <c r="A235" s="5" t="s">
        <v>3</v>
      </c>
      <c r="B235" s="8">
        <v>142424</v>
      </c>
    </row>
    <row r="236" spans="1:2" x14ac:dyDescent="0.25">
      <c r="A236" s="5" t="s">
        <v>4</v>
      </c>
      <c r="B236" s="8">
        <v>60709</v>
      </c>
    </row>
    <row r="237" spans="1:2" x14ac:dyDescent="0.25">
      <c r="A237" s="5" t="s">
        <v>5</v>
      </c>
      <c r="B237" s="8">
        <v>2382</v>
      </c>
    </row>
    <row r="238" spans="1:2" x14ac:dyDescent="0.25">
      <c r="A238" s="5" t="s">
        <v>6</v>
      </c>
      <c r="B238" s="8">
        <v>19217</v>
      </c>
    </row>
    <row r="239" spans="1:2" x14ac:dyDescent="0.25">
      <c r="A239" s="5" t="s">
        <v>7</v>
      </c>
      <c r="B239" s="8">
        <v>118317</v>
      </c>
    </row>
    <row r="240" spans="1:2" x14ac:dyDescent="0.25">
      <c r="A240" s="5" t="s">
        <v>8</v>
      </c>
      <c r="B240" s="8">
        <v>340882</v>
      </c>
    </row>
    <row r="241" spans="1:2" x14ac:dyDescent="0.25">
      <c r="A241" s="5" t="s">
        <v>9</v>
      </c>
      <c r="B241" s="8">
        <v>92116</v>
      </c>
    </row>
    <row r="242" spans="1:2" x14ac:dyDescent="0.25">
      <c r="A242" s="5" t="s">
        <v>10</v>
      </c>
      <c r="B242" s="8">
        <v>133832</v>
      </c>
    </row>
    <row r="243" spans="1:2" x14ac:dyDescent="0.25">
      <c r="A243" s="5" t="s">
        <v>11</v>
      </c>
      <c r="B243" s="8">
        <v>265706</v>
      </c>
    </row>
    <row r="244" spans="1:2" x14ac:dyDescent="0.25">
      <c r="A244" s="5" t="s">
        <v>12</v>
      </c>
      <c r="B244" s="8">
        <v>105946</v>
      </c>
    </row>
    <row r="245" spans="1:2" x14ac:dyDescent="0.25">
      <c r="A245" s="5" t="s">
        <v>13</v>
      </c>
      <c r="B245" s="8">
        <v>109692</v>
      </c>
    </row>
    <row r="246" spans="1:2" x14ac:dyDescent="0.25">
      <c r="A246" s="5" t="s">
        <v>14</v>
      </c>
      <c r="B246" s="8">
        <v>9680</v>
      </c>
    </row>
    <row r="247" spans="1:2" x14ac:dyDescent="0.25">
      <c r="A247" s="5" t="s">
        <v>28</v>
      </c>
      <c r="B247" s="8">
        <v>10360</v>
      </c>
    </row>
    <row r="248" spans="1:2" x14ac:dyDescent="0.25">
      <c r="A248" s="5" t="s">
        <v>15</v>
      </c>
      <c r="B248" s="8">
        <v>119680</v>
      </c>
    </row>
    <row r="249" spans="1:2" x14ac:dyDescent="0.25">
      <c r="A249" s="5" t="s">
        <v>16</v>
      </c>
      <c r="B249" s="8">
        <v>74103</v>
      </c>
    </row>
    <row r="250" spans="1:2" x14ac:dyDescent="0.25">
      <c r="A250" s="5" t="s">
        <v>17</v>
      </c>
      <c r="B250" s="8">
        <v>381549</v>
      </c>
    </row>
    <row r="251" spans="1:2" x14ac:dyDescent="0.25">
      <c r="A251" s="5" t="s">
        <v>18</v>
      </c>
      <c r="B251" s="8">
        <v>81365</v>
      </c>
    </row>
    <row r="252" spans="1:2" x14ac:dyDescent="0.25">
      <c r="A252" s="5" t="s">
        <v>19</v>
      </c>
      <c r="B252" s="8">
        <v>429706</v>
      </c>
    </row>
    <row r="253" spans="1:2" x14ac:dyDescent="0.25">
      <c r="A253" s="5" t="s">
        <v>20</v>
      </c>
      <c r="B253" s="8">
        <v>62582</v>
      </c>
    </row>
    <row r="254" spans="1:2" x14ac:dyDescent="0.25">
      <c r="A254" s="5" t="s">
        <v>22</v>
      </c>
      <c r="B254" s="8">
        <v>45125</v>
      </c>
    </row>
    <row r="255" spans="1:2" x14ac:dyDescent="0.25">
      <c r="A255" s="5" t="s">
        <v>23</v>
      </c>
      <c r="B255" s="8">
        <v>2132</v>
      </c>
    </row>
    <row r="256" spans="1:2" x14ac:dyDescent="0.25">
      <c r="A256" s="5" t="s">
        <v>24</v>
      </c>
      <c r="B256" s="8">
        <v>4005</v>
      </c>
    </row>
    <row r="257" spans="1:2" x14ac:dyDescent="0.25">
      <c r="A257" s="5" t="s">
        <v>25</v>
      </c>
      <c r="B257" s="8">
        <v>92016</v>
      </c>
    </row>
    <row r="258" spans="1:2" x14ac:dyDescent="0.25">
      <c r="A258" s="5" t="s">
        <v>26</v>
      </c>
      <c r="B258" s="8">
        <v>226140</v>
      </c>
    </row>
    <row r="259" spans="1:2" x14ac:dyDescent="0.25">
      <c r="A259" s="5" t="s">
        <v>27</v>
      </c>
      <c r="B259" s="8">
        <v>188658</v>
      </c>
    </row>
    <row r="260" spans="1:2" x14ac:dyDescent="0.25">
      <c r="A260" s="5" t="s">
        <v>2</v>
      </c>
      <c r="B260" s="8">
        <v>13777</v>
      </c>
    </row>
    <row r="261" spans="1:2" x14ac:dyDescent="0.25">
      <c r="A261" s="5" t="s">
        <v>3</v>
      </c>
      <c r="B261" s="8">
        <v>165881</v>
      </c>
    </row>
    <row r="262" spans="1:2" x14ac:dyDescent="0.25">
      <c r="A262" s="5" t="s">
        <v>4</v>
      </c>
      <c r="B262" s="8">
        <v>64035</v>
      </c>
    </row>
    <row r="263" spans="1:2" x14ac:dyDescent="0.25">
      <c r="A263" s="5" t="s">
        <v>5</v>
      </c>
      <c r="B263" s="8">
        <v>3188</v>
      </c>
    </row>
    <row r="264" spans="1:2" x14ac:dyDescent="0.25">
      <c r="A264" s="5" t="s">
        <v>6</v>
      </c>
      <c r="B264" s="8">
        <v>21213</v>
      </c>
    </row>
    <row r="265" spans="1:2" x14ac:dyDescent="0.25">
      <c r="A265" s="5" t="s">
        <v>7</v>
      </c>
      <c r="B265" s="8">
        <v>129802</v>
      </c>
    </row>
    <row r="266" spans="1:2" x14ac:dyDescent="0.25">
      <c r="A266" s="5" t="s">
        <v>8</v>
      </c>
      <c r="B266" s="8">
        <v>388949</v>
      </c>
    </row>
    <row r="267" spans="1:2" x14ac:dyDescent="0.25">
      <c r="A267" s="5" t="s">
        <v>9</v>
      </c>
      <c r="B267" s="8">
        <v>114086</v>
      </c>
    </row>
    <row r="268" spans="1:2" x14ac:dyDescent="0.25">
      <c r="A268" s="5" t="s">
        <v>10</v>
      </c>
      <c r="B268" s="8">
        <v>143238</v>
      </c>
    </row>
    <row r="269" spans="1:2" x14ac:dyDescent="0.25">
      <c r="A269" s="5" t="s">
        <v>11</v>
      </c>
      <c r="B269" s="8">
        <v>292542</v>
      </c>
    </row>
    <row r="270" spans="1:2" x14ac:dyDescent="0.25">
      <c r="A270" s="5" t="s">
        <v>12</v>
      </c>
      <c r="B270" s="8">
        <v>106937</v>
      </c>
    </row>
    <row r="271" spans="1:2" x14ac:dyDescent="0.25">
      <c r="A271" s="5" t="s">
        <v>13</v>
      </c>
      <c r="B271" s="8">
        <v>101394</v>
      </c>
    </row>
    <row r="272" spans="1:2" x14ac:dyDescent="0.25">
      <c r="A272" s="5" t="s">
        <v>14</v>
      </c>
      <c r="B272" s="8">
        <v>3356</v>
      </c>
    </row>
    <row r="273" spans="1:2" x14ac:dyDescent="0.25">
      <c r="A273" s="5" t="s">
        <v>28</v>
      </c>
      <c r="B273" s="8">
        <v>6405</v>
      </c>
    </row>
    <row r="274" spans="1:2" x14ac:dyDescent="0.25">
      <c r="A274" s="5" t="s">
        <v>15</v>
      </c>
      <c r="B274" s="8">
        <v>106100</v>
      </c>
    </row>
    <row r="275" spans="1:2" x14ac:dyDescent="0.25">
      <c r="A275" s="5" t="s">
        <v>16</v>
      </c>
      <c r="B275" s="8">
        <v>69502</v>
      </c>
    </row>
    <row r="276" spans="1:2" x14ac:dyDescent="0.25">
      <c r="A276" s="5" t="s">
        <v>17</v>
      </c>
      <c r="B276" s="8">
        <v>363350</v>
      </c>
    </row>
    <row r="277" spans="1:2" x14ac:dyDescent="0.25">
      <c r="A277" s="5" t="s">
        <v>18</v>
      </c>
      <c r="B277" s="8">
        <v>63755</v>
      </c>
    </row>
    <row r="278" spans="1:2" x14ac:dyDescent="0.25">
      <c r="A278" s="5" t="s">
        <v>19</v>
      </c>
      <c r="B278" s="8">
        <v>407125</v>
      </c>
    </row>
    <row r="279" spans="1:2" x14ac:dyDescent="0.25">
      <c r="A279" s="5" t="s">
        <v>20</v>
      </c>
      <c r="B279" s="8">
        <v>69776</v>
      </c>
    </row>
    <row r="280" spans="1:2" x14ac:dyDescent="0.25">
      <c r="A280" s="5" t="s">
        <v>22</v>
      </c>
      <c r="B280" s="8">
        <v>51914</v>
      </c>
    </row>
    <row r="281" spans="1:2" x14ac:dyDescent="0.25">
      <c r="A281" s="5" t="s">
        <v>23</v>
      </c>
      <c r="B281" s="8">
        <v>3376</v>
      </c>
    </row>
    <row r="282" spans="1:2" x14ac:dyDescent="0.25">
      <c r="A282" s="5" t="s">
        <v>24</v>
      </c>
      <c r="B282" s="8">
        <v>4485</v>
      </c>
    </row>
    <row r="283" spans="1:2" x14ac:dyDescent="0.25">
      <c r="A283" s="5" t="s">
        <v>25</v>
      </c>
      <c r="B283" s="8">
        <v>110035</v>
      </c>
    </row>
    <row r="284" spans="1:2" x14ac:dyDescent="0.25">
      <c r="A284" s="5" t="s">
        <v>26</v>
      </c>
      <c r="B284" s="8">
        <v>232506</v>
      </c>
    </row>
    <row r="285" spans="1:2" x14ac:dyDescent="0.25">
      <c r="A285" s="5" t="s">
        <v>27</v>
      </c>
      <c r="B285" s="8">
        <v>225013</v>
      </c>
    </row>
    <row r="286" spans="1:2" x14ac:dyDescent="0.25">
      <c r="A286" s="5" t="s">
        <v>2</v>
      </c>
      <c r="B286" s="8">
        <v>18760</v>
      </c>
    </row>
    <row r="287" spans="1:2" x14ac:dyDescent="0.25">
      <c r="A287" s="5" t="s">
        <v>3</v>
      </c>
      <c r="B287" s="8">
        <v>236557</v>
      </c>
    </row>
    <row r="288" spans="1:2" x14ac:dyDescent="0.25">
      <c r="A288" s="5" t="s">
        <v>4</v>
      </c>
      <c r="B288" s="8">
        <v>73441</v>
      </c>
    </row>
    <row r="289" spans="1:2" x14ac:dyDescent="0.25">
      <c r="A289" s="5" t="s">
        <v>5</v>
      </c>
      <c r="B289" s="8">
        <v>1896</v>
      </c>
    </row>
    <row r="290" spans="1:2" x14ac:dyDescent="0.25">
      <c r="A290" s="5" t="s">
        <v>6</v>
      </c>
      <c r="B290" s="8">
        <v>16388</v>
      </c>
    </row>
    <row r="291" spans="1:2" x14ac:dyDescent="0.25">
      <c r="A291" s="5" t="s">
        <v>7</v>
      </c>
      <c r="B291" s="8">
        <v>174681</v>
      </c>
    </row>
    <row r="292" spans="1:2" x14ac:dyDescent="0.25">
      <c r="A292" s="5" t="s">
        <v>8</v>
      </c>
      <c r="B292" s="8">
        <v>530962</v>
      </c>
    </row>
    <row r="293" spans="1:2" x14ac:dyDescent="0.25">
      <c r="A293" s="5" t="s">
        <v>9</v>
      </c>
      <c r="B293" s="8">
        <v>105365</v>
      </c>
    </row>
    <row r="294" spans="1:2" x14ac:dyDescent="0.25">
      <c r="A294" s="5" t="s">
        <v>10</v>
      </c>
      <c r="B294" s="8">
        <v>165857</v>
      </c>
    </row>
    <row r="295" spans="1:2" x14ac:dyDescent="0.25">
      <c r="A295" s="5" t="s">
        <v>11</v>
      </c>
      <c r="B295" s="8">
        <v>517063</v>
      </c>
    </row>
    <row r="296" spans="1:2" x14ac:dyDescent="0.25">
      <c r="A296" s="5" t="s">
        <v>12</v>
      </c>
      <c r="B296" s="8">
        <v>147206</v>
      </c>
    </row>
    <row r="297" spans="1:2" x14ac:dyDescent="0.25">
      <c r="A297" s="5" t="s">
        <v>13</v>
      </c>
      <c r="B297" s="8">
        <v>144921</v>
      </c>
    </row>
    <row r="298" spans="1:2" x14ac:dyDescent="0.25">
      <c r="A298" s="5" t="s">
        <v>14</v>
      </c>
      <c r="B298" s="8">
        <v>6412</v>
      </c>
    </row>
    <row r="299" spans="1:2" x14ac:dyDescent="0.25">
      <c r="A299" s="5" t="s">
        <v>28</v>
      </c>
      <c r="B299" s="8">
        <v>12686</v>
      </c>
    </row>
    <row r="300" spans="1:2" x14ac:dyDescent="0.25">
      <c r="A300" s="5" t="s">
        <v>15</v>
      </c>
      <c r="B300" s="8">
        <v>129315</v>
      </c>
    </row>
    <row r="301" spans="1:2" x14ac:dyDescent="0.25">
      <c r="A301" s="5" t="s">
        <v>16</v>
      </c>
      <c r="B301" s="8">
        <v>103553</v>
      </c>
    </row>
    <row r="302" spans="1:2" x14ac:dyDescent="0.25">
      <c r="A302" s="5" t="s">
        <v>17</v>
      </c>
      <c r="B302" s="8">
        <v>464056</v>
      </c>
    </row>
    <row r="303" spans="1:2" x14ac:dyDescent="0.25">
      <c r="A303" s="5" t="s">
        <v>18</v>
      </c>
      <c r="B303" s="8">
        <v>104295</v>
      </c>
    </row>
    <row r="304" spans="1:2" x14ac:dyDescent="0.25">
      <c r="A304" s="5" t="s">
        <v>19</v>
      </c>
      <c r="B304" s="8">
        <v>484937</v>
      </c>
    </row>
    <row r="305" spans="1:2" x14ac:dyDescent="0.25">
      <c r="A305" s="5" t="s">
        <v>20</v>
      </c>
      <c r="B305" s="8">
        <v>78854</v>
      </c>
    </row>
    <row r="306" spans="1:2" x14ac:dyDescent="0.25">
      <c r="A306" s="5" t="s">
        <v>22</v>
      </c>
      <c r="B306" s="8">
        <v>63125</v>
      </c>
    </row>
    <row r="307" spans="1:2" x14ac:dyDescent="0.25">
      <c r="A307" s="5" t="s">
        <v>23</v>
      </c>
      <c r="B307" s="8">
        <v>3701</v>
      </c>
    </row>
    <row r="308" spans="1:2" x14ac:dyDescent="0.25">
      <c r="A308" s="5" t="s">
        <v>24</v>
      </c>
      <c r="B308" s="8">
        <v>11037</v>
      </c>
    </row>
    <row r="309" spans="1:2" x14ac:dyDescent="0.25">
      <c r="A309" s="5" t="s">
        <v>25</v>
      </c>
      <c r="B309" s="8">
        <v>112349</v>
      </c>
    </row>
    <row r="310" spans="1:2" x14ac:dyDescent="0.25">
      <c r="A310" s="5" t="s">
        <v>26</v>
      </c>
      <c r="B310" s="8">
        <v>267236</v>
      </c>
    </row>
    <row r="311" spans="1:2" x14ac:dyDescent="0.25">
      <c r="A311" s="5" t="s">
        <v>27</v>
      </c>
      <c r="B311" s="8">
        <v>277371</v>
      </c>
    </row>
    <row r="312" spans="1:2" x14ac:dyDescent="0.25">
      <c r="A312" s="5" t="s">
        <v>2</v>
      </c>
      <c r="B312" s="8">
        <v>25085</v>
      </c>
    </row>
    <row r="313" spans="1:2" x14ac:dyDescent="0.25">
      <c r="A313" s="5" t="s">
        <v>3</v>
      </c>
      <c r="B313" s="8">
        <v>342678</v>
      </c>
    </row>
    <row r="314" spans="1:2" x14ac:dyDescent="0.25">
      <c r="A314" s="5" t="s">
        <v>4</v>
      </c>
      <c r="B314" s="8">
        <v>105622</v>
      </c>
    </row>
    <row r="315" spans="1:2" x14ac:dyDescent="0.25">
      <c r="A315" s="5" t="s">
        <v>5</v>
      </c>
      <c r="B315" s="8">
        <v>3155</v>
      </c>
    </row>
    <row r="316" spans="1:2" x14ac:dyDescent="0.25">
      <c r="A316" s="5" t="s">
        <v>6</v>
      </c>
      <c r="B316" s="8">
        <v>39559</v>
      </c>
    </row>
    <row r="317" spans="1:2" x14ac:dyDescent="0.25">
      <c r="A317" s="5" t="s">
        <v>7</v>
      </c>
      <c r="B317" s="8">
        <v>222525</v>
      </c>
    </row>
    <row r="318" spans="1:2" x14ac:dyDescent="0.25">
      <c r="A318" s="5" t="s">
        <v>8</v>
      </c>
      <c r="B318" s="8">
        <v>767307</v>
      </c>
    </row>
    <row r="319" spans="1:2" x14ac:dyDescent="0.25">
      <c r="A319" s="5" t="s">
        <v>9</v>
      </c>
      <c r="B319" s="8">
        <v>164344</v>
      </c>
    </row>
    <row r="320" spans="1:2" x14ac:dyDescent="0.25">
      <c r="A320" s="5" t="s">
        <v>10</v>
      </c>
      <c r="B320" s="8">
        <v>321561</v>
      </c>
    </row>
    <row r="321" spans="1:2" x14ac:dyDescent="0.25">
      <c r="A321" s="5" t="s">
        <v>11</v>
      </c>
      <c r="B321" s="8">
        <v>578937</v>
      </c>
    </row>
    <row r="322" spans="1:2" x14ac:dyDescent="0.25">
      <c r="A322" s="5" t="s">
        <v>12</v>
      </c>
      <c r="B322" s="8">
        <v>220817</v>
      </c>
    </row>
    <row r="323" spans="1:2" x14ac:dyDescent="0.25">
      <c r="A323" s="5" t="s">
        <v>13</v>
      </c>
      <c r="B323" s="8">
        <v>219167</v>
      </c>
    </row>
    <row r="324" spans="1:2" x14ac:dyDescent="0.25">
      <c r="A324" s="5" t="s">
        <v>14</v>
      </c>
      <c r="B324" s="8">
        <v>8462</v>
      </c>
    </row>
    <row r="325" spans="1:2" x14ac:dyDescent="0.25">
      <c r="A325" s="5" t="s">
        <v>28</v>
      </c>
      <c r="B325" s="8">
        <v>20940</v>
      </c>
    </row>
    <row r="326" spans="1:2" x14ac:dyDescent="0.25">
      <c r="A326" s="5" t="s">
        <v>15</v>
      </c>
      <c r="B326" s="8">
        <v>195344</v>
      </c>
    </row>
    <row r="327" spans="1:2" x14ac:dyDescent="0.25">
      <c r="A327" s="5" t="s">
        <v>16</v>
      </c>
      <c r="B327" s="8">
        <v>179900</v>
      </c>
    </row>
    <row r="328" spans="1:2" x14ac:dyDescent="0.25">
      <c r="A328" s="5" t="s">
        <v>17</v>
      </c>
      <c r="B328" s="8">
        <v>647501</v>
      </c>
    </row>
    <row r="329" spans="1:2" x14ac:dyDescent="0.25">
      <c r="A329" s="5" t="s">
        <v>18</v>
      </c>
      <c r="B329" s="8">
        <v>162205</v>
      </c>
    </row>
    <row r="330" spans="1:2" x14ac:dyDescent="0.25">
      <c r="A330" s="5" t="s">
        <v>19</v>
      </c>
      <c r="B330" s="8">
        <v>643868</v>
      </c>
    </row>
    <row r="331" spans="1:2" x14ac:dyDescent="0.25">
      <c r="A331" s="5" t="s">
        <v>20</v>
      </c>
      <c r="B331" s="8">
        <v>99178</v>
      </c>
    </row>
    <row r="332" spans="1:2" x14ac:dyDescent="0.25">
      <c r="A332" s="5" t="s">
        <v>22</v>
      </c>
      <c r="B332" s="8">
        <v>74042</v>
      </c>
    </row>
    <row r="333" spans="1:2" x14ac:dyDescent="0.25">
      <c r="A333" s="5" t="s">
        <v>23</v>
      </c>
      <c r="B333" s="8">
        <v>7484</v>
      </c>
    </row>
    <row r="334" spans="1:2" x14ac:dyDescent="0.25">
      <c r="A334" s="5" t="s">
        <v>24</v>
      </c>
      <c r="B334" s="8">
        <v>10368</v>
      </c>
    </row>
    <row r="335" spans="1:2" x14ac:dyDescent="0.25">
      <c r="A335" s="5" t="s">
        <v>25</v>
      </c>
      <c r="B335" s="8">
        <v>235074</v>
      </c>
    </row>
    <row r="336" spans="1:2" x14ac:dyDescent="0.25">
      <c r="A336" s="5" t="s">
        <v>26</v>
      </c>
      <c r="B336" s="8">
        <v>392616</v>
      </c>
    </row>
    <row r="337" spans="1:2" x14ac:dyDescent="0.25">
      <c r="A337" s="5" t="s">
        <v>27</v>
      </c>
      <c r="B337" s="8">
        <v>439790</v>
      </c>
    </row>
    <row r="338" spans="1:2" x14ac:dyDescent="0.25">
      <c r="A338" s="5" t="s">
        <v>2</v>
      </c>
      <c r="B338" s="8">
        <v>14390</v>
      </c>
    </row>
    <row r="339" spans="1:2" x14ac:dyDescent="0.25">
      <c r="A339" s="5" t="s">
        <v>3</v>
      </c>
      <c r="B339" s="8">
        <v>257554</v>
      </c>
    </row>
    <row r="340" spans="1:2" x14ac:dyDescent="0.25">
      <c r="A340" s="5" t="s">
        <v>4</v>
      </c>
      <c r="B340" s="8">
        <v>74215</v>
      </c>
    </row>
    <row r="341" spans="1:2" x14ac:dyDescent="0.25">
      <c r="A341" s="5" t="s">
        <v>5</v>
      </c>
      <c r="B341" s="8">
        <v>3256</v>
      </c>
    </row>
    <row r="342" spans="1:2" x14ac:dyDescent="0.25">
      <c r="A342" s="5" t="s">
        <v>6</v>
      </c>
      <c r="B342" s="8">
        <v>39742</v>
      </c>
    </row>
    <row r="343" spans="1:2" x14ac:dyDescent="0.25">
      <c r="A343" s="5" t="s">
        <v>7</v>
      </c>
      <c r="B343" s="8">
        <v>199238</v>
      </c>
    </row>
    <row r="344" spans="1:2" x14ac:dyDescent="0.25">
      <c r="A344" s="5" t="s">
        <v>8</v>
      </c>
      <c r="B344" s="8">
        <v>747587</v>
      </c>
    </row>
    <row r="345" spans="1:2" x14ac:dyDescent="0.25">
      <c r="A345" s="5" t="s">
        <v>9</v>
      </c>
      <c r="B345" s="8">
        <v>127734</v>
      </c>
    </row>
    <row r="346" spans="1:2" x14ac:dyDescent="0.25">
      <c r="A346" s="5" t="s">
        <v>10</v>
      </c>
      <c r="B346" s="8">
        <v>270378</v>
      </c>
    </row>
    <row r="347" spans="1:2" x14ac:dyDescent="0.25">
      <c r="A347" s="5" t="s">
        <v>11</v>
      </c>
      <c r="B347" s="8">
        <v>387452</v>
      </c>
    </row>
    <row r="348" spans="1:2" x14ac:dyDescent="0.25">
      <c r="A348" s="5" t="s">
        <v>12</v>
      </c>
      <c r="B348" s="8">
        <v>169204</v>
      </c>
    </row>
    <row r="349" spans="1:2" x14ac:dyDescent="0.25">
      <c r="A349" s="5" t="s">
        <v>13</v>
      </c>
      <c r="B349" s="8">
        <v>176476</v>
      </c>
    </row>
    <row r="350" spans="1:2" x14ac:dyDescent="0.25">
      <c r="A350" s="5" t="s">
        <v>14</v>
      </c>
      <c r="B350" s="8">
        <v>14446</v>
      </c>
    </row>
    <row r="351" spans="1:2" x14ac:dyDescent="0.25">
      <c r="A351" s="5" t="s">
        <v>28</v>
      </c>
      <c r="B351" s="8">
        <v>7788</v>
      </c>
    </row>
    <row r="352" spans="1:2" x14ac:dyDescent="0.25">
      <c r="A352" s="5" t="s">
        <v>15</v>
      </c>
      <c r="B352" s="8">
        <v>108211</v>
      </c>
    </row>
    <row r="353" spans="1:2" x14ac:dyDescent="0.25">
      <c r="A353" s="5" t="s">
        <v>16</v>
      </c>
      <c r="B353" s="8">
        <v>123629</v>
      </c>
    </row>
    <row r="354" spans="1:2" x14ac:dyDescent="0.25">
      <c r="A354" s="5" t="s">
        <v>17</v>
      </c>
      <c r="B354" s="8">
        <v>469356</v>
      </c>
    </row>
    <row r="355" spans="1:2" x14ac:dyDescent="0.25">
      <c r="A355" s="5" t="s">
        <v>18</v>
      </c>
      <c r="B355" s="8">
        <v>118145</v>
      </c>
    </row>
    <row r="356" spans="1:2" x14ac:dyDescent="0.25">
      <c r="A356" s="5" t="s">
        <v>19</v>
      </c>
      <c r="B356" s="8">
        <v>475014</v>
      </c>
    </row>
    <row r="357" spans="1:2" x14ac:dyDescent="0.25">
      <c r="A357" s="5" t="s">
        <v>20</v>
      </c>
      <c r="B357" s="8">
        <v>103734</v>
      </c>
    </row>
    <row r="358" spans="1:2" x14ac:dyDescent="0.25">
      <c r="A358" s="5" t="s">
        <v>22</v>
      </c>
      <c r="B358" s="8">
        <v>67767</v>
      </c>
    </row>
    <row r="359" spans="1:2" x14ac:dyDescent="0.25">
      <c r="A359" s="5" t="s">
        <v>23</v>
      </c>
      <c r="B359" s="8">
        <v>924</v>
      </c>
    </row>
    <row r="360" spans="1:2" x14ac:dyDescent="0.25">
      <c r="A360" s="5" t="s">
        <v>24</v>
      </c>
      <c r="B360" s="8">
        <v>11647</v>
      </c>
    </row>
    <row r="361" spans="1:2" x14ac:dyDescent="0.25">
      <c r="A361" s="5" t="s">
        <v>25</v>
      </c>
      <c r="B361" s="8">
        <v>205886</v>
      </c>
    </row>
    <row r="362" spans="1:2" x14ac:dyDescent="0.25">
      <c r="A362" s="5" t="s">
        <v>26</v>
      </c>
      <c r="B362" s="8">
        <v>329106</v>
      </c>
    </row>
    <row r="363" spans="1:2" x14ac:dyDescent="0.25">
      <c r="A363" s="5" t="s">
        <v>27</v>
      </c>
      <c r="B363" s="8">
        <v>392820</v>
      </c>
    </row>
    <row r="364" spans="1:2" x14ac:dyDescent="0.25">
      <c r="A364" s="5" t="s">
        <v>2</v>
      </c>
      <c r="B364" s="8">
        <v>13738</v>
      </c>
    </row>
    <row r="365" spans="1:2" x14ac:dyDescent="0.25">
      <c r="A365" s="5" t="s">
        <v>3</v>
      </c>
      <c r="B365" s="8">
        <v>168745</v>
      </c>
    </row>
    <row r="366" spans="1:2" x14ac:dyDescent="0.25">
      <c r="A366" s="5" t="s">
        <v>4</v>
      </c>
      <c r="B366" s="8">
        <v>51224</v>
      </c>
    </row>
    <row r="367" spans="1:2" x14ac:dyDescent="0.25">
      <c r="A367" s="5" t="s">
        <v>5</v>
      </c>
      <c r="B367" s="8">
        <v>2256</v>
      </c>
    </row>
    <row r="368" spans="1:2" x14ac:dyDescent="0.25">
      <c r="A368" s="5" t="s">
        <v>6</v>
      </c>
      <c r="B368" s="8">
        <v>24298</v>
      </c>
    </row>
    <row r="369" spans="1:2" x14ac:dyDescent="0.25">
      <c r="A369" s="5" t="s">
        <v>7</v>
      </c>
      <c r="B369" s="8">
        <v>125234</v>
      </c>
    </row>
    <row r="370" spans="1:2" x14ac:dyDescent="0.25">
      <c r="A370" s="5" t="s">
        <v>8</v>
      </c>
      <c r="B370" s="8">
        <v>452404</v>
      </c>
    </row>
    <row r="371" spans="1:2" x14ac:dyDescent="0.25">
      <c r="A371" s="5" t="s">
        <v>9</v>
      </c>
      <c r="B371" s="8">
        <v>104023</v>
      </c>
    </row>
    <row r="372" spans="1:2" x14ac:dyDescent="0.25">
      <c r="A372" s="5" t="s">
        <v>10</v>
      </c>
      <c r="B372" s="8">
        <v>192053</v>
      </c>
    </row>
    <row r="373" spans="1:2" x14ac:dyDescent="0.25">
      <c r="A373" s="5" t="s">
        <v>11</v>
      </c>
      <c r="B373" s="8">
        <v>279283</v>
      </c>
    </row>
    <row r="374" spans="1:2" x14ac:dyDescent="0.25">
      <c r="A374" s="5" t="s">
        <v>12</v>
      </c>
      <c r="B374" s="8">
        <v>96439</v>
      </c>
    </row>
    <row r="375" spans="1:2" x14ac:dyDescent="0.25">
      <c r="A375" s="5" t="s">
        <v>13</v>
      </c>
      <c r="B375" s="8">
        <v>110601</v>
      </c>
    </row>
    <row r="376" spans="1:2" x14ac:dyDescent="0.25">
      <c r="A376" s="5" t="s">
        <v>14</v>
      </c>
      <c r="B376" s="8">
        <v>11014</v>
      </c>
    </row>
    <row r="377" spans="1:2" x14ac:dyDescent="0.25">
      <c r="A377" s="5" t="s">
        <v>28</v>
      </c>
      <c r="B377" s="8">
        <v>5450</v>
      </c>
    </row>
    <row r="378" spans="1:2" x14ac:dyDescent="0.25">
      <c r="A378" s="5" t="s">
        <v>15</v>
      </c>
      <c r="B378" s="8">
        <v>84291</v>
      </c>
    </row>
    <row r="379" spans="1:2" x14ac:dyDescent="0.25">
      <c r="A379" s="5" t="s">
        <v>16</v>
      </c>
      <c r="B379" s="8">
        <v>82983</v>
      </c>
    </row>
    <row r="380" spans="1:2" x14ac:dyDescent="0.25">
      <c r="A380" s="5" t="s">
        <v>17</v>
      </c>
      <c r="B380" s="8">
        <v>302149</v>
      </c>
    </row>
    <row r="381" spans="1:2" x14ac:dyDescent="0.25">
      <c r="A381" s="5" t="s">
        <v>18</v>
      </c>
      <c r="B381" s="8">
        <v>78354</v>
      </c>
    </row>
    <row r="382" spans="1:2" x14ac:dyDescent="0.25">
      <c r="A382" s="5" t="s">
        <v>19</v>
      </c>
      <c r="B382" s="8">
        <v>466293</v>
      </c>
    </row>
    <row r="383" spans="1:2" x14ac:dyDescent="0.25">
      <c r="A383" s="5" t="s">
        <v>20</v>
      </c>
      <c r="B383" s="8">
        <v>51918</v>
      </c>
    </row>
    <row r="384" spans="1:2" x14ac:dyDescent="0.25">
      <c r="A384" s="5" t="s">
        <v>22</v>
      </c>
      <c r="B384" s="8">
        <v>54624</v>
      </c>
    </row>
    <row r="385" spans="1:2" x14ac:dyDescent="0.25">
      <c r="A385" s="5" t="s">
        <v>23</v>
      </c>
      <c r="B385" s="8">
        <v>5173</v>
      </c>
    </row>
    <row r="386" spans="1:2" x14ac:dyDescent="0.25">
      <c r="A386" s="5" t="s">
        <v>24</v>
      </c>
      <c r="B386" s="8">
        <v>5784</v>
      </c>
    </row>
    <row r="387" spans="1:2" x14ac:dyDescent="0.25">
      <c r="A387" s="5" t="s">
        <v>25</v>
      </c>
      <c r="B387" s="8">
        <v>119882</v>
      </c>
    </row>
    <row r="388" spans="1:2" x14ac:dyDescent="0.25">
      <c r="A388" s="5" t="s">
        <v>26</v>
      </c>
      <c r="B388" s="8">
        <v>215211</v>
      </c>
    </row>
    <row r="389" spans="1:2" x14ac:dyDescent="0.25">
      <c r="A389" s="5" t="s">
        <v>27</v>
      </c>
      <c r="B389" s="8">
        <v>246500</v>
      </c>
    </row>
    <row r="390" spans="1:2" x14ac:dyDescent="0.25">
      <c r="A390" s="5" t="s">
        <v>2</v>
      </c>
      <c r="B390" s="8">
        <v>11733</v>
      </c>
    </row>
    <row r="391" spans="1:2" x14ac:dyDescent="0.25">
      <c r="A391" s="5" t="s">
        <v>3</v>
      </c>
      <c r="B391" s="8">
        <v>174073</v>
      </c>
    </row>
    <row r="392" spans="1:2" x14ac:dyDescent="0.25">
      <c r="A392" s="5" t="s">
        <v>4</v>
      </c>
      <c r="B392" s="8">
        <v>59837</v>
      </c>
    </row>
    <row r="393" spans="1:2" x14ac:dyDescent="0.25">
      <c r="A393" s="5" t="s">
        <v>5</v>
      </c>
      <c r="B393" s="8">
        <v>1407</v>
      </c>
    </row>
    <row r="394" spans="1:2" x14ac:dyDescent="0.25">
      <c r="A394" s="5" t="s">
        <v>6</v>
      </c>
      <c r="B394" s="8">
        <v>26274</v>
      </c>
    </row>
    <row r="395" spans="1:2" x14ac:dyDescent="0.25">
      <c r="A395" s="5" t="s">
        <v>7</v>
      </c>
      <c r="B395" s="8">
        <v>161539</v>
      </c>
    </row>
    <row r="396" spans="1:2" x14ac:dyDescent="0.25">
      <c r="A396" s="5" t="s">
        <v>8</v>
      </c>
      <c r="B396" s="8">
        <v>487258</v>
      </c>
    </row>
    <row r="397" spans="1:2" x14ac:dyDescent="0.25">
      <c r="A397" s="5" t="s">
        <v>9</v>
      </c>
      <c r="B397" s="8">
        <v>115798</v>
      </c>
    </row>
    <row r="398" spans="1:2" x14ac:dyDescent="0.25">
      <c r="A398" s="5" t="s">
        <v>10</v>
      </c>
      <c r="B398" s="8">
        <v>204483</v>
      </c>
    </row>
    <row r="399" spans="1:2" x14ac:dyDescent="0.25">
      <c r="A399" s="5" t="s">
        <v>11</v>
      </c>
      <c r="B399" s="8">
        <v>352523</v>
      </c>
    </row>
    <row r="400" spans="1:2" x14ac:dyDescent="0.25">
      <c r="A400" s="5" t="s">
        <v>12</v>
      </c>
      <c r="B400" s="8">
        <v>116111</v>
      </c>
    </row>
    <row r="401" spans="1:2" x14ac:dyDescent="0.25">
      <c r="A401" s="5" t="s">
        <v>13</v>
      </c>
      <c r="B401" s="8">
        <v>130957</v>
      </c>
    </row>
    <row r="402" spans="1:2" x14ac:dyDescent="0.25">
      <c r="A402" s="5" t="s">
        <v>14</v>
      </c>
      <c r="B402" s="8">
        <v>9346</v>
      </c>
    </row>
    <row r="403" spans="1:2" x14ac:dyDescent="0.25">
      <c r="A403" s="5" t="s">
        <v>28</v>
      </c>
      <c r="B403" s="8">
        <v>9776</v>
      </c>
    </row>
    <row r="404" spans="1:2" x14ac:dyDescent="0.25">
      <c r="A404" s="5" t="s">
        <v>15</v>
      </c>
      <c r="B404" s="8">
        <v>75301</v>
      </c>
    </row>
    <row r="405" spans="1:2" x14ac:dyDescent="0.25">
      <c r="A405" s="5" t="s">
        <v>16</v>
      </c>
      <c r="B405" s="8">
        <v>92818</v>
      </c>
    </row>
    <row r="406" spans="1:2" x14ac:dyDescent="0.25">
      <c r="A406" s="5" t="s">
        <v>17</v>
      </c>
      <c r="B406" s="8">
        <v>457530</v>
      </c>
    </row>
    <row r="407" spans="1:2" x14ac:dyDescent="0.25">
      <c r="A407" s="5" t="s">
        <v>18</v>
      </c>
      <c r="B407" s="8">
        <v>96976</v>
      </c>
    </row>
    <row r="408" spans="1:2" x14ac:dyDescent="0.25">
      <c r="A408" s="5" t="s">
        <v>19</v>
      </c>
      <c r="B408" s="8">
        <v>473571</v>
      </c>
    </row>
    <row r="409" spans="1:2" x14ac:dyDescent="0.25">
      <c r="A409" s="5" t="s">
        <v>20</v>
      </c>
      <c r="B409" s="8">
        <v>59367</v>
      </c>
    </row>
    <row r="410" spans="1:2" x14ac:dyDescent="0.25">
      <c r="A410" s="5" t="s">
        <v>22</v>
      </c>
      <c r="B410" s="8">
        <v>51691</v>
      </c>
    </row>
    <row r="411" spans="1:2" x14ac:dyDescent="0.25">
      <c r="A411" s="5" t="s">
        <v>23</v>
      </c>
      <c r="B411" s="8">
        <v>1067</v>
      </c>
    </row>
    <row r="412" spans="1:2" x14ac:dyDescent="0.25">
      <c r="A412" s="5" t="s">
        <v>24</v>
      </c>
      <c r="B412" s="8">
        <v>7729</v>
      </c>
    </row>
    <row r="413" spans="1:2" x14ac:dyDescent="0.25">
      <c r="A413" s="5" t="s">
        <v>25</v>
      </c>
      <c r="B413" s="8">
        <v>168595</v>
      </c>
    </row>
    <row r="414" spans="1:2" x14ac:dyDescent="0.25">
      <c r="A414" s="5" t="s">
        <v>26</v>
      </c>
      <c r="B414" s="8">
        <v>227209</v>
      </c>
    </row>
    <row r="415" spans="1:2" x14ac:dyDescent="0.25">
      <c r="A415" s="5" t="s">
        <v>27</v>
      </c>
      <c r="B415" s="8">
        <v>318007</v>
      </c>
    </row>
    <row r="416" spans="1:2" x14ac:dyDescent="0.25">
      <c r="A416" s="5" t="s">
        <v>2</v>
      </c>
      <c r="B416" s="8">
        <v>6992</v>
      </c>
    </row>
    <row r="417" spans="1:2" x14ac:dyDescent="0.25">
      <c r="A417" s="5" t="s">
        <v>3</v>
      </c>
      <c r="B417" s="8">
        <v>138889</v>
      </c>
    </row>
    <row r="418" spans="1:2" x14ac:dyDescent="0.25">
      <c r="A418" s="5" t="s">
        <v>4</v>
      </c>
      <c r="B418" s="8">
        <v>88175</v>
      </c>
    </row>
    <row r="419" spans="1:2" x14ac:dyDescent="0.25">
      <c r="A419" s="5" t="s">
        <v>5</v>
      </c>
      <c r="B419" s="8">
        <v>618</v>
      </c>
    </row>
    <row r="420" spans="1:2" x14ac:dyDescent="0.25">
      <c r="A420" s="5" t="s">
        <v>6</v>
      </c>
      <c r="B420" s="8">
        <v>21092</v>
      </c>
    </row>
    <row r="421" spans="1:2" x14ac:dyDescent="0.25">
      <c r="A421" s="5" t="s">
        <v>7</v>
      </c>
      <c r="B421" s="8">
        <v>154605</v>
      </c>
    </row>
    <row r="422" spans="1:2" x14ac:dyDescent="0.25">
      <c r="A422" s="5" t="s">
        <v>8</v>
      </c>
      <c r="B422" s="8">
        <v>455894</v>
      </c>
    </row>
    <row r="423" spans="1:2" x14ac:dyDescent="0.25">
      <c r="A423" s="5" t="s">
        <v>9</v>
      </c>
      <c r="B423" s="8">
        <v>87079</v>
      </c>
    </row>
    <row r="424" spans="1:2" x14ac:dyDescent="0.25">
      <c r="A424" s="5" t="s">
        <v>10</v>
      </c>
      <c r="B424" s="8">
        <v>189774</v>
      </c>
    </row>
    <row r="425" spans="1:2" x14ac:dyDescent="0.25">
      <c r="A425" s="5" t="s">
        <v>11</v>
      </c>
      <c r="B425" s="8">
        <v>355079</v>
      </c>
    </row>
    <row r="426" spans="1:2" x14ac:dyDescent="0.25">
      <c r="A426" s="5" t="s">
        <v>12</v>
      </c>
      <c r="B426" s="8">
        <v>103354</v>
      </c>
    </row>
    <row r="427" spans="1:2" x14ac:dyDescent="0.25">
      <c r="A427" s="5" t="s">
        <v>13</v>
      </c>
      <c r="B427" s="8">
        <v>118887</v>
      </c>
    </row>
    <row r="428" spans="1:2" x14ac:dyDescent="0.25">
      <c r="A428" s="5" t="s">
        <v>14</v>
      </c>
      <c r="B428" s="8">
        <v>17282</v>
      </c>
    </row>
    <row r="429" spans="1:2" x14ac:dyDescent="0.25">
      <c r="A429" s="5" t="s">
        <v>28</v>
      </c>
      <c r="B429" s="8">
        <v>5641</v>
      </c>
    </row>
    <row r="430" spans="1:2" x14ac:dyDescent="0.25">
      <c r="A430" s="5" t="s">
        <v>15</v>
      </c>
      <c r="B430" s="8">
        <v>59156</v>
      </c>
    </row>
    <row r="431" spans="1:2" x14ac:dyDescent="0.25">
      <c r="A431" s="5" t="s">
        <v>16</v>
      </c>
      <c r="B431" s="8">
        <v>60242</v>
      </c>
    </row>
    <row r="432" spans="1:2" x14ac:dyDescent="0.25">
      <c r="A432" s="5" t="s">
        <v>17</v>
      </c>
      <c r="B432" s="8">
        <v>397056</v>
      </c>
    </row>
    <row r="433" spans="1:2" x14ac:dyDescent="0.25">
      <c r="A433" s="5" t="s">
        <v>18</v>
      </c>
      <c r="B433" s="8">
        <v>87198</v>
      </c>
    </row>
    <row r="434" spans="1:2" x14ac:dyDescent="0.25">
      <c r="A434" s="5" t="s">
        <v>19</v>
      </c>
      <c r="B434" s="8">
        <v>562653</v>
      </c>
    </row>
    <row r="435" spans="1:2" x14ac:dyDescent="0.25">
      <c r="A435" s="5" t="s">
        <v>20</v>
      </c>
      <c r="B435" s="8">
        <v>62085</v>
      </c>
    </row>
    <row r="436" spans="1:2" x14ac:dyDescent="0.25">
      <c r="A436" s="5" t="s">
        <v>22</v>
      </c>
      <c r="B436" s="8">
        <v>59673</v>
      </c>
    </row>
    <row r="437" spans="1:2" x14ac:dyDescent="0.25">
      <c r="A437" s="5" t="s">
        <v>23</v>
      </c>
      <c r="B437" s="8">
        <v>7763</v>
      </c>
    </row>
    <row r="438" spans="1:2" x14ac:dyDescent="0.25">
      <c r="A438" s="5" t="s">
        <v>24</v>
      </c>
      <c r="B438" s="8">
        <v>5586</v>
      </c>
    </row>
    <row r="439" spans="1:2" x14ac:dyDescent="0.25">
      <c r="A439" s="5" t="s">
        <v>25</v>
      </c>
      <c r="B439" s="8">
        <v>164881</v>
      </c>
    </row>
    <row r="440" spans="1:2" x14ac:dyDescent="0.25">
      <c r="A440" s="5" t="s">
        <v>26</v>
      </c>
      <c r="B440" s="8">
        <v>261385</v>
      </c>
    </row>
    <row r="441" spans="1:2" x14ac:dyDescent="0.25">
      <c r="A441" s="5" t="s">
        <v>27</v>
      </c>
      <c r="B441" s="8">
        <v>344553</v>
      </c>
    </row>
    <row r="442" spans="1:2" x14ac:dyDescent="0.25">
      <c r="A442" s="5" t="s">
        <v>2</v>
      </c>
      <c r="B442" s="8">
        <v>9026</v>
      </c>
    </row>
    <row r="443" spans="1:2" x14ac:dyDescent="0.25">
      <c r="A443" s="5" t="s">
        <v>3</v>
      </c>
      <c r="B443" s="8">
        <v>241341</v>
      </c>
    </row>
    <row r="444" spans="1:2" x14ac:dyDescent="0.25">
      <c r="A444" s="5" t="s">
        <v>4</v>
      </c>
      <c r="B444" s="8">
        <v>204496</v>
      </c>
    </row>
    <row r="445" spans="1:2" x14ac:dyDescent="0.25">
      <c r="A445" s="5" t="s">
        <v>5</v>
      </c>
      <c r="B445" s="8">
        <v>1097</v>
      </c>
    </row>
    <row r="446" spans="1:2" x14ac:dyDescent="0.25">
      <c r="A446" s="5" t="s">
        <v>6</v>
      </c>
      <c r="B446" s="8">
        <v>21301</v>
      </c>
    </row>
    <row r="447" spans="1:2" x14ac:dyDescent="0.25">
      <c r="A447" s="5" t="s">
        <v>7</v>
      </c>
      <c r="B447" s="8">
        <v>196252</v>
      </c>
    </row>
    <row r="448" spans="1:2" x14ac:dyDescent="0.25">
      <c r="A448" s="5" t="s">
        <v>8</v>
      </c>
      <c r="B448" s="8">
        <v>565673</v>
      </c>
    </row>
    <row r="449" spans="1:2" x14ac:dyDescent="0.25">
      <c r="A449" s="5" t="s">
        <v>9</v>
      </c>
      <c r="B449" s="8">
        <v>134631</v>
      </c>
    </row>
    <row r="450" spans="1:2" x14ac:dyDescent="0.25">
      <c r="A450" s="5" t="s">
        <v>10</v>
      </c>
      <c r="B450" s="8">
        <v>222372</v>
      </c>
    </row>
    <row r="451" spans="1:2" x14ac:dyDescent="0.25">
      <c r="A451" s="5" t="s">
        <v>11</v>
      </c>
      <c r="B451" s="8">
        <v>447707</v>
      </c>
    </row>
    <row r="452" spans="1:2" x14ac:dyDescent="0.25">
      <c r="A452" s="5" t="s">
        <v>12</v>
      </c>
      <c r="B452" s="8">
        <v>126543</v>
      </c>
    </row>
    <row r="453" spans="1:2" x14ac:dyDescent="0.25">
      <c r="A453" s="5" t="s">
        <v>13</v>
      </c>
      <c r="B453" s="8">
        <v>163223</v>
      </c>
    </row>
    <row r="454" spans="1:2" x14ac:dyDescent="0.25">
      <c r="A454" s="5" t="s">
        <v>14</v>
      </c>
      <c r="B454" s="8">
        <v>6090</v>
      </c>
    </row>
    <row r="455" spans="1:2" x14ac:dyDescent="0.25">
      <c r="A455" s="5" t="s">
        <v>28</v>
      </c>
      <c r="B455" s="8">
        <v>6569</v>
      </c>
    </row>
    <row r="456" spans="1:2" x14ac:dyDescent="0.25">
      <c r="A456" s="5" t="s">
        <v>15</v>
      </c>
      <c r="B456" s="8">
        <v>109744</v>
      </c>
    </row>
    <row r="457" spans="1:2" x14ac:dyDescent="0.25">
      <c r="A457" s="5" t="s">
        <v>16</v>
      </c>
      <c r="B457" s="8">
        <v>126794</v>
      </c>
    </row>
    <row r="458" spans="1:2" x14ac:dyDescent="0.25">
      <c r="A458" s="5" t="s">
        <v>17</v>
      </c>
      <c r="B458" s="8">
        <v>483679</v>
      </c>
    </row>
    <row r="459" spans="1:2" x14ac:dyDescent="0.25">
      <c r="A459" s="5" t="s">
        <v>18</v>
      </c>
      <c r="B459" s="8">
        <v>122545</v>
      </c>
    </row>
    <row r="460" spans="1:2" x14ac:dyDescent="0.25">
      <c r="A460" s="5" t="s">
        <v>19</v>
      </c>
      <c r="B460" s="8">
        <v>764999</v>
      </c>
    </row>
    <row r="461" spans="1:2" x14ac:dyDescent="0.25">
      <c r="A461" s="5" t="s">
        <v>20</v>
      </c>
      <c r="B461" s="8">
        <v>88614</v>
      </c>
    </row>
    <row r="462" spans="1:2" x14ac:dyDescent="0.25">
      <c r="A462" s="5" t="s">
        <v>22</v>
      </c>
      <c r="B462" s="8">
        <v>74559</v>
      </c>
    </row>
    <row r="463" spans="1:2" x14ac:dyDescent="0.25">
      <c r="A463" s="5" t="s">
        <v>23</v>
      </c>
      <c r="B463" s="8">
        <v>6666</v>
      </c>
    </row>
    <row r="464" spans="1:2" x14ac:dyDescent="0.25">
      <c r="A464" s="5" t="s">
        <v>24</v>
      </c>
      <c r="B464" s="8">
        <v>7218</v>
      </c>
    </row>
    <row r="465" spans="1:2" x14ac:dyDescent="0.25">
      <c r="A465" s="5" t="s">
        <v>25</v>
      </c>
      <c r="B465" s="8">
        <v>232431</v>
      </c>
    </row>
    <row r="466" spans="1:2" x14ac:dyDescent="0.25">
      <c r="A466" s="5" t="s">
        <v>26</v>
      </c>
      <c r="B466" s="8">
        <v>341604</v>
      </c>
    </row>
    <row r="467" spans="1:2" x14ac:dyDescent="0.25">
      <c r="A467" s="5" t="s">
        <v>27</v>
      </c>
      <c r="B467" s="8">
        <v>304881</v>
      </c>
    </row>
    <row r="468" spans="1:2" x14ac:dyDescent="0.25">
      <c r="A468" s="5" t="s">
        <v>2</v>
      </c>
      <c r="B468" s="8">
        <v>10778</v>
      </c>
    </row>
    <row r="469" spans="1:2" x14ac:dyDescent="0.25">
      <c r="A469" s="5" t="s">
        <v>3</v>
      </c>
      <c r="B469" s="8">
        <v>289460</v>
      </c>
    </row>
    <row r="470" spans="1:2" x14ac:dyDescent="0.25">
      <c r="A470" s="5" t="s">
        <v>4</v>
      </c>
      <c r="B470" s="8">
        <v>212280</v>
      </c>
    </row>
    <row r="471" spans="1:2" x14ac:dyDescent="0.25">
      <c r="A471" s="5" t="s">
        <v>5</v>
      </c>
      <c r="B471" s="8">
        <v>1650</v>
      </c>
    </row>
    <row r="472" spans="1:2" x14ac:dyDescent="0.25">
      <c r="A472" s="5" t="s">
        <v>6</v>
      </c>
      <c r="B472" s="8">
        <v>39725</v>
      </c>
    </row>
    <row r="473" spans="1:2" x14ac:dyDescent="0.25">
      <c r="A473" s="5" t="s">
        <v>7</v>
      </c>
      <c r="B473" s="8">
        <v>200162</v>
      </c>
    </row>
    <row r="474" spans="1:2" x14ac:dyDescent="0.25">
      <c r="A474" s="5" t="s">
        <v>8</v>
      </c>
      <c r="B474" s="8">
        <v>580014</v>
      </c>
    </row>
    <row r="475" spans="1:2" x14ac:dyDescent="0.25">
      <c r="A475" s="5" t="s">
        <v>9</v>
      </c>
      <c r="B475" s="8">
        <v>160042</v>
      </c>
    </row>
    <row r="476" spans="1:2" x14ac:dyDescent="0.25">
      <c r="A476" s="5" t="s">
        <v>10</v>
      </c>
      <c r="B476" s="8">
        <v>223491</v>
      </c>
    </row>
    <row r="477" spans="1:2" x14ac:dyDescent="0.25">
      <c r="A477" s="5" t="s">
        <v>11</v>
      </c>
      <c r="B477" s="8">
        <v>835840</v>
      </c>
    </row>
    <row r="478" spans="1:2" x14ac:dyDescent="0.25">
      <c r="A478" s="5" t="s">
        <v>12</v>
      </c>
      <c r="B478" s="8">
        <v>187222</v>
      </c>
    </row>
    <row r="479" spans="1:2" x14ac:dyDescent="0.25">
      <c r="A479" s="5" t="s">
        <v>13</v>
      </c>
      <c r="B479" s="8">
        <v>253327</v>
      </c>
    </row>
    <row r="480" spans="1:2" x14ac:dyDescent="0.25">
      <c r="A480" s="5" t="s">
        <v>14</v>
      </c>
      <c r="B480" s="8">
        <v>17854</v>
      </c>
    </row>
    <row r="481" spans="1:2" x14ac:dyDescent="0.25">
      <c r="A481" s="5" t="s">
        <v>28</v>
      </c>
      <c r="B481" s="8">
        <v>8236</v>
      </c>
    </row>
    <row r="482" spans="1:2" x14ac:dyDescent="0.25">
      <c r="A482" s="5" t="s">
        <v>15</v>
      </c>
      <c r="B482" s="8">
        <v>115123</v>
      </c>
    </row>
    <row r="483" spans="1:2" x14ac:dyDescent="0.25">
      <c r="A483" s="5" t="s">
        <v>16</v>
      </c>
      <c r="B483" s="8">
        <v>128999</v>
      </c>
    </row>
    <row r="484" spans="1:2" x14ac:dyDescent="0.25">
      <c r="A484" s="5" t="s">
        <v>17</v>
      </c>
      <c r="B484" s="8">
        <v>496788</v>
      </c>
    </row>
    <row r="485" spans="1:2" x14ac:dyDescent="0.25">
      <c r="A485" s="5" t="s">
        <v>18</v>
      </c>
      <c r="B485" s="8">
        <v>107041</v>
      </c>
    </row>
    <row r="486" spans="1:2" x14ac:dyDescent="0.25">
      <c r="A486" s="5" t="s">
        <v>19</v>
      </c>
      <c r="B486" s="8">
        <v>819282</v>
      </c>
    </row>
    <row r="487" spans="1:2" x14ac:dyDescent="0.25">
      <c r="A487" s="5" t="s">
        <v>20</v>
      </c>
      <c r="B487" s="8">
        <v>120223</v>
      </c>
    </row>
    <row r="488" spans="1:2" x14ac:dyDescent="0.25">
      <c r="A488" s="5" t="s">
        <v>22</v>
      </c>
      <c r="B488" s="8">
        <v>64869</v>
      </c>
    </row>
    <row r="489" spans="1:2" x14ac:dyDescent="0.25">
      <c r="A489" s="5" t="s">
        <v>23</v>
      </c>
      <c r="B489" s="8">
        <v>5192</v>
      </c>
    </row>
    <row r="490" spans="1:2" x14ac:dyDescent="0.25">
      <c r="A490" s="5" t="s">
        <v>24</v>
      </c>
      <c r="B490" s="8">
        <v>10416</v>
      </c>
    </row>
    <row r="491" spans="1:2" x14ac:dyDescent="0.25">
      <c r="A491" s="5" t="s">
        <v>25</v>
      </c>
      <c r="B491" s="8">
        <v>243988</v>
      </c>
    </row>
    <row r="492" spans="1:2" x14ac:dyDescent="0.25">
      <c r="A492" s="5" t="s">
        <v>26</v>
      </c>
      <c r="B492" s="8">
        <v>352066</v>
      </c>
    </row>
    <row r="493" spans="1:2" x14ac:dyDescent="0.25">
      <c r="A493" s="5" t="s">
        <v>27</v>
      </c>
      <c r="B493" s="8">
        <v>343682</v>
      </c>
    </row>
    <row r="494" spans="1:2" x14ac:dyDescent="0.25">
      <c r="A494" s="5" t="s">
        <v>2</v>
      </c>
      <c r="B494" s="8">
        <v>16580</v>
      </c>
    </row>
    <row r="495" spans="1:2" x14ac:dyDescent="0.25">
      <c r="A495" s="5" t="s">
        <v>3</v>
      </c>
      <c r="B495" s="8">
        <v>411522</v>
      </c>
    </row>
    <row r="496" spans="1:2" x14ac:dyDescent="0.25">
      <c r="A496" s="5" t="s">
        <v>4</v>
      </c>
      <c r="B496" s="8">
        <v>317154</v>
      </c>
    </row>
    <row r="497" spans="1:2" x14ac:dyDescent="0.25">
      <c r="A497" s="5" t="s">
        <v>5</v>
      </c>
      <c r="B497" s="8">
        <v>4539</v>
      </c>
    </row>
    <row r="498" spans="1:2" x14ac:dyDescent="0.25">
      <c r="A498" s="5" t="s">
        <v>6</v>
      </c>
      <c r="B498" s="8">
        <v>44734</v>
      </c>
    </row>
    <row r="499" spans="1:2" x14ac:dyDescent="0.25">
      <c r="A499" s="5" t="s">
        <v>7</v>
      </c>
      <c r="B499" s="8">
        <v>282899</v>
      </c>
    </row>
    <row r="500" spans="1:2" x14ac:dyDescent="0.25">
      <c r="A500" s="5" t="s">
        <v>8</v>
      </c>
      <c r="B500" s="8">
        <v>1028976</v>
      </c>
    </row>
    <row r="501" spans="1:2" x14ac:dyDescent="0.25">
      <c r="A501" s="5" t="s">
        <v>9</v>
      </c>
      <c r="B501" s="8">
        <v>244677</v>
      </c>
    </row>
    <row r="502" spans="1:2" x14ac:dyDescent="0.25">
      <c r="A502" s="5" t="s">
        <v>10</v>
      </c>
      <c r="B502" s="8">
        <v>370436</v>
      </c>
    </row>
    <row r="503" spans="1:2" x14ac:dyDescent="0.25">
      <c r="A503" s="5" t="s">
        <v>11</v>
      </c>
      <c r="B503" s="8">
        <v>732691</v>
      </c>
    </row>
    <row r="504" spans="1:2" x14ac:dyDescent="0.25">
      <c r="A504" s="5" t="s">
        <v>12</v>
      </c>
      <c r="B504" s="8">
        <v>264239</v>
      </c>
    </row>
    <row r="505" spans="1:2" x14ac:dyDescent="0.25">
      <c r="A505" s="5" t="s">
        <v>13</v>
      </c>
      <c r="B505" s="8">
        <v>318152</v>
      </c>
    </row>
    <row r="506" spans="1:2" x14ac:dyDescent="0.25">
      <c r="A506" s="5" t="s">
        <v>14</v>
      </c>
      <c r="B506" s="8">
        <v>20402</v>
      </c>
    </row>
    <row r="507" spans="1:2" x14ac:dyDescent="0.25">
      <c r="A507" s="5" t="s">
        <v>28</v>
      </c>
      <c r="B507" s="8">
        <v>7105</v>
      </c>
    </row>
    <row r="508" spans="1:2" x14ac:dyDescent="0.25">
      <c r="A508" s="5" t="s">
        <v>15</v>
      </c>
      <c r="B508" s="8">
        <v>150208</v>
      </c>
    </row>
    <row r="509" spans="1:2" x14ac:dyDescent="0.25">
      <c r="A509" s="5" t="s">
        <v>16</v>
      </c>
      <c r="B509" s="8">
        <v>252206</v>
      </c>
    </row>
    <row r="510" spans="1:2" x14ac:dyDescent="0.25">
      <c r="A510" s="5" t="s">
        <v>17</v>
      </c>
      <c r="B510" s="8">
        <v>897630</v>
      </c>
    </row>
    <row r="511" spans="1:2" x14ac:dyDescent="0.25">
      <c r="A511" s="5" t="s">
        <v>18</v>
      </c>
      <c r="B511" s="8">
        <v>216249</v>
      </c>
    </row>
    <row r="512" spans="1:2" x14ac:dyDescent="0.25">
      <c r="A512" s="5" t="s">
        <v>19</v>
      </c>
      <c r="B512" s="8">
        <v>1122699</v>
      </c>
    </row>
    <row r="513" spans="1:2" x14ac:dyDescent="0.25">
      <c r="A513" s="5" t="s">
        <v>20</v>
      </c>
      <c r="B513" s="8">
        <v>111888</v>
      </c>
    </row>
    <row r="514" spans="1:2" x14ac:dyDescent="0.25">
      <c r="A514" s="5" t="s">
        <v>22</v>
      </c>
      <c r="B514" s="8">
        <v>79570</v>
      </c>
    </row>
    <row r="515" spans="1:2" x14ac:dyDescent="0.25">
      <c r="A515" s="5" t="s">
        <v>23</v>
      </c>
      <c r="B515" s="8">
        <v>5988</v>
      </c>
    </row>
    <row r="516" spans="1:2" x14ac:dyDescent="0.25">
      <c r="A516" s="5" t="s">
        <v>24</v>
      </c>
      <c r="B516" s="8">
        <v>8706</v>
      </c>
    </row>
    <row r="517" spans="1:2" x14ac:dyDescent="0.25">
      <c r="A517" s="5" t="s">
        <v>25</v>
      </c>
      <c r="B517" s="8">
        <v>338981</v>
      </c>
    </row>
    <row r="518" spans="1:2" x14ac:dyDescent="0.25">
      <c r="A518" s="5" t="s">
        <v>26</v>
      </c>
      <c r="B518" s="8">
        <v>570444</v>
      </c>
    </row>
    <row r="519" spans="1:2" x14ac:dyDescent="0.25">
      <c r="A519" s="5" t="s">
        <v>27</v>
      </c>
      <c r="B519" s="8">
        <v>564624</v>
      </c>
    </row>
    <row r="520" spans="1:2" x14ac:dyDescent="0.25">
      <c r="A520" s="5" t="s">
        <v>2</v>
      </c>
      <c r="B520" s="8">
        <v>10309</v>
      </c>
    </row>
    <row r="521" spans="1:2" x14ac:dyDescent="0.25">
      <c r="A521" s="5" t="s">
        <v>3</v>
      </c>
      <c r="B521" s="8">
        <v>422734</v>
      </c>
    </row>
    <row r="522" spans="1:2" x14ac:dyDescent="0.25">
      <c r="A522" s="5" t="s">
        <v>4</v>
      </c>
      <c r="B522" s="8">
        <v>203290</v>
      </c>
    </row>
    <row r="523" spans="1:2" x14ac:dyDescent="0.25">
      <c r="A523" s="5" t="s">
        <v>5</v>
      </c>
      <c r="B523" s="8">
        <v>1828</v>
      </c>
    </row>
    <row r="524" spans="1:2" x14ac:dyDescent="0.25">
      <c r="A524" s="5" t="s">
        <v>6</v>
      </c>
      <c r="B524" s="8">
        <v>25679</v>
      </c>
    </row>
    <row r="525" spans="1:2" x14ac:dyDescent="0.25">
      <c r="A525" s="5" t="s">
        <v>7</v>
      </c>
      <c r="B525" s="8">
        <v>167193</v>
      </c>
    </row>
    <row r="526" spans="1:2" x14ac:dyDescent="0.25">
      <c r="A526" s="5" t="s">
        <v>8</v>
      </c>
      <c r="B526" s="8">
        <v>688732</v>
      </c>
    </row>
    <row r="527" spans="1:2" x14ac:dyDescent="0.25">
      <c r="A527" s="5" t="s">
        <v>9</v>
      </c>
      <c r="B527" s="8">
        <v>151234</v>
      </c>
    </row>
    <row r="528" spans="1:2" x14ac:dyDescent="0.25">
      <c r="A528" s="5" t="s">
        <v>10</v>
      </c>
      <c r="B528" s="8">
        <v>224023</v>
      </c>
    </row>
    <row r="529" spans="1:2" x14ac:dyDescent="0.25">
      <c r="A529" s="5" t="s">
        <v>11</v>
      </c>
      <c r="B529" s="8">
        <v>608129</v>
      </c>
    </row>
    <row r="530" spans="1:2" x14ac:dyDescent="0.25">
      <c r="A530" s="5" t="s">
        <v>12</v>
      </c>
      <c r="B530" s="8">
        <v>231808</v>
      </c>
    </row>
    <row r="531" spans="1:2" x14ac:dyDescent="0.25">
      <c r="A531" s="5" t="s">
        <v>13</v>
      </c>
      <c r="B531" s="8">
        <v>268284</v>
      </c>
    </row>
    <row r="532" spans="1:2" x14ac:dyDescent="0.25">
      <c r="A532" s="5" t="s">
        <v>14</v>
      </c>
      <c r="B532" s="8">
        <v>10138</v>
      </c>
    </row>
    <row r="533" spans="1:2" x14ac:dyDescent="0.25">
      <c r="A533" s="5" t="s">
        <v>28</v>
      </c>
      <c r="B533" s="8">
        <v>3415</v>
      </c>
    </row>
    <row r="534" spans="1:2" x14ac:dyDescent="0.25">
      <c r="A534" s="5" t="s">
        <v>15</v>
      </c>
      <c r="B534" s="8">
        <v>102116</v>
      </c>
    </row>
    <row r="535" spans="1:2" x14ac:dyDescent="0.25">
      <c r="A535" s="5" t="s">
        <v>16</v>
      </c>
      <c r="B535" s="8">
        <v>145184</v>
      </c>
    </row>
    <row r="536" spans="1:2" x14ac:dyDescent="0.25">
      <c r="A536" s="5" t="s">
        <v>17</v>
      </c>
      <c r="B536" s="8">
        <v>618737</v>
      </c>
    </row>
    <row r="537" spans="1:2" x14ac:dyDescent="0.25">
      <c r="A537" s="5" t="s">
        <v>18</v>
      </c>
      <c r="B537" s="8">
        <v>128231</v>
      </c>
    </row>
    <row r="538" spans="1:2" x14ac:dyDescent="0.25">
      <c r="A538" s="5" t="s">
        <v>19</v>
      </c>
      <c r="B538" s="8">
        <v>902757</v>
      </c>
    </row>
    <row r="539" spans="1:2" x14ac:dyDescent="0.25">
      <c r="A539" s="5" t="s">
        <v>20</v>
      </c>
      <c r="B539" s="8">
        <v>78557</v>
      </c>
    </row>
    <row r="540" spans="1:2" x14ac:dyDescent="0.25">
      <c r="A540" s="5" t="s">
        <v>22</v>
      </c>
      <c r="B540" s="8">
        <v>76426</v>
      </c>
    </row>
    <row r="541" spans="1:2" x14ac:dyDescent="0.25">
      <c r="A541" s="5" t="s">
        <v>23</v>
      </c>
      <c r="B541" s="8">
        <v>3576</v>
      </c>
    </row>
    <row r="542" spans="1:2" x14ac:dyDescent="0.25">
      <c r="A542" s="5" t="s">
        <v>24</v>
      </c>
      <c r="B542" s="8">
        <v>6039</v>
      </c>
    </row>
    <row r="543" spans="1:2" x14ac:dyDescent="0.25">
      <c r="A543" s="5" t="s">
        <v>25</v>
      </c>
      <c r="B543" s="8">
        <v>330405</v>
      </c>
    </row>
    <row r="544" spans="1:2" x14ac:dyDescent="0.25">
      <c r="A544" s="5" t="s">
        <v>26</v>
      </c>
      <c r="B544" s="8">
        <v>367278</v>
      </c>
    </row>
    <row r="545" spans="1:2" x14ac:dyDescent="0.25">
      <c r="A545" s="5" t="s">
        <v>27</v>
      </c>
      <c r="B545" s="8">
        <v>376346</v>
      </c>
    </row>
    <row r="546" spans="1:2" x14ac:dyDescent="0.25">
      <c r="A546" s="5" t="s">
        <v>2</v>
      </c>
      <c r="B546" s="8">
        <v>9801</v>
      </c>
    </row>
    <row r="547" spans="1:2" x14ac:dyDescent="0.25">
      <c r="A547" s="5" t="s">
        <v>3</v>
      </c>
      <c r="B547" s="8">
        <v>408987</v>
      </c>
    </row>
    <row r="548" spans="1:2" x14ac:dyDescent="0.25">
      <c r="A548" s="5" t="s">
        <v>4</v>
      </c>
      <c r="B548" s="8">
        <v>174478</v>
      </c>
    </row>
    <row r="549" spans="1:2" x14ac:dyDescent="0.25">
      <c r="A549" s="5" t="s">
        <v>5</v>
      </c>
      <c r="B549" s="8">
        <v>1179</v>
      </c>
    </row>
    <row r="550" spans="1:2" x14ac:dyDescent="0.25">
      <c r="A550" s="5" t="s">
        <v>6</v>
      </c>
      <c r="B550" s="8">
        <v>14202</v>
      </c>
    </row>
    <row r="551" spans="1:2" x14ac:dyDescent="0.25">
      <c r="A551" s="5" t="s">
        <v>7</v>
      </c>
      <c r="B551" s="8">
        <v>121209</v>
      </c>
    </row>
    <row r="552" spans="1:2" x14ac:dyDescent="0.25">
      <c r="A552" s="5" t="s">
        <v>8</v>
      </c>
      <c r="B552" s="8">
        <v>412583</v>
      </c>
    </row>
    <row r="553" spans="1:2" x14ac:dyDescent="0.25">
      <c r="A553" s="5" t="s">
        <v>9</v>
      </c>
      <c r="B553" s="8">
        <v>83018</v>
      </c>
    </row>
    <row r="554" spans="1:2" x14ac:dyDescent="0.25">
      <c r="A554" s="5" t="s">
        <v>10</v>
      </c>
      <c r="B554" s="8">
        <v>129093</v>
      </c>
    </row>
    <row r="555" spans="1:2" x14ac:dyDescent="0.25">
      <c r="A555" s="5" t="s">
        <v>11</v>
      </c>
      <c r="B555" s="8">
        <v>437523</v>
      </c>
    </row>
    <row r="556" spans="1:2" x14ac:dyDescent="0.25">
      <c r="A556" s="5" t="s">
        <v>12</v>
      </c>
      <c r="B556" s="8">
        <v>140041</v>
      </c>
    </row>
    <row r="557" spans="1:2" x14ac:dyDescent="0.25">
      <c r="A557" s="5" t="s">
        <v>13</v>
      </c>
      <c r="B557" s="8">
        <v>185083</v>
      </c>
    </row>
    <row r="558" spans="1:2" x14ac:dyDescent="0.25">
      <c r="A558" s="5" t="s">
        <v>14</v>
      </c>
      <c r="B558" s="8">
        <v>7230</v>
      </c>
    </row>
    <row r="559" spans="1:2" x14ac:dyDescent="0.25">
      <c r="A559" s="5" t="s">
        <v>28</v>
      </c>
      <c r="B559" s="8">
        <v>887</v>
      </c>
    </row>
    <row r="560" spans="1:2" x14ac:dyDescent="0.25">
      <c r="A560" s="5" t="s">
        <v>15</v>
      </c>
      <c r="B560" s="8">
        <v>58074</v>
      </c>
    </row>
    <row r="561" spans="1:2" x14ac:dyDescent="0.25">
      <c r="A561" s="5" t="s">
        <v>16</v>
      </c>
      <c r="B561" s="8">
        <v>40472</v>
      </c>
    </row>
    <row r="562" spans="1:2" x14ac:dyDescent="0.25">
      <c r="A562" s="5" t="s">
        <v>17</v>
      </c>
      <c r="B562" s="8">
        <v>354666</v>
      </c>
    </row>
    <row r="563" spans="1:2" x14ac:dyDescent="0.25">
      <c r="A563" s="5" t="s">
        <v>18</v>
      </c>
      <c r="B563" s="8">
        <v>75832</v>
      </c>
    </row>
    <row r="564" spans="1:2" x14ac:dyDescent="0.25">
      <c r="A564" s="5" t="s">
        <v>19</v>
      </c>
      <c r="B564" s="8">
        <v>481273</v>
      </c>
    </row>
    <row r="565" spans="1:2" x14ac:dyDescent="0.25">
      <c r="A565" s="5" t="s">
        <v>20</v>
      </c>
      <c r="B565" s="8">
        <v>78559</v>
      </c>
    </row>
    <row r="566" spans="1:2" x14ac:dyDescent="0.25">
      <c r="A566" s="5" t="s">
        <v>22</v>
      </c>
      <c r="B566" s="8">
        <v>49883</v>
      </c>
    </row>
    <row r="567" spans="1:2" x14ac:dyDescent="0.25">
      <c r="A567" s="5" t="s">
        <v>23</v>
      </c>
      <c r="B567" s="8">
        <v>3820</v>
      </c>
    </row>
    <row r="568" spans="1:2" x14ac:dyDescent="0.25">
      <c r="A568" s="5" t="s">
        <v>24</v>
      </c>
      <c r="B568" s="8">
        <v>3165</v>
      </c>
    </row>
    <row r="569" spans="1:2" x14ac:dyDescent="0.25">
      <c r="A569" s="5" t="s">
        <v>25</v>
      </c>
      <c r="B569" s="8">
        <v>233999</v>
      </c>
    </row>
    <row r="570" spans="1:2" x14ac:dyDescent="0.25">
      <c r="A570" s="5" t="s">
        <v>26</v>
      </c>
      <c r="B570" s="8">
        <v>200872</v>
      </c>
    </row>
    <row r="571" spans="1:2" x14ac:dyDescent="0.25">
      <c r="A571" s="5" t="s">
        <v>27</v>
      </c>
      <c r="B571" s="8">
        <v>225934</v>
      </c>
    </row>
    <row r="572" spans="1:2" x14ac:dyDescent="0.25">
      <c r="A572" s="5" t="s">
        <v>2</v>
      </c>
      <c r="B572" s="8">
        <v>1968</v>
      </c>
    </row>
    <row r="573" spans="1:2" x14ac:dyDescent="0.25">
      <c r="A573" s="5" t="s">
        <v>3</v>
      </c>
      <c r="B573" s="8">
        <v>88531</v>
      </c>
    </row>
    <row r="574" spans="1:2" x14ac:dyDescent="0.25">
      <c r="A574" s="5" t="s">
        <v>4</v>
      </c>
      <c r="B574" s="8">
        <v>61254</v>
      </c>
    </row>
    <row r="575" spans="1:2" x14ac:dyDescent="0.25">
      <c r="A575" s="5" t="s">
        <v>5</v>
      </c>
      <c r="B575" s="8">
        <v>479</v>
      </c>
    </row>
    <row r="576" spans="1:2" x14ac:dyDescent="0.25">
      <c r="A576" s="5" t="s">
        <v>6</v>
      </c>
      <c r="B576" s="8">
        <v>12360</v>
      </c>
    </row>
    <row r="577" spans="1:2" x14ac:dyDescent="0.25">
      <c r="A577" s="5" t="s">
        <v>7</v>
      </c>
      <c r="B577" s="8">
        <v>74640</v>
      </c>
    </row>
    <row r="578" spans="1:2" x14ac:dyDescent="0.25">
      <c r="A578" s="5" t="s">
        <v>8</v>
      </c>
      <c r="B578" s="8">
        <v>266913</v>
      </c>
    </row>
    <row r="579" spans="1:2" x14ac:dyDescent="0.25">
      <c r="A579" s="5" t="s">
        <v>9</v>
      </c>
      <c r="B579" s="8">
        <v>47859</v>
      </c>
    </row>
    <row r="580" spans="1:2" x14ac:dyDescent="0.25">
      <c r="A580" s="5" t="s">
        <v>10</v>
      </c>
      <c r="B580" s="8">
        <v>84878</v>
      </c>
    </row>
    <row r="581" spans="1:2" x14ac:dyDescent="0.25">
      <c r="A581" s="5" t="s">
        <v>11</v>
      </c>
      <c r="B581" s="8">
        <v>146592</v>
      </c>
    </row>
    <row r="582" spans="1:2" x14ac:dyDescent="0.25">
      <c r="A582" s="5" t="s">
        <v>12</v>
      </c>
      <c r="B582" s="8">
        <v>67069</v>
      </c>
    </row>
    <row r="583" spans="1:2" x14ac:dyDescent="0.25">
      <c r="A583" s="5" t="s">
        <v>13</v>
      </c>
      <c r="B583" s="8">
        <v>85269</v>
      </c>
    </row>
    <row r="584" spans="1:2" x14ac:dyDescent="0.25">
      <c r="A584" s="5" t="s">
        <v>14</v>
      </c>
      <c r="B584" s="8">
        <v>4056</v>
      </c>
    </row>
    <row r="585" spans="1:2" x14ac:dyDescent="0.25">
      <c r="A585" s="5" t="s">
        <v>28</v>
      </c>
      <c r="B585" s="8">
        <v>299</v>
      </c>
    </row>
    <row r="586" spans="1:2" x14ac:dyDescent="0.25">
      <c r="A586" s="5" t="s">
        <v>15</v>
      </c>
      <c r="B586" s="8">
        <v>47219</v>
      </c>
    </row>
    <row r="587" spans="1:2" x14ac:dyDescent="0.25">
      <c r="A587" s="5" t="s">
        <v>16</v>
      </c>
      <c r="B587" s="8">
        <v>26628</v>
      </c>
    </row>
    <row r="588" spans="1:2" x14ac:dyDescent="0.25">
      <c r="A588" s="5" t="s">
        <v>17</v>
      </c>
      <c r="B588" s="8">
        <v>254238</v>
      </c>
    </row>
    <row r="589" spans="1:2" x14ac:dyDescent="0.25">
      <c r="A589" s="5" t="s">
        <v>18</v>
      </c>
      <c r="B589" s="8">
        <v>37075</v>
      </c>
    </row>
    <row r="590" spans="1:2" x14ac:dyDescent="0.25">
      <c r="A590" s="5" t="s">
        <v>19</v>
      </c>
      <c r="B590" s="8">
        <v>262467</v>
      </c>
    </row>
    <row r="591" spans="1:2" x14ac:dyDescent="0.25">
      <c r="A591" s="5" t="s">
        <v>20</v>
      </c>
      <c r="B591" s="8">
        <v>38318</v>
      </c>
    </row>
    <row r="592" spans="1:2" x14ac:dyDescent="0.25">
      <c r="A592" s="5" t="s">
        <v>22</v>
      </c>
      <c r="B592" s="8">
        <v>36868</v>
      </c>
    </row>
    <row r="593" spans="1:2" x14ac:dyDescent="0.25">
      <c r="A593" s="5" t="s">
        <v>23</v>
      </c>
      <c r="B593" s="8">
        <v>2111</v>
      </c>
    </row>
    <row r="594" spans="1:2" x14ac:dyDescent="0.25">
      <c r="A594" s="5" t="s">
        <v>24</v>
      </c>
      <c r="B594" s="8">
        <v>1274</v>
      </c>
    </row>
    <row r="595" spans="1:2" x14ac:dyDescent="0.25">
      <c r="A595" s="5" t="s">
        <v>25</v>
      </c>
      <c r="B595" s="8">
        <v>70160</v>
      </c>
    </row>
    <row r="596" spans="1:2" x14ac:dyDescent="0.25">
      <c r="A596" s="5" t="s">
        <v>26</v>
      </c>
      <c r="B596" s="8">
        <v>158232</v>
      </c>
    </row>
    <row r="597" spans="1:2" x14ac:dyDescent="0.25">
      <c r="A597" s="5" t="s">
        <v>27</v>
      </c>
      <c r="B597" s="8">
        <v>211698</v>
      </c>
    </row>
    <row r="598" spans="1:2" x14ac:dyDescent="0.25">
      <c r="A598" s="5" t="s">
        <v>2</v>
      </c>
      <c r="B598" s="8">
        <v>12653</v>
      </c>
    </row>
    <row r="599" spans="1:2" x14ac:dyDescent="0.25">
      <c r="A599" s="5" t="s">
        <v>3</v>
      </c>
      <c r="B599" s="8">
        <v>106189</v>
      </c>
    </row>
    <row r="600" spans="1:2" x14ac:dyDescent="0.25">
      <c r="A600" s="5" t="s">
        <v>4</v>
      </c>
      <c r="B600" s="8">
        <v>69075</v>
      </c>
    </row>
    <row r="601" spans="1:2" x14ac:dyDescent="0.25">
      <c r="A601" s="5" t="s">
        <v>5</v>
      </c>
      <c r="B601" s="8">
        <v>1362</v>
      </c>
    </row>
    <row r="602" spans="1:2" x14ac:dyDescent="0.25">
      <c r="A602" s="5" t="s">
        <v>6</v>
      </c>
      <c r="B602" s="8">
        <v>12378</v>
      </c>
    </row>
    <row r="603" spans="1:2" x14ac:dyDescent="0.25">
      <c r="A603" s="5" t="s">
        <v>7</v>
      </c>
      <c r="B603" s="8">
        <v>106987</v>
      </c>
    </row>
    <row r="604" spans="1:2" x14ac:dyDescent="0.25">
      <c r="A604" s="5" t="s">
        <v>8</v>
      </c>
      <c r="B604" s="8">
        <v>407177</v>
      </c>
    </row>
    <row r="605" spans="1:2" x14ac:dyDescent="0.25">
      <c r="A605" s="5" t="s">
        <v>9</v>
      </c>
      <c r="B605" s="8">
        <v>82697</v>
      </c>
    </row>
    <row r="606" spans="1:2" x14ac:dyDescent="0.25">
      <c r="A606" s="5" t="s">
        <v>10</v>
      </c>
      <c r="B606" s="8">
        <v>130882</v>
      </c>
    </row>
    <row r="607" spans="1:2" x14ac:dyDescent="0.25">
      <c r="A607" s="5" t="s">
        <v>11</v>
      </c>
      <c r="B607" s="8">
        <v>275177</v>
      </c>
    </row>
    <row r="608" spans="1:2" x14ac:dyDescent="0.25">
      <c r="A608" s="5" t="s">
        <v>12</v>
      </c>
      <c r="B608" s="8">
        <v>99349</v>
      </c>
    </row>
    <row r="609" spans="1:2" x14ac:dyDescent="0.25">
      <c r="A609" s="5" t="s">
        <v>13</v>
      </c>
      <c r="B609" s="8">
        <v>87342</v>
      </c>
    </row>
    <row r="610" spans="1:2" x14ac:dyDescent="0.25">
      <c r="A610" s="5" t="s">
        <v>14</v>
      </c>
      <c r="B610" s="8">
        <v>6408</v>
      </c>
    </row>
    <row r="611" spans="1:2" x14ac:dyDescent="0.25">
      <c r="A611" s="5" t="s">
        <v>28</v>
      </c>
      <c r="B611" s="8">
        <v>9139</v>
      </c>
    </row>
    <row r="612" spans="1:2" x14ac:dyDescent="0.25">
      <c r="A612" s="5" t="s">
        <v>15</v>
      </c>
      <c r="B612" s="8">
        <v>78296</v>
      </c>
    </row>
    <row r="613" spans="1:2" x14ac:dyDescent="0.25">
      <c r="A613" s="5" t="s">
        <v>16</v>
      </c>
      <c r="B613" s="8">
        <v>56914</v>
      </c>
    </row>
    <row r="614" spans="1:2" x14ac:dyDescent="0.25">
      <c r="A614" s="5" t="s">
        <v>17</v>
      </c>
      <c r="B614" s="8">
        <v>358442</v>
      </c>
    </row>
    <row r="615" spans="1:2" x14ac:dyDescent="0.25">
      <c r="A615" s="5" t="s">
        <v>18</v>
      </c>
      <c r="B615" s="8">
        <v>65654</v>
      </c>
    </row>
    <row r="616" spans="1:2" x14ac:dyDescent="0.25">
      <c r="A616" s="5" t="s">
        <v>19</v>
      </c>
      <c r="B616" s="8">
        <v>379206</v>
      </c>
    </row>
    <row r="617" spans="1:2" x14ac:dyDescent="0.25">
      <c r="A617" s="5" t="s">
        <v>20</v>
      </c>
      <c r="B617" s="8">
        <v>45231</v>
      </c>
    </row>
    <row r="618" spans="1:2" x14ac:dyDescent="0.25">
      <c r="A618" s="5" t="s">
        <v>22</v>
      </c>
      <c r="B618" s="8">
        <v>46342</v>
      </c>
    </row>
    <row r="619" spans="1:2" x14ac:dyDescent="0.25">
      <c r="A619" s="5" t="s">
        <v>23</v>
      </c>
      <c r="B619" s="8">
        <v>3878</v>
      </c>
    </row>
    <row r="620" spans="1:2" x14ac:dyDescent="0.25">
      <c r="A620" s="5" t="s">
        <v>24</v>
      </c>
      <c r="B620" s="8">
        <v>1033</v>
      </c>
    </row>
    <row r="621" spans="1:2" x14ac:dyDescent="0.25">
      <c r="A621" s="5" t="s">
        <v>25</v>
      </c>
      <c r="B621" s="8">
        <v>108549</v>
      </c>
    </row>
    <row r="622" spans="1:2" x14ac:dyDescent="0.25">
      <c r="A622" s="5" t="s">
        <v>26</v>
      </c>
      <c r="B622" s="8">
        <v>162752</v>
      </c>
    </row>
    <row r="623" spans="1:2" x14ac:dyDescent="0.25">
      <c r="A623" s="5" t="s">
        <v>27</v>
      </c>
      <c r="B623" s="8">
        <v>270023</v>
      </c>
    </row>
    <row r="624" spans="1:2" x14ac:dyDescent="0.25">
      <c r="A624" s="5" t="s">
        <v>2</v>
      </c>
      <c r="B624" s="8">
        <v>5306</v>
      </c>
    </row>
    <row r="625" spans="1:2" x14ac:dyDescent="0.25">
      <c r="A625" s="5" t="s">
        <v>3</v>
      </c>
      <c r="B625" s="8">
        <v>120895</v>
      </c>
    </row>
    <row r="626" spans="1:2" x14ac:dyDescent="0.25">
      <c r="A626" s="5" t="s">
        <v>4</v>
      </c>
      <c r="B626" s="8">
        <v>67350</v>
      </c>
    </row>
    <row r="627" spans="1:2" x14ac:dyDescent="0.25">
      <c r="A627" s="5" t="s">
        <v>6</v>
      </c>
      <c r="B627" s="8">
        <v>14232</v>
      </c>
    </row>
    <row r="628" spans="1:2" x14ac:dyDescent="0.25">
      <c r="A628" s="5" t="s">
        <v>7</v>
      </c>
      <c r="B628" s="8">
        <v>105462</v>
      </c>
    </row>
    <row r="629" spans="1:2" x14ac:dyDescent="0.25">
      <c r="A629" s="5" t="s">
        <v>8</v>
      </c>
      <c r="B629" s="8">
        <v>467870</v>
      </c>
    </row>
    <row r="630" spans="1:2" x14ac:dyDescent="0.25">
      <c r="A630" s="5" t="s">
        <v>9</v>
      </c>
      <c r="B630" s="8">
        <v>72436</v>
      </c>
    </row>
    <row r="631" spans="1:2" x14ac:dyDescent="0.25">
      <c r="A631" s="5" t="s">
        <v>10</v>
      </c>
      <c r="B631" s="8">
        <v>115999</v>
      </c>
    </row>
    <row r="632" spans="1:2" x14ac:dyDescent="0.25">
      <c r="A632" s="5" t="s">
        <v>11</v>
      </c>
      <c r="B632" s="8">
        <v>223206</v>
      </c>
    </row>
    <row r="633" spans="1:2" x14ac:dyDescent="0.25">
      <c r="A633" s="5" t="s">
        <v>12</v>
      </c>
      <c r="B633" s="8">
        <v>101490</v>
      </c>
    </row>
    <row r="634" spans="1:2" x14ac:dyDescent="0.25">
      <c r="A634" s="5" t="s">
        <v>13</v>
      </c>
      <c r="B634" s="8">
        <v>95147</v>
      </c>
    </row>
    <row r="635" spans="1:2" x14ac:dyDescent="0.25">
      <c r="A635" s="5" t="s">
        <v>14</v>
      </c>
      <c r="B635" s="8">
        <v>7664</v>
      </c>
    </row>
    <row r="636" spans="1:2" x14ac:dyDescent="0.25">
      <c r="A636" s="5" t="s">
        <v>28</v>
      </c>
      <c r="B636" s="8">
        <v>15291</v>
      </c>
    </row>
    <row r="637" spans="1:2" x14ac:dyDescent="0.25">
      <c r="A637" s="5" t="s">
        <v>15</v>
      </c>
      <c r="B637" s="8">
        <v>85204</v>
      </c>
    </row>
    <row r="638" spans="1:2" x14ac:dyDescent="0.25">
      <c r="A638" s="5" t="s">
        <v>16</v>
      </c>
      <c r="B638" s="8">
        <v>71978</v>
      </c>
    </row>
    <row r="639" spans="1:2" x14ac:dyDescent="0.25">
      <c r="A639" s="5" t="s">
        <v>17</v>
      </c>
      <c r="B639" s="8">
        <v>386862</v>
      </c>
    </row>
    <row r="640" spans="1:2" x14ac:dyDescent="0.25">
      <c r="A640" s="5" t="s">
        <v>18</v>
      </c>
      <c r="B640" s="8">
        <v>71726</v>
      </c>
    </row>
    <row r="641" spans="1:2" x14ac:dyDescent="0.25">
      <c r="A641" s="5" t="s">
        <v>19</v>
      </c>
      <c r="B641" s="8">
        <v>383152</v>
      </c>
    </row>
    <row r="642" spans="1:2" x14ac:dyDescent="0.25">
      <c r="A642" s="5" t="s">
        <v>20</v>
      </c>
      <c r="B642" s="8">
        <v>37820</v>
      </c>
    </row>
    <row r="643" spans="1:2" x14ac:dyDescent="0.25">
      <c r="A643" s="5" t="s">
        <v>22</v>
      </c>
      <c r="B643" s="8">
        <v>48838</v>
      </c>
    </row>
    <row r="644" spans="1:2" x14ac:dyDescent="0.25">
      <c r="A644" s="5" t="s">
        <v>23</v>
      </c>
      <c r="B644" s="8">
        <v>2469</v>
      </c>
    </row>
    <row r="645" spans="1:2" x14ac:dyDescent="0.25">
      <c r="A645" s="5" t="s">
        <v>24</v>
      </c>
      <c r="B645" s="8">
        <v>3625</v>
      </c>
    </row>
    <row r="646" spans="1:2" x14ac:dyDescent="0.25">
      <c r="A646" s="5" t="s">
        <v>25</v>
      </c>
      <c r="B646" s="8">
        <v>138049</v>
      </c>
    </row>
    <row r="647" spans="1:2" x14ac:dyDescent="0.25">
      <c r="A647" s="5" t="s">
        <v>26</v>
      </c>
      <c r="B647" s="8">
        <v>217668</v>
      </c>
    </row>
    <row r="648" spans="1:2" x14ac:dyDescent="0.25">
      <c r="A648" s="5" t="s">
        <v>27</v>
      </c>
      <c r="B648" s="8">
        <v>254791</v>
      </c>
    </row>
    <row r="649" spans="1:2" x14ac:dyDescent="0.25">
      <c r="A649" s="5" t="s">
        <v>2</v>
      </c>
      <c r="B649" s="8">
        <v>6180</v>
      </c>
    </row>
    <row r="650" spans="1:2" x14ac:dyDescent="0.25">
      <c r="A650" s="5" t="s">
        <v>3</v>
      </c>
      <c r="B650" s="8">
        <v>134389</v>
      </c>
    </row>
    <row r="651" spans="1:2" x14ac:dyDescent="0.25">
      <c r="A651" s="5" t="s">
        <v>4</v>
      </c>
      <c r="B651" s="8">
        <v>69561</v>
      </c>
    </row>
    <row r="652" spans="1:2" x14ac:dyDescent="0.25">
      <c r="A652" s="5" t="s">
        <v>5</v>
      </c>
      <c r="B652" s="8">
        <v>479</v>
      </c>
    </row>
    <row r="653" spans="1:2" x14ac:dyDescent="0.25">
      <c r="A653" s="5" t="s">
        <v>6</v>
      </c>
      <c r="B653" s="8">
        <v>5318</v>
      </c>
    </row>
    <row r="654" spans="1:2" x14ac:dyDescent="0.25">
      <c r="A654" s="5" t="s">
        <v>7</v>
      </c>
      <c r="B654" s="8">
        <v>93925</v>
      </c>
    </row>
    <row r="655" spans="1:2" x14ac:dyDescent="0.25">
      <c r="A655" s="5" t="s">
        <v>8</v>
      </c>
      <c r="B655" s="8">
        <v>328775</v>
      </c>
    </row>
    <row r="656" spans="1:2" x14ac:dyDescent="0.25">
      <c r="A656" s="5" t="s">
        <v>9</v>
      </c>
      <c r="B656" s="8">
        <v>133747</v>
      </c>
    </row>
    <row r="657" spans="1:2" x14ac:dyDescent="0.25">
      <c r="A657" s="5" t="s">
        <v>10</v>
      </c>
      <c r="B657" s="8">
        <v>99806</v>
      </c>
    </row>
    <row r="658" spans="1:2" x14ac:dyDescent="0.25">
      <c r="A658" s="5" t="s">
        <v>11</v>
      </c>
      <c r="B658" s="8">
        <v>318119</v>
      </c>
    </row>
    <row r="659" spans="1:2" x14ac:dyDescent="0.25">
      <c r="A659" s="5" t="s">
        <v>12</v>
      </c>
      <c r="B659" s="8">
        <v>115804</v>
      </c>
    </row>
    <row r="660" spans="1:2" x14ac:dyDescent="0.25">
      <c r="A660" s="5" t="s">
        <v>13</v>
      </c>
      <c r="B660" s="8">
        <v>98776</v>
      </c>
    </row>
    <row r="661" spans="1:2" x14ac:dyDescent="0.25">
      <c r="A661" s="5" t="s">
        <v>14</v>
      </c>
      <c r="B661" s="8">
        <v>7820</v>
      </c>
    </row>
    <row r="662" spans="1:2" x14ac:dyDescent="0.25">
      <c r="A662" s="5" t="s">
        <v>28</v>
      </c>
      <c r="B662" s="8">
        <v>13595</v>
      </c>
    </row>
    <row r="663" spans="1:2" x14ac:dyDescent="0.25">
      <c r="A663" s="5" t="s">
        <v>15</v>
      </c>
      <c r="B663" s="8">
        <v>99546</v>
      </c>
    </row>
    <row r="664" spans="1:2" x14ac:dyDescent="0.25">
      <c r="A664" s="5" t="s">
        <v>16</v>
      </c>
      <c r="B664" s="8">
        <v>74911</v>
      </c>
    </row>
    <row r="665" spans="1:2" x14ac:dyDescent="0.25">
      <c r="A665" s="5" t="s">
        <v>17</v>
      </c>
      <c r="B665" s="8">
        <v>411975</v>
      </c>
    </row>
    <row r="666" spans="1:2" x14ac:dyDescent="0.25">
      <c r="A666" s="5" t="s">
        <v>18</v>
      </c>
      <c r="B666" s="8">
        <v>69577</v>
      </c>
    </row>
    <row r="667" spans="1:2" x14ac:dyDescent="0.25">
      <c r="A667" s="5" t="s">
        <v>19</v>
      </c>
      <c r="B667" s="8">
        <v>419781</v>
      </c>
    </row>
    <row r="668" spans="1:2" x14ac:dyDescent="0.25">
      <c r="A668" s="5" t="s">
        <v>20</v>
      </c>
      <c r="B668" s="8">
        <v>40671</v>
      </c>
    </row>
    <row r="669" spans="1:2" x14ac:dyDescent="0.25">
      <c r="A669" s="5" t="s">
        <v>21</v>
      </c>
      <c r="B669" s="8">
        <v>574</v>
      </c>
    </row>
    <row r="670" spans="1:2" x14ac:dyDescent="0.25">
      <c r="A670" s="5" t="s">
        <v>22</v>
      </c>
      <c r="B670" s="8">
        <v>47149</v>
      </c>
    </row>
    <row r="671" spans="1:2" x14ac:dyDescent="0.25">
      <c r="A671" s="5" t="s">
        <v>23</v>
      </c>
      <c r="B671" s="8">
        <v>3234</v>
      </c>
    </row>
    <row r="672" spans="1:2" x14ac:dyDescent="0.25">
      <c r="A672" s="5" t="s">
        <v>24</v>
      </c>
      <c r="B672" s="8">
        <v>1020</v>
      </c>
    </row>
    <row r="673" spans="1:2" x14ac:dyDescent="0.25">
      <c r="A673" s="5" t="s">
        <v>25</v>
      </c>
      <c r="B673" s="8">
        <v>94313</v>
      </c>
    </row>
    <row r="674" spans="1:2" x14ac:dyDescent="0.25">
      <c r="A674" s="5" t="s">
        <v>26</v>
      </c>
      <c r="B674" s="8">
        <v>144525</v>
      </c>
    </row>
    <row r="675" spans="1:2" x14ac:dyDescent="0.25">
      <c r="A675" s="5" t="s">
        <v>27</v>
      </c>
      <c r="B675" s="8">
        <v>229915</v>
      </c>
    </row>
    <row r="676" spans="1:2" x14ac:dyDescent="0.25">
      <c r="A676" s="5" t="s">
        <v>2</v>
      </c>
      <c r="B676" s="8">
        <v>5601</v>
      </c>
    </row>
    <row r="677" spans="1:2" x14ac:dyDescent="0.25">
      <c r="A677" s="5" t="s">
        <v>3</v>
      </c>
      <c r="B677" s="8">
        <v>157365</v>
      </c>
    </row>
    <row r="678" spans="1:2" x14ac:dyDescent="0.25">
      <c r="A678" s="5" t="s">
        <v>4</v>
      </c>
      <c r="B678" s="8">
        <v>105832</v>
      </c>
    </row>
    <row r="679" spans="1:2" x14ac:dyDescent="0.25">
      <c r="A679" s="5" t="s">
        <v>5</v>
      </c>
      <c r="B679" s="8">
        <v>1362</v>
      </c>
    </row>
    <row r="680" spans="1:2" x14ac:dyDescent="0.25">
      <c r="A680" s="5" t="s">
        <v>6</v>
      </c>
      <c r="B680" s="8">
        <v>10655</v>
      </c>
    </row>
    <row r="681" spans="1:2" x14ac:dyDescent="0.25">
      <c r="A681" s="5" t="s">
        <v>7</v>
      </c>
      <c r="B681" s="8">
        <v>100304</v>
      </c>
    </row>
    <row r="682" spans="1:2" x14ac:dyDescent="0.25">
      <c r="A682" s="5" t="s">
        <v>8</v>
      </c>
      <c r="B682" s="8">
        <v>355729</v>
      </c>
    </row>
    <row r="683" spans="1:2" x14ac:dyDescent="0.25">
      <c r="A683" s="5" t="s">
        <v>9</v>
      </c>
      <c r="B683" s="8">
        <v>116355</v>
      </c>
    </row>
    <row r="684" spans="1:2" x14ac:dyDescent="0.25">
      <c r="A684" s="5" t="s">
        <v>10</v>
      </c>
      <c r="B684" s="8">
        <v>139921</v>
      </c>
    </row>
    <row r="685" spans="1:2" x14ac:dyDescent="0.25">
      <c r="A685" s="5" t="s">
        <v>11</v>
      </c>
      <c r="B685" s="8">
        <v>367323</v>
      </c>
    </row>
    <row r="686" spans="1:2" x14ac:dyDescent="0.25">
      <c r="A686" s="5" t="s">
        <v>12</v>
      </c>
      <c r="B686" s="8">
        <v>134785</v>
      </c>
    </row>
    <row r="687" spans="1:2" x14ac:dyDescent="0.25">
      <c r="A687" s="5" t="s">
        <v>13</v>
      </c>
      <c r="B687" s="8">
        <v>140624</v>
      </c>
    </row>
    <row r="688" spans="1:2" x14ac:dyDescent="0.25">
      <c r="A688" s="5" t="s">
        <v>14</v>
      </c>
      <c r="B688" s="8">
        <v>10644</v>
      </c>
    </row>
    <row r="689" spans="1:2" x14ac:dyDescent="0.25">
      <c r="A689" s="5" t="s">
        <v>28</v>
      </c>
      <c r="B689" s="8">
        <v>21113</v>
      </c>
    </row>
    <row r="690" spans="1:2" x14ac:dyDescent="0.25">
      <c r="A690" s="5" t="s">
        <v>15</v>
      </c>
      <c r="B690" s="8">
        <v>98786</v>
      </c>
    </row>
    <row r="691" spans="1:2" x14ac:dyDescent="0.25">
      <c r="A691" s="5" t="s">
        <v>16</v>
      </c>
      <c r="B691" s="8">
        <v>112475</v>
      </c>
    </row>
    <row r="692" spans="1:2" x14ac:dyDescent="0.25">
      <c r="A692" s="5" t="s">
        <v>17</v>
      </c>
      <c r="B692" s="8">
        <v>519216</v>
      </c>
    </row>
    <row r="693" spans="1:2" x14ac:dyDescent="0.25">
      <c r="A693" s="5" t="s">
        <v>18</v>
      </c>
      <c r="B693" s="8">
        <v>99861</v>
      </c>
    </row>
    <row r="694" spans="1:2" x14ac:dyDescent="0.25">
      <c r="A694" s="5" t="s">
        <v>19</v>
      </c>
      <c r="B694" s="8">
        <v>568449</v>
      </c>
    </row>
    <row r="695" spans="1:2" x14ac:dyDescent="0.25">
      <c r="A695" s="5" t="s">
        <v>20</v>
      </c>
      <c r="B695" s="8">
        <v>47270</v>
      </c>
    </row>
    <row r="696" spans="1:2" x14ac:dyDescent="0.25">
      <c r="A696" s="5" t="s">
        <v>22</v>
      </c>
      <c r="B696" s="8">
        <v>57165</v>
      </c>
    </row>
    <row r="697" spans="1:2" x14ac:dyDescent="0.25">
      <c r="A697" s="5" t="s">
        <v>23</v>
      </c>
      <c r="B697" s="8">
        <v>4412</v>
      </c>
    </row>
    <row r="698" spans="1:2" x14ac:dyDescent="0.25">
      <c r="A698" s="5" t="s">
        <v>24</v>
      </c>
      <c r="B698" s="8">
        <v>4639</v>
      </c>
    </row>
    <row r="699" spans="1:2" x14ac:dyDescent="0.25">
      <c r="A699" s="5" t="s">
        <v>25</v>
      </c>
      <c r="B699" s="8">
        <v>143095</v>
      </c>
    </row>
    <row r="700" spans="1:2" x14ac:dyDescent="0.25">
      <c r="A700" s="5" t="s">
        <v>26</v>
      </c>
      <c r="B700" s="8">
        <v>236191</v>
      </c>
    </row>
    <row r="701" spans="1:2" x14ac:dyDescent="0.25">
      <c r="A701" s="5" t="s">
        <v>27</v>
      </c>
      <c r="B701" s="8">
        <v>412685</v>
      </c>
    </row>
    <row r="702" spans="1:2" x14ac:dyDescent="0.25">
      <c r="A702" s="5" t="s">
        <v>2</v>
      </c>
      <c r="B702" s="8">
        <v>3314</v>
      </c>
    </row>
    <row r="703" spans="1:2" x14ac:dyDescent="0.25">
      <c r="A703" s="5" t="s">
        <v>3</v>
      </c>
      <c r="B703" s="8">
        <v>120958</v>
      </c>
    </row>
    <row r="704" spans="1:2" x14ac:dyDescent="0.25">
      <c r="A704" s="5" t="s">
        <v>4</v>
      </c>
      <c r="B704" s="8">
        <v>62712</v>
      </c>
    </row>
    <row r="705" spans="1:2" x14ac:dyDescent="0.25">
      <c r="A705" s="5" t="s">
        <v>5</v>
      </c>
      <c r="B705" s="8">
        <v>788</v>
      </c>
    </row>
    <row r="706" spans="1:2" x14ac:dyDescent="0.25">
      <c r="A706" s="5" t="s">
        <v>6</v>
      </c>
      <c r="B706" s="8">
        <v>15367</v>
      </c>
    </row>
    <row r="707" spans="1:2" x14ac:dyDescent="0.25">
      <c r="A707" s="5" t="s">
        <v>7</v>
      </c>
      <c r="B707" s="8">
        <v>106264</v>
      </c>
    </row>
    <row r="708" spans="1:2" x14ac:dyDescent="0.25">
      <c r="A708" s="5" t="s">
        <v>8</v>
      </c>
      <c r="B708" s="8">
        <v>280999</v>
      </c>
    </row>
    <row r="709" spans="1:2" x14ac:dyDescent="0.25">
      <c r="A709" s="5" t="s">
        <v>9</v>
      </c>
      <c r="B709" s="8">
        <v>107798</v>
      </c>
    </row>
    <row r="710" spans="1:2" x14ac:dyDescent="0.25">
      <c r="A710" s="5" t="s">
        <v>10</v>
      </c>
      <c r="B710" s="8">
        <v>102505</v>
      </c>
    </row>
    <row r="711" spans="1:2" x14ac:dyDescent="0.25">
      <c r="A711" s="5" t="s">
        <v>11</v>
      </c>
      <c r="B711" s="8">
        <v>381883</v>
      </c>
    </row>
    <row r="712" spans="1:2" x14ac:dyDescent="0.25">
      <c r="A712" s="5" t="s">
        <v>12</v>
      </c>
      <c r="B712" s="8">
        <v>133406</v>
      </c>
    </row>
    <row r="713" spans="1:2" x14ac:dyDescent="0.25">
      <c r="A713" s="5" t="s">
        <v>13</v>
      </c>
      <c r="B713" s="8">
        <v>138518</v>
      </c>
    </row>
    <row r="714" spans="1:2" x14ac:dyDescent="0.25">
      <c r="A714" s="5" t="s">
        <v>14</v>
      </c>
      <c r="B714" s="8">
        <v>13260</v>
      </c>
    </row>
    <row r="715" spans="1:2" x14ac:dyDescent="0.25">
      <c r="A715" s="5" t="s">
        <v>28</v>
      </c>
      <c r="B715" s="8">
        <v>16759</v>
      </c>
    </row>
    <row r="716" spans="1:2" x14ac:dyDescent="0.25">
      <c r="A716" s="5" t="s">
        <v>15</v>
      </c>
      <c r="B716" s="8">
        <v>65170</v>
      </c>
    </row>
    <row r="717" spans="1:2" x14ac:dyDescent="0.25">
      <c r="A717" s="5" t="s">
        <v>16</v>
      </c>
      <c r="B717" s="8">
        <v>78447</v>
      </c>
    </row>
    <row r="718" spans="1:2" x14ac:dyDescent="0.25">
      <c r="A718" s="5" t="s">
        <v>17</v>
      </c>
      <c r="B718" s="8">
        <v>441463</v>
      </c>
    </row>
    <row r="719" spans="1:2" x14ac:dyDescent="0.25">
      <c r="A719" s="5" t="s">
        <v>18</v>
      </c>
      <c r="B719" s="8">
        <v>83536</v>
      </c>
    </row>
    <row r="720" spans="1:2" x14ac:dyDescent="0.25">
      <c r="A720" s="5" t="s">
        <v>19</v>
      </c>
      <c r="B720" s="8">
        <v>394410</v>
      </c>
    </row>
    <row r="721" spans="1:2" x14ac:dyDescent="0.25">
      <c r="A721" s="5" t="s">
        <v>20</v>
      </c>
      <c r="B721" s="8">
        <v>66822</v>
      </c>
    </row>
    <row r="722" spans="1:2" x14ac:dyDescent="0.25">
      <c r="A722" s="5" t="s">
        <v>22</v>
      </c>
      <c r="B722" s="8">
        <v>42533</v>
      </c>
    </row>
    <row r="723" spans="1:2" x14ac:dyDescent="0.25">
      <c r="A723" s="5" t="s">
        <v>24</v>
      </c>
      <c r="B723" s="8">
        <v>2997</v>
      </c>
    </row>
    <row r="724" spans="1:2" x14ac:dyDescent="0.25">
      <c r="A724" s="5" t="s">
        <v>25</v>
      </c>
      <c r="B724" s="8">
        <v>123548</v>
      </c>
    </row>
    <row r="725" spans="1:2" x14ac:dyDescent="0.25">
      <c r="A725" s="5" t="s">
        <v>26</v>
      </c>
      <c r="B725" s="8">
        <v>203912</v>
      </c>
    </row>
    <row r="726" spans="1:2" x14ac:dyDescent="0.25">
      <c r="A726" s="5" t="s">
        <v>27</v>
      </c>
      <c r="B726" s="8">
        <v>296422</v>
      </c>
    </row>
    <row r="727" spans="1:2" x14ac:dyDescent="0.25">
      <c r="A727" s="5" t="s">
        <v>2</v>
      </c>
      <c r="B727" s="8">
        <v>3315</v>
      </c>
    </row>
    <row r="728" spans="1:2" x14ac:dyDescent="0.25">
      <c r="A728" s="5" t="s">
        <v>3</v>
      </c>
      <c r="B728" s="8">
        <v>119547</v>
      </c>
    </row>
    <row r="729" spans="1:2" x14ac:dyDescent="0.25">
      <c r="A729" s="5" t="s">
        <v>4</v>
      </c>
      <c r="B729" s="8">
        <v>64474</v>
      </c>
    </row>
    <row r="730" spans="1:2" x14ac:dyDescent="0.25">
      <c r="A730" s="5" t="s">
        <v>5</v>
      </c>
      <c r="B730" s="8">
        <v>435</v>
      </c>
    </row>
    <row r="731" spans="1:2" x14ac:dyDescent="0.25">
      <c r="A731" s="5" t="s">
        <v>6</v>
      </c>
      <c r="B731" s="8">
        <v>18122</v>
      </c>
    </row>
    <row r="732" spans="1:2" x14ac:dyDescent="0.25">
      <c r="A732" s="5" t="s">
        <v>7</v>
      </c>
      <c r="B732" s="8">
        <v>89424</v>
      </c>
    </row>
    <row r="733" spans="1:2" x14ac:dyDescent="0.25">
      <c r="A733" s="5" t="s">
        <v>8</v>
      </c>
      <c r="B733" s="8">
        <v>243047</v>
      </c>
    </row>
    <row r="734" spans="1:2" x14ac:dyDescent="0.25">
      <c r="A734" s="5" t="s">
        <v>9</v>
      </c>
      <c r="B734" s="8">
        <v>68299</v>
      </c>
    </row>
    <row r="735" spans="1:2" x14ac:dyDescent="0.25">
      <c r="A735" s="5" t="s">
        <v>10</v>
      </c>
      <c r="B735" s="8">
        <v>71274</v>
      </c>
    </row>
    <row r="736" spans="1:2" x14ac:dyDescent="0.25">
      <c r="A736" s="5" t="s">
        <v>11</v>
      </c>
      <c r="B736" s="8">
        <v>261795</v>
      </c>
    </row>
    <row r="737" spans="1:2" x14ac:dyDescent="0.25">
      <c r="A737" s="5" t="s">
        <v>12</v>
      </c>
      <c r="B737" s="8">
        <v>169603</v>
      </c>
    </row>
    <row r="738" spans="1:2" x14ac:dyDescent="0.25">
      <c r="A738" s="5" t="s">
        <v>13</v>
      </c>
      <c r="B738" s="8">
        <v>99457</v>
      </c>
    </row>
    <row r="739" spans="1:2" x14ac:dyDescent="0.25">
      <c r="A739" s="5" t="s">
        <v>14</v>
      </c>
      <c r="B739" s="8">
        <v>11344</v>
      </c>
    </row>
    <row r="740" spans="1:2" x14ac:dyDescent="0.25">
      <c r="A740" s="5" t="s">
        <v>28</v>
      </c>
      <c r="B740" s="8">
        <v>11894</v>
      </c>
    </row>
    <row r="741" spans="1:2" x14ac:dyDescent="0.25">
      <c r="A741" s="5" t="s">
        <v>15</v>
      </c>
      <c r="B741" s="8">
        <v>59981</v>
      </c>
    </row>
    <row r="742" spans="1:2" x14ac:dyDescent="0.25">
      <c r="A742" s="5" t="s">
        <v>16</v>
      </c>
      <c r="B742" s="8">
        <v>63256</v>
      </c>
    </row>
    <row r="743" spans="1:2" x14ac:dyDescent="0.25">
      <c r="A743" s="5" t="s">
        <v>17</v>
      </c>
      <c r="B743" s="8">
        <v>334111</v>
      </c>
    </row>
    <row r="744" spans="1:2" x14ac:dyDescent="0.25">
      <c r="A744" s="5" t="s">
        <v>18</v>
      </c>
      <c r="B744" s="8">
        <v>57216</v>
      </c>
    </row>
    <row r="745" spans="1:2" x14ac:dyDescent="0.25">
      <c r="A745" s="5" t="s">
        <v>19</v>
      </c>
      <c r="B745" s="8">
        <v>347093</v>
      </c>
    </row>
    <row r="746" spans="1:2" x14ac:dyDescent="0.25">
      <c r="A746" s="5" t="s">
        <v>20</v>
      </c>
      <c r="B746" s="8">
        <v>45158</v>
      </c>
    </row>
    <row r="747" spans="1:2" x14ac:dyDescent="0.25">
      <c r="A747" s="5" t="s">
        <v>22</v>
      </c>
      <c r="B747" s="8">
        <v>48609</v>
      </c>
    </row>
    <row r="748" spans="1:2" x14ac:dyDescent="0.25">
      <c r="A748" s="5" t="s">
        <v>23</v>
      </c>
      <c r="B748" s="8">
        <v>10954</v>
      </c>
    </row>
    <row r="749" spans="1:2" x14ac:dyDescent="0.25">
      <c r="A749" s="5" t="s">
        <v>24</v>
      </c>
      <c r="B749" s="8">
        <v>1783</v>
      </c>
    </row>
    <row r="750" spans="1:2" x14ac:dyDescent="0.25">
      <c r="A750" s="5" t="s">
        <v>25</v>
      </c>
      <c r="B750" s="8">
        <v>90237</v>
      </c>
    </row>
    <row r="751" spans="1:2" x14ac:dyDescent="0.25">
      <c r="A751" s="5" t="s">
        <v>26</v>
      </c>
      <c r="B751" s="8">
        <v>142322</v>
      </c>
    </row>
    <row r="752" spans="1:2" x14ac:dyDescent="0.25">
      <c r="A752" s="5" t="s">
        <v>27</v>
      </c>
      <c r="B752" s="8">
        <v>224923</v>
      </c>
    </row>
    <row r="753" spans="1:2" x14ac:dyDescent="0.25">
      <c r="A753" s="5" t="s">
        <v>2</v>
      </c>
      <c r="B753" s="8">
        <v>2841.55</v>
      </c>
    </row>
    <row r="754" spans="1:2" x14ac:dyDescent="0.25">
      <c r="A754" s="5" t="s">
        <v>3</v>
      </c>
      <c r="B754" s="8">
        <v>84275.87</v>
      </c>
    </row>
    <row r="755" spans="1:2" x14ac:dyDescent="0.25">
      <c r="A755" s="5" t="s">
        <v>4</v>
      </c>
      <c r="B755" s="8">
        <v>59530.91</v>
      </c>
    </row>
    <row r="756" spans="1:2" x14ac:dyDescent="0.25">
      <c r="A756" s="5" t="s">
        <v>5</v>
      </c>
      <c r="B756" s="8">
        <v>744</v>
      </c>
    </row>
    <row r="757" spans="1:2" x14ac:dyDescent="0.25">
      <c r="A757" s="5" t="s">
        <v>6</v>
      </c>
      <c r="B757" s="8">
        <v>8532.6</v>
      </c>
    </row>
    <row r="758" spans="1:2" x14ac:dyDescent="0.25">
      <c r="A758" s="5" t="s">
        <v>7</v>
      </c>
      <c r="B758" s="8">
        <v>73948.899999999994</v>
      </c>
    </row>
    <row r="759" spans="1:2" x14ac:dyDescent="0.25">
      <c r="A759" s="5" t="s">
        <v>8</v>
      </c>
      <c r="B759" s="8">
        <v>189371.02</v>
      </c>
    </row>
    <row r="760" spans="1:2" x14ac:dyDescent="0.25">
      <c r="A760" s="5" t="s">
        <v>9</v>
      </c>
      <c r="B760" s="8">
        <v>44972.21</v>
      </c>
    </row>
    <row r="761" spans="1:2" x14ac:dyDescent="0.25">
      <c r="A761" s="5" t="s">
        <v>10</v>
      </c>
      <c r="B761" s="8">
        <v>67126.929999999993</v>
      </c>
    </row>
    <row r="762" spans="1:2" x14ac:dyDescent="0.25">
      <c r="A762" s="5" t="s">
        <v>11</v>
      </c>
      <c r="B762" s="8">
        <v>206294.96</v>
      </c>
    </row>
    <row r="763" spans="1:2" x14ac:dyDescent="0.25">
      <c r="A763" s="5" t="s">
        <v>12</v>
      </c>
      <c r="B763" s="8">
        <v>97813.27</v>
      </c>
    </row>
    <row r="764" spans="1:2" x14ac:dyDescent="0.25">
      <c r="A764" s="5" t="s">
        <v>13</v>
      </c>
      <c r="B764" s="8">
        <v>98083</v>
      </c>
    </row>
    <row r="765" spans="1:2" x14ac:dyDescent="0.25">
      <c r="A765" s="5" t="s">
        <v>14</v>
      </c>
      <c r="B765" s="8">
        <v>12206</v>
      </c>
    </row>
    <row r="766" spans="1:2" x14ac:dyDescent="0.25">
      <c r="A766" s="5" t="s">
        <v>28</v>
      </c>
      <c r="B766" s="8">
        <v>5238.45</v>
      </c>
    </row>
    <row r="767" spans="1:2" x14ac:dyDescent="0.25">
      <c r="A767" s="5" t="s">
        <v>15</v>
      </c>
      <c r="B767" s="8">
        <v>38828.089999999997</v>
      </c>
    </row>
    <row r="768" spans="1:2" x14ac:dyDescent="0.25">
      <c r="A768" s="5" t="s">
        <v>16</v>
      </c>
      <c r="B768" s="8">
        <v>63265.03</v>
      </c>
    </row>
    <row r="769" spans="1:2" x14ac:dyDescent="0.25">
      <c r="A769" s="5" t="s">
        <v>17</v>
      </c>
      <c r="B769" s="8">
        <v>263216.86</v>
      </c>
    </row>
    <row r="770" spans="1:2" x14ac:dyDescent="0.25">
      <c r="A770" s="5" t="s">
        <v>18</v>
      </c>
      <c r="B770" s="8">
        <v>51087.78</v>
      </c>
    </row>
    <row r="771" spans="1:2" x14ac:dyDescent="0.25">
      <c r="A771" s="5" t="s">
        <v>19</v>
      </c>
      <c r="B771" s="8">
        <v>276988.5</v>
      </c>
    </row>
    <row r="772" spans="1:2" x14ac:dyDescent="0.25">
      <c r="A772" s="5" t="s">
        <v>20</v>
      </c>
      <c r="B772" s="8">
        <v>28974.59</v>
      </c>
    </row>
    <row r="773" spans="1:2" x14ac:dyDescent="0.25">
      <c r="A773" s="5" t="s">
        <v>22</v>
      </c>
      <c r="B773" s="8">
        <v>31823.63</v>
      </c>
    </row>
    <row r="774" spans="1:2" x14ac:dyDescent="0.25">
      <c r="A774" s="5" t="s">
        <v>23</v>
      </c>
      <c r="B774" s="8">
        <v>3522.31</v>
      </c>
    </row>
    <row r="775" spans="1:2" x14ac:dyDescent="0.25">
      <c r="A775" s="5" t="s">
        <v>24</v>
      </c>
      <c r="B775" s="8">
        <v>1110</v>
      </c>
    </row>
    <row r="776" spans="1:2" x14ac:dyDescent="0.25">
      <c r="A776" s="5" t="s">
        <v>25</v>
      </c>
      <c r="B776" s="8">
        <v>67505.440000000002</v>
      </c>
    </row>
    <row r="777" spans="1:2" x14ac:dyDescent="0.25">
      <c r="A777" s="5" t="s">
        <v>26</v>
      </c>
      <c r="B777" s="8">
        <v>136180.81</v>
      </c>
    </row>
    <row r="778" spans="1:2" x14ac:dyDescent="0.25">
      <c r="A778" s="5" t="s">
        <v>27</v>
      </c>
      <c r="B778" s="8">
        <v>141142.94</v>
      </c>
    </row>
    <row r="779" spans="1:2" x14ac:dyDescent="0.25">
      <c r="A779" s="5" t="s">
        <v>2</v>
      </c>
      <c r="B779" s="8">
        <v>8203</v>
      </c>
    </row>
    <row r="780" spans="1:2" x14ac:dyDescent="0.25">
      <c r="A780" s="5" t="s">
        <v>3</v>
      </c>
      <c r="B780" s="8">
        <v>92660</v>
      </c>
    </row>
    <row r="781" spans="1:2" x14ac:dyDescent="0.25">
      <c r="A781" s="5" t="s">
        <v>4</v>
      </c>
      <c r="B781" s="8">
        <v>134735</v>
      </c>
    </row>
    <row r="782" spans="1:2" x14ac:dyDescent="0.25">
      <c r="A782" s="5" t="s">
        <v>6</v>
      </c>
      <c r="B782" s="8">
        <v>3581</v>
      </c>
    </row>
    <row r="783" spans="1:2" x14ac:dyDescent="0.25">
      <c r="A783" s="5" t="s">
        <v>7</v>
      </c>
      <c r="B783" s="8">
        <v>57058</v>
      </c>
    </row>
    <row r="784" spans="1:2" x14ac:dyDescent="0.25">
      <c r="A784" s="5" t="s">
        <v>8</v>
      </c>
      <c r="B784" s="8">
        <v>248750</v>
      </c>
    </row>
    <row r="785" spans="1:2" x14ac:dyDescent="0.25">
      <c r="A785" s="5" t="s">
        <v>9</v>
      </c>
      <c r="B785" s="8">
        <v>69728</v>
      </c>
    </row>
    <row r="786" spans="1:2" x14ac:dyDescent="0.25">
      <c r="A786" s="5" t="s">
        <v>10</v>
      </c>
      <c r="B786" s="8">
        <v>69203</v>
      </c>
    </row>
    <row r="787" spans="1:2" x14ac:dyDescent="0.25">
      <c r="A787" s="5" t="s">
        <v>11</v>
      </c>
      <c r="B787" s="8">
        <v>217560</v>
      </c>
    </row>
    <row r="788" spans="1:2" x14ac:dyDescent="0.25">
      <c r="A788" s="5" t="s">
        <v>12</v>
      </c>
      <c r="B788" s="8">
        <v>135530</v>
      </c>
    </row>
    <row r="789" spans="1:2" x14ac:dyDescent="0.25">
      <c r="A789" s="5" t="s">
        <v>13</v>
      </c>
      <c r="B789" s="8">
        <v>121136</v>
      </c>
    </row>
    <row r="790" spans="1:2" x14ac:dyDescent="0.25">
      <c r="A790" s="5" t="s">
        <v>14</v>
      </c>
      <c r="B790" s="8">
        <v>12214</v>
      </c>
    </row>
    <row r="791" spans="1:2" x14ac:dyDescent="0.25">
      <c r="A791" s="5" t="s">
        <v>28</v>
      </c>
      <c r="B791" s="8">
        <v>5693</v>
      </c>
    </row>
    <row r="792" spans="1:2" x14ac:dyDescent="0.25">
      <c r="A792" s="5" t="s">
        <v>15</v>
      </c>
      <c r="B792" s="8">
        <v>32564</v>
      </c>
    </row>
    <row r="793" spans="1:2" x14ac:dyDescent="0.25">
      <c r="A793" s="5" t="s">
        <v>16</v>
      </c>
      <c r="B793" s="8">
        <v>48392</v>
      </c>
    </row>
    <row r="794" spans="1:2" x14ac:dyDescent="0.25">
      <c r="A794" s="5" t="s">
        <v>17</v>
      </c>
      <c r="B794" s="8">
        <v>296724</v>
      </c>
    </row>
    <row r="795" spans="1:2" x14ac:dyDescent="0.25">
      <c r="A795" s="5" t="s">
        <v>18</v>
      </c>
      <c r="B795" s="8">
        <v>60529</v>
      </c>
    </row>
    <row r="796" spans="1:2" x14ac:dyDescent="0.25">
      <c r="A796" s="5" t="s">
        <v>19</v>
      </c>
      <c r="B796" s="8">
        <v>312852</v>
      </c>
    </row>
    <row r="797" spans="1:2" x14ac:dyDescent="0.25">
      <c r="A797" s="5" t="s">
        <v>20</v>
      </c>
      <c r="B797" s="8">
        <v>24339</v>
      </c>
    </row>
    <row r="798" spans="1:2" x14ac:dyDescent="0.25">
      <c r="A798" s="5" t="s">
        <v>22</v>
      </c>
      <c r="B798" s="8">
        <v>39882</v>
      </c>
    </row>
    <row r="799" spans="1:2" x14ac:dyDescent="0.25">
      <c r="A799" s="5" t="s">
        <v>23</v>
      </c>
      <c r="B799" s="8">
        <v>1175</v>
      </c>
    </row>
    <row r="800" spans="1:2" x14ac:dyDescent="0.25">
      <c r="A800" s="5" t="s">
        <v>24</v>
      </c>
      <c r="B800" s="8">
        <v>2991</v>
      </c>
    </row>
    <row r="801" spans="1:2" x14ac:dyDescent="0.25">
      <c r="A801" s="5" t="s">
        <v>25</v>
      </c>
      <c r="B801" s="8">
        <v>146437</v>
      </c>
    </row>
    <row r="802" spans="1:2" x14ac:dyDescent="0.25">
      <c r="A802" s="5" t="s">
        <v>26</v>
      </c>
      <c r="B802" s="8">
        <v>145622</v>
      </c>
    </row>
    <row r="803" spans="1:2" x14ac:dyDescent="0.25">
      <c r="A803" s="5" t="s">
        <v>27</v>
      </c>
      <c r="B803" s="8">
        <v>219633</v>
      </c>
    </row>
    <row r="804" spans="1:2" x14ac:dyDescent="0.25">
      <c r="A804" s="5" t="s">
        <v>2</v>
      </c>
      <c r="B804" s="8">
        <v>10854</v>
      </c>
    </row>
    <row r="805" spans="1:2" x14ac:dyDescent="0.25">
      <c r="A805" s="5" t="s">
        <v>3</v>
      </c>
      <c r="B805" s="8">
        <v>120953</v>
      </c>
    </row>
    <row r="806" spans="1:2" x14ac:dyDescent="0.25">
      <c r="A806" s="5" t="s">
        <v>4</v>
      </c>
      <c r="B806" s="8">
        <v>89508</v>
      </c>
    </row>
    <row r="807" spans="1:2" x14ac:dyDescent="0.25">
      <c r="A807" s="5" t="s">
        <v>5</v>
      </c>
      <c r="B807" s="8">
        <v>870</v>
      </c>
    </row>
    <row r="808" spans="1:2" x14ac:dyDescent="0.25">
      <c r="A808" s="5" t="s">
        <v>6</v>
      </c>
      <c r="B808" s="8">
        <v>6765</v>
      </c>
    </row>
    <row r="809" spans="1:2" x14ac:dyDescent="0.25">
      <c r="A809" s="5" t="s">
        <v>7</v>
      </c>
      <c r="B809" s="8">
        <v>58956</v>
      </c>
    </row>
    <row r="810" spans="1:2" x14ac:dyDescent="0.25">
      <c r="A810" s="5" t="s">
        <v>8</v>
      </c>
      <c r="B810" s="8">
        <v>371186</v>
      </c>
    </row>
    <row r="811" spans="1:2" x14ac:dyDescent="0.25">
      <c r="A811" s="5" t="s">
        <v>9</v>
      </c>
      <c r="B811" s="8">
        <v>86102</v>
      </c>
    </row>
    <row r="812" spans="1:2" x14ac:dyDescent="0.25">
      <c r="A812" s="5" t="s">
        <v>10</v>
      </c>
      <c r="B812" s="8">
        <v>96426</v>
      </c>
    </row>
    <row r="813" spans="1:2" x14ac:dyDescent="0.25">
      <c r="A813" s="5" t="s">
        <v>11</v>
      </c>
      <c r="B813" s="8">
        <v>220122</v>
      </c>
    </row>
    <row r="814" spans="1:2" x14ac:dyDescent="0.25">
      <c r="A814" s="5" t="s">
        <v>12</v>
      </c>
      <c r="B814" s="8">
        <v>91438</v>
      </c>
    </row>
    <row r="815" spans="1:2" x14ac:dyDescent="0.25">
      <c r="A815" s="5" t="s">
        <v>13</v>
      </c>
      <c r="B815" s="8">
        <v>92511</v>
      </c>
    </row>
    <row r="816" spans="1:2" x14ac:dyDescent="0.25">
      <c r="A816" s="5" t="s">
        <v>14</v>
      </c>
      <c r="B816" s="8">
        <v>4630</v>
      </c>
    </row>
    <row r="817" spans="1:2" x14ac:dyDescent="0.25">
      <c r="A817" s="5" t="s">
        <v>28</v>
      </c>
      <c r="B817" s="8">
        <v>7943</v>
      </c>
    </row>
    <row r="818" spans="1:2" x14ac:dyDescent="0.25">
      <c r="A818" s="5" t="s">
        <v>15</v>
      </c>
      <c r="B818" s="8">
        <v>64807</v>
      </c>
    </row>
    <row r="819" spans="1:2" x14ac:dyDescent="0.25">
      <c r="A819" s="5" t="s">
        <v>16</v>
      </c>
      <c r="B819" s="8">
        <v>55889</v>
      </c>
    </row>
    <row r="820" spans="1:2" x14ac:dyDescent="0.25">
      <c r="A820" s="5" t="s">
        <v>17</v>
      </c>
      <c r="B820" s="8">
        <v>372500</v>
      </c>
    </row>
    <row r="821" spans="1:2" x14ac:dyDescent="0.25">
      <c r="A821" s="5" t="s">
        <v>18</v>
      </c>
      <c r="B821" s="8">
        <v>62079</v>
      </c>
    </row>
    <row r="822" spans="1:2" x14ac:dyDescent="0.25">
      <c r="A822" s="5" t="s">
        <v>19</v>
      </c>
      <c r="B822" s="8">
        <v>381735</v>
      </c>
    </row>
    <row r="823" spans="1:2" x14ac:dyDescent="0.25">
      <c r="A823" s="5" t="s">
        <v>20</v>
      </c>
      <c r="B823" s="8">
        <v>31265</v>
      </c>
    </row>
    <row r="824" spans="1:2" x14ac:dyDescent="0.25">
      <c r="A824" s="5" t="s">
        <v>22</v>
      </c>
      <c r="B824" s="8">
        <v>44703</v>
      </c>
    </row>
    <row r="825" spans="1:2" x14ac:dyDescent="0.25">
      <c r="A825" s="5" t="s">
        <v>23</v>
      </c>
      <c r="B825" s="8">
        <v>4255</v>
      </c>
    </row>
    <row r="826" spans="1:2" x14ac:dyDescent="0.25">
      <c r="A826" s="5" t="s">
        <v>24</v>
      </c>
      <c r="B826" s="8">
        <v>1553</v>
      </c>
    </row>
    <row r="827" spans="1:2" x14ac:dyDescent="0.25">
      <c r="A827" s="5" t="s">
        <v>25</v>
      </c>
      <c r="B827" s="8">
        <v>81837</v>
      </c>
    </row>
    <row r="828" spans="1:2" x14ac:dyDescent="0.25">
      <c r="A828" s="5" t="s">
        <v>26</v>
      </c>
      <c r="B828" s="8">
        <v>197813</v>
      </c>
    </row>
    <row r="829" spans="1:2" x14ac:dyDescent="0.25">
      <c r="A829" s="5" t="s">
        <v>27</v>
      </c>
      <c r="B829" s="8">
        <v>203876</v>
      </c>
    </row>
    <row r="830" spans="1:2" x14ac:dyDescent="0.25">
      <c r="A830" s="5" t="s">
        <v>2</v>
      </c>
      <c r="B830" s="8">
        <v>7744</v>
      </c>
    </row>
    <row r="831" spans="1:2" x14ac:dyDescent="0.25">
      <c r="A831" s="5" t="s">
        <v>3</v>
      </c>
      <c r="B831" s="8">
        <v>157211</v>
      </c>
    </row>
    <row r="832" spans="1:2" x14ac:dyDescent="0.25">
      <c r="A832" s="5" t="s">
        <v>4</v>
      </c>
      <c r="B832" s="8">
        <v>100435</v>
      </c>
    </row>
    <row r="833" spans="1:2" x14ac:dyDescent="0.25">
      <c r="A833" s="5" t="s">
        <v>5</v>
      </c>
      <c r="B833" s="8">
        <v>309</v>
      </c>
    </row>
    <row r="834" spans="1:2" x14ac:dyDescent="0.25">
      <c r="A834" s="5" t="s">
        <v>6</v>
      </c>
      <c r="B834" s="8">
        <v>6025</v>
      </c>
    </row>
    <row r="835" spans="1:2" x14ac:dyDescent="0.25">
      <c r="A835" s="5" t="s">
        <v>7</v>
      </c>
      <c r="B835" s="8">
        <v>95512</v>
      </c>
    </row>
    <row r="836" spans="1:2" x14ac:dyDescent="0.25">
      <c r="A836" s="5" t="s">
        <v>8</v>
      </c>
      <c r="B836" s="8">
        <v>394184</v>
      </c>
    </row>
    <row r="837" spans="1:2" x14ac:dyDescent="0.25">
      <c r="A837" s="5" t="s">
        <v>9</v>
      </c>
      <c r="B837" s="8">
        <v>101110</v>
      </c>
    </row>
    <row r="838" spans="1:2" x14ac:dyDescent="0.25">
      <c r="A838" s="5" t="s">
        <v>10</v>
      </c>
      <c r="B838" s="8">
        <v>138177</v>
      </c>
    </row>
    <row r="839" spans="1:2" x14ac:dyDescent="0.25">
      <c r="A839" s="5" t="s">
        <v>11</v>
      </c>
      <c r="B839" s="8">
        <v>435845</v>
      </c>
    </row>
    <row r="840" spans="1:2" x14ac:dyDescent="0.25">
      <c r="A840" s="5" t="s">
        <v>12</v>
      </c>
      <c r="B840" s="8">
        <v>168436</v>
      </c>
    </row>
    <row r="841" spans="1:2" x14ac:dyDescent="0.25">
      <c r="A841" s="5" t="s">
        <v>13</v>
      </c>
      <c r="B841" s="8">
        <v>152900</v>
      </c>
    </row>
    <row r="842" spans="1:2" x14ac:dyDescent="0.25">
      <c r="A842" s="5" t="s">
        <v>14</v>
      </c>
      <c r="B842" s="8">
        <v>6098</v>
      </c>
    </row>
    <row r="843" spans="1:2" x14ac:dyDescent="0.25">
      <c r="A843" s="5" t="s">
        <v>28</v>
      </c>
      <c r="B843" s="8">
        <v>14306</v>
      </c>
    </row>
    <row r="844" spans="1:2" x14ac:dyDescent="0.25">
      <c r="A844" s="5" t="s">
        <v>15</v>
      </c>
      <c r="B844" s="8">
        <v>52423</v>
      </c>
    </row>
    <row r="845" spans="1:2" x14ac:dyDescent="0.25">
      <c r="A845" s="5" t="s">
        <v>16</v>
      </c>
      <c r="B845" s="8">
        <v>61712</v>
      </c>
    </row>
    <row r="846" spans="1:2" x14ac:dyDescent="0.25">
      <c r="A846" s="5" t="s">
        <v>17</v>
      </c>
      <c r="B846" s="8">
        <v>391731</v>
      </c>
    </row>
    <row r="847" spans="1:2" x14ac:dyDescent="0.25">
      <c r="A847" s="5" t="s">
        <v>18</v>
      </c>
      <c r="B847" s="8">
        <v>73037</v>
      </c>
    </row>
    <row r="848" spans="1:2" x14ac:dyDescent="0.25">
      <c r="A848" s="5" t="s">
        <v>19</v>
      </c>
      <c r="B848" s="8">
        <v>427785</v>
      </c>
    </row>
    <row r="849" spans="1:2" x14ac:dyDescent="0.25">
      <c r="A849" s="5" t="s">
        <v>20</v>
      </c>
      <c r="B849" s="8">
        <v>47146</v>
      </c>
    </row>
    <row r="850" spans="1:2" x14ac:dyDescent="0.25">
      <c r="A850" s="5" t="s">
        <v>22</v>
      </c>
      <c r="B850" s="8">
        <v>51528</v>
      </c>
    </row>
    <row r="851" spans="1:2" x14ac:dyDescent="0.25">
      <c r="A851" s="5" t="s">
        <v>23</v>
      </c>
      <c r="B851" s="8">
        <v>3994</v>
      </c>
    </row>
    <row r="852" spans="1:2" x14ac:dyDescent="0.25">
      <c r="A852" s="5" t="s">
        <v>24</v>
      </c>
      <c r="B852" s="8">
        <v>823</v>
      </c>
    </row>
    <row r="853" spans="1:2" x14ac:dyDescent="0.25">
      <c r="A853" s="5" t="s">
        <v>25</v>
      </c>
      <c r="B853" s="8">
        <v>92853</v>
      </c>
    </row>
    <row r="854" spans="1:2" x14ac:dyDescent="0.25">
      <c r="A854" s="5" t="s">
        <v>26</v>
      </c>
      <c r="B854" s="8">
        <v>500950</v>
      </c>
    </row>
    <row r="855" spans="1:2" x14ac:dyDescent="0.25">
      <c r="A855" s="5" t="s">
        <v>27</v>
      </c>
      <c r="B855" s="8">
        <v>242025</v>
      </c>
    </row>
    <row r="856" spans="1:2" x14ac:dyDescent="0.25">
      <c r="A856" s="5" t="s">
        <v>2</v>
      </c>
      <c r="B856" s="8">
        <v>14375</v>
      </c>
    </row>
    <row r="857" spans="1:2" x14ac:dyDescent="0.25">
      <c r="A857" s="5" t="s">
        <v>3</v>
      </c>
      <c r="B857" s="8">
        <v>231849</v>
      </c>
    </row>
    <row r="858" spans="1:2" x14ac:dyDescent="0.25">
      <c r="A858" s="5" t="s">
        <v>4</v>
      </c>
      <c r="B858" s="8">
        <v>128233</v>
      </c>
    </row>
    <row r="859" spans="1:2" x14ac:dyDescent="0.25">
      <c r="A859" s="5" t="s">
        <v>5</v>
      </c>
      <c r="B859" s="8">
        <v>1740</v>
      </c>
    </row>
    <row r="860" spans="1:2" x14ac:dyDescent="0.25">
      <c r="A860" s="5" t="s">
        <v>6</v>
      </c>
      <c r="B860" s="8">
        <v>11880</v>
      </c>
    </row>
    <row r="861" spans="1:2" x14ac:dyDescent="0.25">
      <c r="A861" s="5" t="s">
        <v>7</v>
      </c>
      <c r="B861" s="8">
        <v>133602</v>
      </c>
    </row>
    <row r="862" spans="1:2" x14ac:dyDescent="0.25">
      <c r="A862" s="5" t="s">
        <v>8</v>
      </c>
      <c r="B862" s="8">
        <v>646951</v>
      </c>
    </row>
    <row r="863" spans="1:2" x14ac:dyDescent="0.25">
      <c r="A863" s="5" t="s">
        <v>9</v>
      </c>
      <c r="B863" s="8">
        <v>163816</v>
      </c>
    </row>
    <row r="864" spans="1:2" x14ac:dyDescent="0.25">
      <c r="A864" s="5" t="s">
        <v>10</v>
      </c>
      <c r="B864" s="8">
        <v>225819</v>
      </c>
    </row>
    <row r="865" spans="1:2" x14ac:dyDescent="0.25">
      <c r="A865" s="5" t="s">
        <v>11</v>
      </c>
      <c r="B865" s="8">
        <v>543762</v>
      </c>
    </row>
    <row r="866" spans="1:2" x14ac:dyDescent="0.25">
      <c r="A866" s="5" t="s">
        <v>12</v>
      </c>
      <c r="B866" s="8">
        <v>172653</v>
      </c>
    </row>
    <row r="867" spans="1:2" x14ac:dyDescent="0.25">
      <c r="A867" s="5" t="s">
        <v>13</v>
      </c>
      <c r="B867" s="8">
        <v>184296</v>
      </c>
    </row>
    <row r="868" spans="1:2" x14ac:dyDescent="0.25">
      <c r="A868" s="5" t="s">
        <v>14</v>
      </c>
      <c r="B868" s="8">
        <v>905</v>
      </c>
    </row>
    <row r="869" spans="1:2" x14ac:dyDescent="0.25">
      <c r="A869" s="5" t="s">
        <v>28</v>
      </c>
      <c r="B869" s="8">
        <v>10665</v>
      </c>
    </row>
    <row r="870" spans="1:2" x14ac:dyDescent="0.25">
      <c r="A870" s="5" t="s">
        <v>15</v>
      </c>
      <c r="B870" s="8">
        <v>103793</v>
      </c>
    </row>
    <row r="871" spans="1:2" x14ac:dyDescent="0.25">
      <c r="A871" s="5" t="s">
        <v>16</v>
      </c>
      <c r="B871" s="8">
        <v>116045</v>
      </c>
    </row>
    <row r="872" spans="1:2" x14ac:dyDescent="0.25">
      <c r="A872" s="5" t="s">
        <v>17</v>
      </c>
      <c r="B872" s="8">
        <v>480643</v>
      </c>
    </row>
    <row r="873" spans="1:2" x14ac:dyDescent="0.25">
      <c r="A873" s="5" t="s">
        <v>18</v>
      </c>
      <c r="B873" s="8">
        <v>116471</v>
      </c>
    </row>
    <row r="874" spans="1:2" x14ac:dyDescent="0.25">
      <c r="A874" s="5" t="s">
        <v>19</v>
      </c>
      <c r="B874" s="8">
        <v>866122</v>
      </c>
    </row>
    <row r="875" spans="1:2" x14ac:dyDescent="0.25">
      <c r="A875" s="5" t="s">
        <v>20</v>
      </c>
      <c r="B875" s="8">
        <v>71634</v>
      </c>
    </row>
    <row r="876" spans="1:2" x14ac:dyDescent="0.25">
      <c r="A876" s="5" t="s">
        <v>22</v>
      </c>
      <c r="B876" s="8">
        <v>62850</v>
      </c>
    </row>
    <row r="877" spans="1:2" x14ac:dyDescent="0.25">
      <c r="A877" s="5" t="s">
        <v>23</v>
      </c>
      <c r="B877" s="8">
        <v>5110</v>
      </c>
    </row>
    <row r="878" spans="1:2" x14ac:dyDescent="0.25">
      <c r="A878" s="5" t="s">
        <v>24</v>
      </c>
      <c r="B878" s="8">
        <v>3922</v>
      </c>
    </row>
    <row r="879" spans="1:2" x14ac:dyDescent="0.25">
      <c r="A879" s="5" t="s">
        <v>25</v>
      </c>
      <c r="B879" s="8">
        <v>138332</v>
      </c>
    </row>
    <row r="880" spans="1:2" x14ac:dyDescent="0.25">
      <c r="A880" s="5" t="s">
        <v>26</v>
      </c>
      <c r="B880" s="8">
        <v>388693</v>
      </c>
    </row>
    <row r="881" spans="1:2" x14ac:dyDescent="0.25">
      <c r="A881" s="5" t="s">
        <v>27</v>
      </c>
      <c r="B881" s="8">
        <v>338554</v>
      </c>
    </row>
    <row r="882" spans="1:2" x14ac:dyDescent="0.25">
      <c r="A882" s="5" t="s">
        <v>2</v>
      </c>
      <c r="B882" s="8">
        <v>9563.98</v>
      </c>
    </row>
    <row r="883" spans="1:2" x14ac:dyDescent="0.25">
      <c r="A883" s="5" t="s">
        <v>3</v>
      </c>
      <c r="B883" s="8">
        <v>209681</v>
      </c>
    </row>
    <row r="884" spans="1:2" x14ac:dyDescent="0.25">
      <c r="A884" s="5" t="s">
        <v>4</v>
      </c>
      <c r="B884" s="8">
        <v>121618</v>
      </c>
    </row>
    <row r="885" spans="1:2" x14ac:dyDescent="0.25">
      <c r="A885" s="5" t="s">
        <v>5</v>
      </c>
      <c r="B885" s="8">
        <v>2232</v>
      </c>
    </row>
    <row r="886" spans="1:2" x14ac:dyDescent="0.25">
      <c r="A886" s="5" t="s">
        <v>6</v>
      </c>
      <c r="B886" s="8">
        <v>8474.5499999999993</v>
      </c>
    </row>
    <row r="887" spans="1:2" x14ac:dyDescent="0.25">
      <c r="A887" s="5" t="s">
        <v>7</v>
      </c>
      <c r="B887" s="8">
        <v>134757</v>
      </c>
    </row>
    <row r="888" spans="1:2" x14ac:dyDescent="0.25">
      <c r="A888" s="5" t="s">
        <v>8</v>
      </c>
      <c r="B888" s="8">
        <v>496487</v>
      </c>
    </row>
    <row r="889" spans="1:2" x14ac:dyDescent="0.25">
      <c r="A889" s="5" t="s">
        <v>9</v>
      </c>
      <c r="B889" s="8">
        <v>132293</v>
      </c>
    </row>
    <row r="890" spans="1:2" x14ac:dyDescent="0.25">
      <c r="A890" s="5" t="s">
        <v>10</v>
      </c>
      <c r="B890" s="8">
        <v>204868</v>
      </c>
    </row>
    <row r="891" spans="1:2" x14ac:dyDescent="0.25">
      <c r="A891" s="5" t="s">
        <v>11</v>
      </c>
      <c r="B891" s="8">
        <v>417718</v>
      </c>
    </row>
    <row r="892" spans="1:2" x14ac:dyDescent="0.25">
      <c r="A892" s="5" t="s">
        <v>12</v>
      </c>
      <c r="B892" s="8">
        <v>122595</v>
      </c>
    </row>
    <row r="893" spans="1:2" x14ac:dyDescent="0.25">
      <c r="A893" s="5" t="s">
        <v>13</v>
      </c>
      <c r="B893" s="8">
        <v>154873</v>
      </c>
    </row>
    <row r="894" spans="1:2" x14ac:dyDescent="0.25">
      <c r="A894" s="5" t="s">
        <v>14</v>
      </c>
      <c r="B894" s="8">
        <v>5822</v>
      </c>
    </row>
    <row r="895" spans="1:2" x14ac:dyDescent="0.25">
      <c r="A895" s="5" t="s">
        <v>28</v>
      </c>
      <c r="B895" s="8">
        <v>3331</v>
      </c>
    </row>
    <row r="896" spans="1:2" x14ac:dyDescent="0.25">
      <c r="A896" s="5" t="s">
        <v>15</v>
      </c>
      <c r="B896" s="8">
        <v>103679</v>
      </c>
    </row>
    <row r="897" spans="1:2" x14ac:dyDescent="0.25">
      <c r="A897" s="5" t="s">
        <v>16</v>
      </c>
      <c r="B897" s="8">
        <v>94954</v>
      </c>
    </row>
    <row r="898" spans="1:2" x14ac:dyDescent="0.25">
      <c r="A898" s="5" t="s">
        <v>17</v>
      </c>
      <c r="B898" s="8">
        <v>425912</v>
      </c>
    </row>
    <row r="899" spans="1:2" x14ac:dyDescent="0.25">
      <c r="A899" s="5" t="s">
        <v>18</v>
      </c>
      <c r="B899" s="8">
        <v>111173</v>
      </c>
    </row>
    <row r="900" spans="1:2" x14ac:dyDescent="0.25">
      <c r="A900" s="5" t="s">
        <v>19</v>
      </c>
      <c r="B900" s="8">
        <v>726860</v>
      </c>
    </row>
    <row r="901" spans="1:2" x14ac:dyDescent="0.25">
      <c r="A901" s="5" t="s">
        <v>20</v>
      </c>
      <c r="B901" s="8">
        <v>80441</v>
      </c>
    </row>
    <row r="902" spans="1:2" x14ac:dyDescent="0.25">
      <c r="A902" s="5" t="s">
        <v>22</v>
      </c>
      <c r="B902" s="8">
        <v>62570</v>
      </c>
    </row>
    <row r="903" spans="1:2" x14ac:dyDescent="0.25">
      <c r="A903" s="5" t="s">
        <v>23</v>
      </c>
      <c r="B903" s="8">
        <v>5609</v>
      </c>
    </row>
    <row r="904" spans="1:2" x14ac:dyDescent="0.25">
      <c r="A904" s="5" t="s">
        <v>24</v>
      </c>
      <c r="B904" s="8">
        <v>1620</v>
      </c>
    </row>
    <row r="905" spans="1:2" x14ac:dyDescent="0.25">
      <c r="A905" s="5" t="s">
        <v>25</v>
      </c>
      <c r="B905" s="8">
        <v>126803</v>
      </c>
    </row>
    <row r="906" spans="1:2" x14ac:dyDescent="0.25">
      <c r="A906" s="5" t="s">
        <v>26</v>
      </c>
      <c r="B906" s="8">
        <v>326114</v>
      </c>
    </row>
    <row r="907" spans="1:2" x14ac:dyDescent="0.25">
      <c r="A907" s="5" t="s">
        <v>27</v>
      </c>
      <c r="B907" s="8">
        <v>314703</v>
      </c>
    </row>
    <row r="908" spans="1:2" x14ac:dyDescent="0.25">
      <c r="A908" s="5" t="s">
        <v>2</v>
      </c>
      <c r="B908" s="8">
        <v>9704</v>
      </c>
    </row>
    <row r="909" spans="1:2" x14ac:dyDescent="0.25">
      <c r="A909" s="5" t="s">
        <v>3</v>
      </c>
      <c r="B909" s="8">
        <v>166420</v>
      </c>
    </row>
    <row r="910" spans="1:2" x14ac:dyDescent="0.25">
      <c r="A910" s="5" t="s">
        <v>4</v>
      </c>
      <c r="B910" s="8">
        <v>66282</v>
      </c>
    </row>
    <row r="911" spans="1:2" x14ac:dyDescent="0.25">
      <c r="A911" s="5" t="s">
        <v>5</v>
      </c>
      <c r="B911" s="8">
        <v>744</v>
      </c>
    </row>
    <row r="912" spans="1:2" x14ac:dyDescent="0.25">
      <c r="A912" s="5" t="s">
        <v>6</v>
      </c>
      <c r="B912" s="8">
        <v>5345</v>
      </c>
    </row>
    <row r="913" spans="1:2" x14ac:dyDescent="0.25">
      <c r="A913" s="5" t="s">
        <v>7</v>
      </c>
      <c r="B913" s="8">
        <v>90030</v>
      </c>
    </row>
    <row r="914" spans="1:2" x14ac:dyDescent="0.25">
      <c r="A914" s="5" t="s">
        <v>8</v>
      </c>
      <c r="B914" s="8">
        <v>347894</v>
      </c>
    </row>
    <row r="915" spans="1:2" x14ac:dyDescent="0.25">
      <c r="A915" s="5" t="s">
        <v>9</v>
      </c>
      <c r="B915" s="8">
        <v>87406</v>
      </c>
    </row>
    <row r="916" spans="1:2" x14ac:dyDescent="0.25">
      <c r="A916" s="5" t="s">
        <v>10</v>
      </c>
      <c r="B916" s="8">
        <v>116333</v>
      </c>
    </row>
    <row r="917" spans="1:2" x14ac:dyDescent="0.25">
      <c r="A917" s="5" t="s">
        <v>11</v>
      </c>
      <c r="B917" s="8">
        <v>389685</v>
      </c>
    </row>
    <row r="918" spans="1:2" x14ac:dyDescent="0.25">
      <c r="A918" s="5" t="s">
        <v>12</v>
      </c>
      <c r="B918" s="8">
        <v>99146</v>
      </c>
    </row>
    <row r="919" spans="1:2" x14ac:dyDescent="0.25">
      <c r="A919" s="5" t="s">
        <v>13</v>
      </c>
      <c r="B919" s="8">
        <v>119466</v>
      </c>
    </row>
    <row r="920" spans="1:2" x14ac:dyDescent="0.25">
      <c r="A920" s="5" t="s">
        <v>14</v>
      </c>
      <c r="B920" s="8">
        <v>6326</v>
      </c>
    </row>
    <row r="921" spans="1:2" x14ac:dyDescent="0.25">
      <c r="A921" s="5" t="s">
        <v>28</v>
      </c>
      <c r="B921" s="8">
        <v>3295</v>
      </c>
    </row>
    <row r="922" spans="1:2" x14ac:dyDescent="0.25">
      <c r="A922" s="5" t="s">
        <v>15</v>
      </c>
      <c r="B922" s="8">
        <v>40676</v>
      </c>
    </row>
    <row r="923" spans="1:2" x14ac:dyDescent="0.25">
      <c r="A923" s="5" t="s">
        <v>16</v>
      </c>
      <c r="B923" s="8">
        <v>56052</v>
      </c>
    </row>
    <row r="924" spans="1:2" x14ac:dyDescent="0.25">
      <c r="A924" s="5" t="s">
        <v>17</v>
      </c>
      <c r="B924" s="8">
        <v>241614</v>
      </c>
    </row>
    <row r="925" spans="1:2" x14ac:dyDescent="0.25">
      <c r="A925" s="5" t="s">
        <v>18</v>
      </c>
      <c r="B925" s="8">
        <v>56780</v>
      </c>
    </row>
    <row r="926" spans="1:2" x14ac:dyDescent="0.25">
      <c r="A926" s="5" t="s">
        <v>19</v>
      </c>
      <c r="B926" s="8">
        <v>355467</v>
      </c>
    </row>
    <row r="927" spans="1:2" x14ac:dyDescent="0.25">
      <c r="A927" s="5" t="s">
        <v>20</v>
      </c>
      <c r="B927" s="8">
        <v>76676</v>
      </c>
    </row>
    <row r="928" spans="1:2" x14ac:dyDescent="0.25">
      <c r="A928" s="5" t="s">
        <v>22</v>
      </c>
      <c r="B928" s="8">
        <v>51317</v>
      </c>
    </row>
    <row r="929" spans="1:2" x14ac:dyDescent="0.25">
      <c r="A929" s="5" t="s">
        <v>23</v>
      </c>
      <c r="B929" s="8">
        <v>5542</v>
      </c>
    </row>
    <row r="930" spans="1:2" x14ac:dyDescent="0.25">
      <c r="A930" s="5" t="s">
        <v>24</v>
      </c>
      <c r="B930" s="8">
        <v>709</v>
      </c>
    </row>
    <row r="931" spans="1:2" x14ac:dyDescent="0.25">
      <c r="A931" s="5" t="s">
        <v>25</v>
      </c>
      <c r="B931" s="8">
        <v>102068</v>
      </c>
    </row>
    <row r="932" spans="1:2" x14ac:dyDescent="0.25">
      <c r="A932" s="5" t="s">
        <v>26</v>
      </c>
      <c r="B932" s="8">
        <v>177578</v>
      </c>
    </row>
    <row r="933" spans="1:2" x14ac:dyDescent="0.25">
      <c r="A933" s="5" t="s">
        <v>27</v>
      </c>
      <c r="B933" s="8">
        <v>226101</v>
      </c>
    </row>
    <row r="934" spans="1:2" x14ac:dyDescent="0.25">
      <c r="A934" s="5" t="s">
        <v>2</v>
      </c>
      <c r="B934" s="8">
        <v>8454</v>
      </c>
    </row>
    <row r="935" spans="1:2" x14ac:dyDescent="0.25">
      <c r="A935" s="5" t="s">
        <v>3</v>
      </c>
      <c r="B935" s="8">
        <v>110109.34</v>
      </c>
    </row>
    <row r="936" spans="1:2" x14ac:dyDescent="0.25">
      <c r="A936" s="5" t="s">
        <v>4</v>
      </c>
      <c r="B936" s="8">
        <v>52085.46</v>
      </c>
    </row>
    <row r="937" spans="1:2" x14ac:dyDescent="0.25">
      <c r="A937" s="5" t="s">
        <v>6</v>
      </c>
      <c r="B937" s="8">
        <v>5606.84</v>
      </c>
    </row>
    <row r="938" spans="1:2" x14ac:dyDescent="0.25">
      <c r="A938" s="5" t="s">
        <v>7</v>
      </c>
      <c r="B938" s="8">
        <v>92194</v>
      </c>
    </row>
    <row r="939" spans="1:2" x14ac:dyDescent="0.25">
      <c r="A939" s="5" t="s">
        <v>8</v>
      </c>
      <c r="B939" s="8">
        <v>256327</v>
      </c>
    </row>
    <row r="940" spans="1:2" x14ac:dyDescent="0.25">
      <c r="A940" s="5" t="s">
        <v>9</v>
      </c>
      <c r="B940" s="8">
        <v>56524</v>
      </c>
    </row>
    <row r="941" spans="1:2" x14ac:dyDescent="0.25">
      <c r="A941" s="5" t="s">
        <v>10</v>
      </c>
      <c r="B941" s="8">
        <v>96223</v>
      </c>
    </row>
    <row r="942" spans="1:2" x14ac:dyDescent="0.25">
      <c r="A942" s="5" t="s">
        <v>11</v>
      </c>
      <c r="B942" s="8">
        <v>217973.88</v>
      </c>
    </row>
    <row r="943" spans="1:2" x14ac:dyDescent="0.25">
      <c r="A943" s="5" t="s">
        <v>12</v>
      </c>
      <c r="B943" s="8">
        <v>70713.899999999994</v>
      </c>
    </row>
    <row r="944" spans="1:2" x14ac:dyDescent="0.25">
      <c r="A944" s="5" t="s">
        <v>13</v>
      </c>
      <c r="B944" s="8">
        <v>83975</v>
      </c>
    </row>
    <row r="945" spans="1:2" x14ac:dyDescent="0.25">
      <c r="A945" s="5" t="s">
        <v>14</v>
      </c>
      <c r="B945" s="8">
        <v>4928</v>
      </c>
    </row>
    <row r="946" spans="1:2" x14ac:dyDescent="0.25">
      <c r="A946" s="5" t="s">
        <v>28</v>
      </c>
      <c r="B946" s="8">
        <v>590</v>
      </c>
    </row>
    <row r="947" spans="1:2" x14ac:dyDescent="0.25">
      <c r="A947" s="5" t="s">
        <v>15</v>
      </c>
      <c r="B947" s="8">
        <v>29971.759999999998</v>
      </c>
    </row>
    <row r="948" spans="1:2" x14ac:dyDescent="0.25">
      <c r="A948" s="5" t="s">
        <v>16</v>
      </c>
      <c r="B948" s="8">
        <v>39842</v>
      </c>
    </row>
    <row r="949" spans="1:2" x14ac:dyDescent="0.25">
      <c r="A949" s="5" t="s">
        <v>17</v>
      </c>
      <c r="B949" s="8">
        <v>158399</v>
      </c>
    </row>
    <row r="950" spans="1:2" x14ac:dyDescent="0.25">
      <c r="A950" s="5" t="s">
        <v>18</v>
      </c>
      <c r="B950" s="8">
        <v>37735.360000000001</v>
      </c>
    </row>
    <row r="951" spans="1:2" x14ac:dyDescent="0.25">
      <c r="A951" s="5" t="s">
        <v>19</v>
      </c>
      <c r="B951" s="8">
        <v>184150.33</v>
      </c>
    </row>
    <row r="952" spans="1:2" x14ac:dyDescent="0.25">
      <c r="A952" s="5" t="s">
        <v>20</v>
      </c>
      <c r="B952" s="8">
        <v>35341.72</v>
      </c>
    </row>
    <row r="953" spans="1:2" x14ac:dyDescent="0.25">
      <c r="A953" s="5" t="s">
        <v>22</v>
      </c>
      <c r="B953" s="8">
        <v>32043.09</v>
      </c>
    </row>
    <row r="954" spans="1:2" x14ac:dyDescent="0.25">
      <c r="A954" s="5" t="s">
        <v>23</v>
      </c>
      <c r="B954" s="8">
        <v>1080.54</v>
      </c>
    </row>
    <row r="955" spans="1:2" x14ac:dyDescent="0.25">
      <c r="A955" s="5" t="s">
        <v>24</v>
      </c>
      <c r="B955" s="8">
        <v>861.52</v>
      </c>
    </row>
    <row r="956" spans="1:2" x14ac:dyDescent="0.25">
      <c r="A956" s="5" t="s">
        <v>25</v>
      </c>
      <c r="B956" s="8">
        <v>83981.58</v>
      </c>
    </row>
    <row r="957" spans="1:2" x14ac:dyDescent="0.25">
      <c r="A957" s="5" t="s">
        <v>26</v>
      </c>
      <c r="B957" s="8">
        <v>144279.57999999999</v>
      </c>
    </row>
    <row r="958" spans="1:2" x14ac:dyDescent="0.25">
      <c r="A958" s="5" t="s">
        <v>27</v>
      </c>
      <c r="B958" s="8">
        <v>167078.95000000001</v>
      </c>
    </row>
    <row r="959" spans="1:2" x14ac:dyDescent="0.25">
      <c r="A959" s="5" t="s">
        <v>2</v>
      </c>
      <c r="B959" s="8">
        <v>3368.99</v>
      </c>
    </row>
    <row r="960" spans="1:2" x14ac:dyDescent="0.25">
      <c r="A960" s="5" t="s">
        <v>3</v>
      </c>
      <c r="B960" s="8">
        <v>70525.789999999994</v>
      </c>
    </row>
    <row r="961" spans="1:2" x14ac:dyDescent="0.25">
      <c r="A961" s="5" t="s">
        <v>4</v>
      </c>
      <c r="B961" s="8">
        <v>38686.68</v>
      </c>
    </row>
    <row r="962" spans="1:2" x14ac:dyDescent="0.25">
      <c r="A962" s="5" t="s">
        <v>5</v>
      </c>
      <c r="B962" s="8">
        <v>574</v>
      </c>
    </row>
    <row r="963" spans="1:2" x14ac:dyDescent="0.25">
      <c r="A963" s="5" t="s">
        <v>6</v>
      </c>
      <c r="B963" s="8">
        <v>3303</v>
      </c>
    </row>
    <row r="964" spans="1:2" x14ac:dyDescent="0.25">
      <c r="A964" s="5" t="s">
        <v>7</v>
      </c>
      <c r="B964" s="8">
        <v>84366.44</v>
      </c>
    </row>
    <row r="965" spans="1:2" x14ac:dyDescent="0.25">
      <c r="A965" s="5" t="s">
        <v>8</v>
      </c>
      <c r="B965" s="8">
        <v>213886.4</v>
      </c>
    </row>
    <row r="966" spans="1:2" x14ac:dyDescent="0.25">
      <c r="A966" s="5" t="s">
        <v>9</v>
      </c>
      <c r="B966" s="8">
        <v>44423.13</v>
      </c>
    </row>
    <row r="967" spans="1:2" x14ac:dyDescent="0.25">
      <c r="A967" s="5" t="s">
        <v>10</v>
      </c>
      <c r="B967" s="8">
        <v>91036.98</v>
      </c>
    </row>
    <row r="968" spans="1:2" x14ac:dyDescent="0.25">
      <c r="A968" s="5" t="s">
        <v>11</v>
      </c>
      <c r="B968" s="8">
        <v>116690.43</v>
      </c>
    </row>
    <row r="969" spans="1:2" x14ac:dyDescent="0.25">
      <c r="A969" s="5" t="s">
        <v>12</v>
      </c>
      <c r="B969" s="8">
        <v>58210.29</v>
      </c>
    </row>
    <row r="970" spans="1:2" x14ac:dyDescent="0.25">
      <c r="A970" s="5" t="s">
        <v>13</v>
      </c>
      <c r="B970" s="8">
        <v>67229</v>
      </c>
    </row>
    <row r="971" spans="1:2" x14ac:dyDescent="0.25">
      <c r="A971" s="5" t="s">
        <v>14</v>
      </c>
      <c r="B971" s="8">
        <v>6612</v>
      </c>
    </row>
    <row r="972" spans="1:2" x14ac:dyDescent="0.25">
      <c r="A972" s="5" t="s">
        <v>28</v>
      </c>
      <c r="B972" s="8">
        <v>681</v>
      </c>
    </row>
    <row r="973" spans="1:2" x14ac:dyDescent="0.25">
      <c r="A973" s="5" t="s">
        <v>15</v>
      </c>
      <c r="B973" s="8">
        <v>40706.400000000001</v>
      </c>
    </row>
    <row r="974" spans="1:2" x14ac:dyDescent="0.25">
      <c r="A974" s="5" t="s">
        <v>16</v>
      </c>
      <c r="B974" s="8">
        <v>23198.69</v>
      </c>
    </row>
    <row r="975" spans="1:2" x14ac:dyDescent="0.25">
      <c r="A975" s="5" t="s">
        <v>17</v>
      </c>
      <c r="B975" s="8">
        <v>157981.79999999999</v>
      </c>
    </row>
    <row r="976" spans="1:2" x14ac:dyDescent="0.25">
      <c r="A976" s="5" t="s">
        <v>18</v>
      </c>
      <c r="B976" s="8">
        <v>36195.4</v>
      </c>
    </row>
    <row r="977" spans="1:2" x14ac:dyDescent="0.25">
      <c r="A977" s="5" t="s">
        <v>19</v>
      </c>
      <c r="B977" s="8">
        <v>184983.49</v>
      </c>
    </row>
    <row r="978" spans="1:2" x14ac:dyDescent="0.25">
      <c r="A978" s="5" t="s">
        <v>20</v>
      </c>
      <c r="B978" s="8">
        <v>25911.26</v>
      </c>
    </row>
    <row r="979" spans="1:2" x14ac:dyDescent="0.25">
      <c r="A979" s="5" t="s">
        <v>22</v>
      </c>
      <c r="B979" s="8">
        <v>25988.25</v>
      </c>
    </row>
    <row r="980" spans="1:2" x14ac:dyDescent="0.25">
      <c r="A980" s="5" t="s">
        <v>23</v>
      </c>
      <c r="B980" s="8">
        <v>1256.9000000000001</v>
      </c>
    </row>
    <row r="981" spans="1:2" x14ac:dyDescent="0.25">
      <c r="A981" s="5" t="s">
        <v>24</v>
      </c>
      <c r="B981" s="8">
        <v>642</v>
      </c>
    </row>
    <row r="982" spans="1:2" x14ac:dyDescent="0.25">
      <c r="A982" s="5" t="s">
        <v>25</v>
      </c>
      <c r="B982" s="8">
        <v>65272.35</v>
      </c>
    </row>
    <row r="983" spans="1:2" x14ac:dyDescent="0.25">
      <c r="A983" s="5" t="s">
        <v>26</v>
      </c>
      <c r="B983" s="8">
        <v>146535.49</v>
      </c>
    </row>
    <row r="984" spans="1:2" x14ac:dyDescent="0.25">
      <c r="A984" s="5" t="s">
        <v>27</v>
      </c>
      <c r="B984" s="8">
        <v>189718.95</v>
      </c>
    </row>
    <row r="985" spans="1:2" x14ac:dyDescent="0.25">
      <c r="A985" s="5" t="s">
        <v>2</v>
      </c>
      <c r="B985" s="8">
        <v>7244</v>
      </c>
    </row>
    <row r="986" spans="1:2" x14ac:dyDescent="0.25">
      <c r="A986" s="5" t="s">
        <v>3</v>
      </c>
      <c r="B986" s="8">
        <v>101016</v>
      </c>
    </row>
    <row r="987" spans="1:2" x14ac:dyDescent="0.25">
      <c r="A987" s="5" t="s">
        <v>4</v>
      </c>
      <c r="B987" s="8">
        <v>49604</v>
      </c>
    </row>
    <row r="988" spans="1:2" x14ac:dyDescent="0.25">
      <c r="A988" s="5" t="s">
        <v>6</v>
      </c>
      <c r="B988" s="8">
        <v>2691</v>
      </c>
    </row>
    <row r="989" spans="1:2" x14ac:dyDescent="0.25">
      <c r="A989" s="5" t="s">
        <v>7</v>
      </c>
      <c r="B989" s="8">
        <v>73005</v>
      </c>
    </row>
    <row r="990" spans="1:2" x14ac:dyDescent="0.25">
      <c r="A990" s="5" t="s">
        <v>8</v>
      </c>
      <c r="B990" s="8">
        <v>249260</v>
      </c>
    </row>
    <row r="991" spans="1:2" x14ac:dyDescent="0.25">
      <c r="A991" s="5" t="s">
        <v>9</v>
      </c>
      <c r="B991" s="8">
        <v>51775</v>
      </c>
    </row>
    <row r="992" spans="1:2" x14ac:dyDescent="0.25">
      <c r="A992" s="5" t="s">
        <v>10</v>
      </c>
      <c r="B992" s="8">
        <v>65864</v>
      </c>
    </row>
    <row r="993" spans="1:2" x14ac:dyDescent="0.25">
      <c r="A993" s="5" t="s">
        <v>11</v>
      </c>
      <c r="B993" s="8">
        <v>132996</v>
      </c>
    </row>
    <row r="994" spans="1:2" x14ac:dyDescent="0.25">
      <c r="A994" s="5" t="s">
        <v>12</v>
      </c>
      <c r="B994" s="8">
        <v>62308</v>
      </c>
    </row>
    <row r="995" spans="1:2" x14ac:dyDescent="0.25">
      <c r="A995" s="5" t="s">
        <v>13</v>
      </c>
      <c r="B995" s="8">
        <v>71194</v>
      </c>
    </row>
    <row r="996" spans="1:2" x14ac:dyDescent="0.25">
      <c r="A996" s="5" t="s">
        <v>14</v>
      </c>
      <c r="B996" s="8">
        <v>1984</v>
      </c>
    </row>
    <row r="997" spans="1:2" x14ac:dyDescent="0.25">
      <c r="A997" s="5" t="s">
        <v>28</v>
      </c>
      <c r="B997" s="8">
        <v>625</v>
      </c>
    </row>
    <row r="998" spans="1:2" x14ac:dyDescent="0.25">
      <c r="A998" s="5" t="s">
        <v>15</v>
      </c>
      <c r="B998" s="8">
        <v>37122</v>
      </c>
    </row>
    <row r="999" spans="1:2" x14ac:dyDescent="0.25">
      <c r="A999" s="5" t="s">
        <v>16</v>
      </c>
      <c r="B999" s="8">
        <v>34479</v>
      </c>
    </row>
    <row r="1000" spans="1:2" x14ac:dyDescent="0.25">
      <c r="A1000" s="5" t="s">
        <v>17</v>
      </c>
      <c r="B1000" s="8">
        <v>186879</v>
      </c>
    </row>
    <row r="1001" spans="1:2" x14ac:dyDescent="0.25">
      <c r="A1001" s="5" t="s">
        <v>18</v>
      </c>
      <c r="B1001" s="8">
        <v>33726</v>
      </c>
    </row>
    <row r="1002" spans="1:2" x14ac:dyDescent="0.25">
      <c r="A1002" s="5" t="s">
        <v>19</v>
      </c>
      <c r="B1002" s="8">
        <v>213120</v>
      </c>
    </row>
    <row r="1003" spans="1:2" x14ac:dyDescent="0.25">
      <c r="A1003" s="5" t="s">
        <v>20</v>
      </c>
      <c r="B1003" s="8">
        <v>29811</v>
      </c>
    </row>
    <row r="1004" spans="1:2" x14ac:dyDescent="0.25">
      <c r="A1004" s="5" t="s">
        <v>22</v>
      </c>
      <c r="B1004" s="8">
        <v>42231</v>
      </c>
    </row>
    <row r="1005" spans="1:2" x14ac:dyDescent="0.25">
      <c r="A1005" s="5" t="s">
        <v>23</v>
      </c>
      <c r="B1005" s="8">
        <v>3309</v>
      </c>
    </row>
    <row r="1006" spans="1:2" x14ac:dyDescent="0.25">
      <c r="A1006" s="5" t="s">
        <v>24</v>
      </c>
      <c r="B1006" s="8">
        <v>4356</v>
      </c>
    </row>
    <row r="1007" spans="1:2" x14ac:dyDescent="0.25">
      <c r="A1007" s="5" t="s">
        <v>25</v>
      </c>
      <c r="B1007" s="8">
        <v>62520</v>
      </c>
    </row>
    <row r="1008" spans="1:2" x14ac:dyDescent="0.25">
      <c r="A1008" s="5" t="s">
        <v>26</v>
      </c>
      <c r="B1008" s="8">
        <v>154137</v>
      </c>
    </row>
    <row r="1009" spans="1:2" x14ac:dyDescent="0.25">
      <c r="A1009" s="5" t="s">
        <v>27</v>
      </c>
      <c r="B1009" s="8">
        <v>144977</v>
      </c>
    </row>
    <row r="1010" spans="1:2" x14ac:dyDescent="0.25">
      <c r="A1010" s="5" t="s">
        <v>2</v>
      </c>
      <c r="B1010" s="8">
        <v>6043</v>
      </c>
    </row>
    <row r="1011" spans="1:2" x14ac:dyDescent="0.25">
      <c r="A1011" s="5" t="s">
        <v>3</v>
      </c>
      <c r="B1011" s="8">
        <v>89879</v>
      </c>
    </row>
    <row r="1012" spans="1:2" x14ac:dyDescent="0.25">
      <c r="A1012" s="5" t="s">
        <v>4</v>
      </c>
      <c r="B1012" s="8">
        <v>43990</v>
      </c>
    </row>
    <row r="1013" spans="1:2" x14ac:dyDescent="0.25">
      <c r="A1013" s="5" t="s">
        <v>5</v>
      </c>
      <c r="B1013" s="8">
        <v>435</v>
      </c>
    </row>
    <row r="1014" spans="1:2" x14ac:dyDescent="0.25">
      <c r="A1014" s="5" t="s">
        <v>6</v>
      </c>
      <c r="B1014" s="8">
        <v>6299</v>
      </c>
    </row>
    <row r="1015" spans="1:2" x14ac:dyDescent="0.25">
      <c r="A1015" s="5" t="s">
        <v>7</v>
      </c>
      <c r="B1015" s="8">
        <v>101792</v>
      </c>
    </row>
    <row r="1016" spans="1:2" x14ac:dyDescent="0.25">
      <c r="A1016" s="5" t="s">
        <v>8</v>
      </c>
      <c r="B1016" s="8">
        <v>229983</v>
      </c>
    </row>
    <row r="1017" spans="1:2" x14ac:dyDescent="0.25">
      <c r="A1017" s="5" t="s">
        <v>9</v>
      </c>
      <c r="B1017" s="8">
        <v>63943</v>
      </c>
    </row>
    <row r="1018" spans="1:2" x14ac:dyDescent="0.25">
      <c r="A1018" s="5" t="s">
        <v>10</v>
      </c>
      <c r="B1018" s="8">
        <v>75822</v>
      </c>
    </row>
    <row r="1019" spans="1:2" x14ac:dyDescent="0.25">
      <c r="A1019" s="5" t="s">
        <v>11</v>
      </c>
      <c r="B1019" s="8">
        <v>200759</v>
      </c>
    </row>
    <row r="1020" spans="1:2" x14ac:dyDescent="0.25">
      <c r="A1020" s="5" t="s">
        <v>12</v>
      </c>
      <c r="B1020" s="8">
        <v>70075</v>
      </c>
    </row>
    <row r="1021" spans="1:2" x14ac:dyDescent="0.25">
      <c r="A1021" s="5" t="s">
        <v>13</v>
      </c>
      <c r="B1021" s="8">
        <v>66892</v>
      </c>
    </row>
    <row r="1022" spans="1:2" x14ac:dyDescent="0.25">
      <c r="A1022" s="5" t="s">
        <v>14</v>
      </c>
      <c r="B1022" s="8">
        <v>5336</v>
      </c>
    </row>
    <row r="1023" spans="1:2" x14ac:dyDescent="0.25">
      <c r="A1023" s="5" t="s">
        <v>15</v>
      </c>
      <c r="B1023" s="8">
        <v>66957</v>
      </c>
    </row>
    <row r="1024" spans="1:2" x14ac:dyDescent="0.25">
      <c r="A1024" s="5" t="s">
        <v>16</v>
      </c>
      <c r="B1024" s="8">
        <v>19299</v>
      </c>
    </row>
    <row r="1025" spans="1:2" x14ac:dyDescent="0.25">
      <c r="A1025" s="5" t="s">
        <v>17</v>
      </c>
      <c r="B1025" s="8">
        <v>178227</v>
      </c>
    </row>
    <row r="1026" spans="1:2" x14ac:dyDescent="0.25">
      <c r="A1026" s="5" t="s">
        <v>18</v>
      </c>
      <c r="B1026" s="8">
        <v>34665</v>
      </c>
    </row>
    <row r="1027" spans="1:2" x14ac:dyDescent="0.25">
      <c r="A1027" s="5" t="s">
        <v>19</v>
      </c>
      <c r="B1027" s="8">
        <v>233366</v>
      </c>
    </row>
    <row r="1028" spans="1:2" x14ac:dyDescent="0.25">
      <c r="A1028" s="5" t="s">
        <v>20</v>
      </c>
      <c r="B1028" s="8">
        <v>36447</v>
      </c>
    </row>
    <row r="1029" spans="1:2" x14ac:dyDescent="0.25">
      <c r="A1029" s="5" t="s">
        <v>22</v>
      </c>
      <c r="B1029" s="8">
        <v>33467</v>
      </c>
    </row>
    <row r="1030" spans="1:2" x14ac:dyDescent="0.25">
      <c r="A1030" s="5" t="s">
        <v>23</v>
      </c>
      <c r="B1030" s="8">
        <v>1947</v>
      </c>
    </row>
    <row r="1031" spans="1:2" x14ac:dyDescent="0.25">
      <c r="A1031" s="5" t="s">
        <v>24</v>
      </c>
      <c r="B1031" s="8">
        <v>2895</v>
      </c>
    </row>
    <row r="1032" spans="1:2" x14ac:dyDescent="0.25">
      <c r="A1032" s="5" t="s">
        <v>25</v>
      </c>
      <c r="B1032" s="8">
        <v>68202</v>
      </c>
    </row>
    <row r="1033" spans="1:2" x14ac:dyDescent="0.25">
      <c r="A1033" s="5" t="s">
        <v>26</v>
      </c>
      <c r="B1033" s="8">
        <v>127659</v>
      </c>
    </row>
    <row r="1034" spans="1:2" x14ac:dyDescent="0.25">
      <c r="A1034" s="5" t="s">
        <v>27</v>
      </c>
      <c r="B1034" s="8">
        <v>135112</v>
      </c>
    </row>
    <row r="1035" spans="1:2" x14ac:dyDescent="0.25">
      <c r="A1035" s="5" t="s">
        <v>2</v>
      </c>
      <c r="B1035" s="8">
        <v>6666</v>
      </c>
    </row>
    <row r="1036" spans="1:2" x14ac:dyDescent="0.25">
      <c r="A1036" s="5" t="s">
        <v>3</v>
      </c>
      <c r="B1036" s="8">
        <v>109035.1</v>
      </c>
    </row>
    <row r="1037" spans="1:2" x14ac:dyDescent="0.25">
      <c r="A1037" s="5" t="s">
        <v>4</v>
      </c>
      <c r="B1037" s="8">
        <v>61553.3</v>
      </c>
    </row>
    <row r="1038" spans="1:2" x14ac:dyDescent="0.25">
      <c r="A1038" s="5" t="s">
        <v>5</v>
      </c>
      <c r="B1038" s="8">
        <v>574</v>
      </c>
    </row>
    <row r="1039" spans="1:2" x14ac:dyDescent="0.25">
      <c r="A1039" s="5" t="s">
        <v>6</v>
      </c>
      <c r="B1039" s="8">
        <v>2344</v>
      </c>
    </row>
    <row r="1040" spans="1:2" x14ac:dyDescent="0.25">
      <c r="A1040" s="5" t="s">
        <v>7</v>
      </c>
      <c r="B1040" s="8">
        <v>103538</v>
      </c>
    </row>
    <row r="1041" spans="1:2" x14ac:dyDescent="0.25">
      <c r="A1041" s="5" t="s">
        <v>8</v>
      </c>
      <c r="B1041" s="8">
        <v>370503.6</v>
      </c>
    </row>
    <row r="1042" spans="1:2" x14ac:dyDescent="0.25">
      <c r="A1042" s="5" t="s">
        <v>9</v>
      </c>
      <c r="B1042" s="8">
        <v>99057.4</v>
      </c>
    </row>
    <row r="1043" spans="1:2" x14ac:dyDescent="0.25">
      <c r="A1043" s="5" t="s">
        <v>10</v>
      </c>
      <c r="B1043" s="8">
        <v>112911</v>
      </c>
    </row>
    <row r="1044" spans="1:2" x14ac:dyDescent="0.25">
      <c r="A1044" s="5" t="s">
        <v>11</v>
      </c>
      <c r="B1044" s="8">
        <v>202469.5</v>
      </c>
    </row>
    <row r="1045" spans="1:2" x14ac:dyDescent="0.25">
      <c r="A1045" s="5" t="s">
        <v>12</v>
      </c>
      <c r="B1045" s="8">
        <v>94908.5</v>
      </c>
    </row>
    <row r="1046" spans="1:2" x14ac:dyDescent="0.25">
      <c r="A1046" s="5" t="s">
        <v>13</v>
      </c>
      <c r="B1046" s="8">
        <v>85482</v>
      </c>
    </row>
    <row r="1047" spans="1:2" x14ac:dyDescent="0.25">
      <c r="A1047" s="5" t="s">
        <v>14</v>
      </c>
      <c r="B1047" s="8">
        <v>6358</v>
      </c>
    </row>
    <row r="1048" spans="1:2" x14ac:dyDescent="0.25">
      <c r="A1048" s="5" t="s">
        <v>28</v>
      </c>
      <c r="B1048" s="8">
        <v>265</v>
      </c>
    </row>
    <row r="1049" spans="1:2" x14ac:dyDescent="0.25">
      <c r="A1049" s="5" t="s">
        <v>15</v>
      </c>
      <c r="B1049" s="8">
        <v>76161</v>
      </c>
    </row>
    <row r="1050" spans="1:2" x14ac:dyDescent="0.25">
      <c r="A1050" s="5" t="s">
        <v>16</v>
      </c>
      <c r="B1050" s="8">
        <v>31033.5</v>
      </c>
    </row>
    <row r="1051" spans="1:2" x14ac:dyDescent="0.25">
      <c r="A1051" s="5" t="s">
        <v>17</v>
      </c>
      <c r="B1051" s="8">
        <v>276722.59999999998</v>
      </c>
    </row>
    <row r="1052" spans="1:2" x14ac:dyDescent="0.25">
      <c r="A1052" s="5" t="s">
        <v>18</v>
      </c>
      <c r="B1052" s="8">
        <v>51493</v>
      </c>
    </row>
    <row r="1053" spans="1:2" x14ac:dyDescent="0.25">
      <c r="A1053" s="5" t="s">
        <v>19</v>
      </c>
      <c r="B1053" s="8">
        <v>379925</v>
      </c>
    </row>
    <row r="1054" spans="1:2" x14ac:dyDescent="0.25">
      <c r="A1054" s="5" t="s">
        <v>20</v>
      </c>
      <c r="B1054" s="8">
        <v>39748.5</v>
      </c>
    </row>
    <row r="1055" spans="1:2" x14ac:dyDescent="0.25">
      <c r="A1055" s="5" t="s">
        <v>22</v>
      </c>
      <c r="B1055" s="8">
        <v>41911.4</v>
      </c>
    </row>
    <row r="1056" spans="1:2" x14ac:dyDescent="0.25">
      <c r="A1056" s="5" t="s">
        <v>23</v>
      </c>
      <c r="B1056" s="8">
        <v>1336.4</v>
      </c>
    </row>
    <row r="1057" spans="1:2" x14ac:dyDescent="0.25">
      <c r="A1057" s="5" t="s">
        <v>24</v>
      </c>
      <c r="B1057" s="8">
        <v>3702.2</v>
      </c>
    </row>
    <row r="1058" spans="1:2" x14ac:dyDescent="0.25">
      <c r="A1058" s="5" t="s">
        <v>25</v>
      </c>
      <c r="B1058" s="8">
        <v>84170.2</v>
      </c>
    </row>
    <row r="1059" spans="1:2" x14ac:dyDescent="0.25">
      <c r="A1059" s="5" t="s">
        <v>26</v>
      </c>
      <c r="B1059" s="8">
        <v>170132.7</v>
      </c>
    </row>
    <row r="1060" spans="1:2" x14ac:dyDescent="0.25">
      <c r="A1060" s="5" t="s">
        <v>27</v>
      </c>
      <c r="B1060" s="8">
        <v>222885.9</v>
      </c>
    </row>
    <row r="1061" spans="1:2" x14ac:dyDescent="0.25">
      <c r="A1061" s="5" t="s">
        <v>2</v>
      </c>
      <c r="B1061" s="8">
        <v>5929.96</v>
      </c>
    </row>
    <row r="1062" spans="1:2" x14ac:dyDescent="0.25">
      <c r="A1062" s="5" t="s">
        <v>3</v>
      </c>
      <c r="B1062" s="8">
        <v>93037.16</v>
      </c>
    </row>
    <row r="1063" spans="1:2" x14ac:dyDescent="0.25">
      <c r="A1063" s="5" t="s">
        <v>4</v>
      </c>
      <c r="B1063" s="8">
        <v>56312.49</v>
      </c>
    </row>
    <row r="1064" spans="1:2" x14ac:dyDescent="0.25">
      <c r="A1064" s="5" t="s">
        <v>5</v>
      </c>
      <c r="B1064" s="8">
        <v>2018</v>
      </c>
    </row>
    <row r="1065" spans="1:2" x14ac:dyDescent="0.25">
      <c r="A1065" s="5" t="s">
        <v>6</v>
      </c>
      <c r="B1065" s="8">
        <v>7242.71</v>
      </c>
    </row>
    <row r="1066" spans="1:2" x14ac:dyDescent="0.25">
      <c r="A1066" s="5" t="s">
        <v>7</v>
      </c>
      <c r="B1066" s="8">
        <v>104404.48</v>
      </c>
    </row>
    <row r="1067" spans="1:2" x14ac:dyDescent="0.25">
      <c r="A1067" s="5" t="s">
        <v>8</v>
      </c>
      <c r="B1067" s="8">
        <v>309134.33</v>
      </c>
    </row>
    <row r="1068" spans="1:2" x14ac:dyDescent="0.25">
      <c r="A1068" s="5" t="s">
        <v>9</v>
      </c>
      <c r="B1068" s="8">
        <v>75113.14</v>
      </c>
    </row>
    <row r="1069" spans="1:2" x14ac:dyDescent="0.25">
      <c r="A1069" s="5" t="s">
        <v>10</v>
      </c>
      <c r="B1069" s="8">
        <v>109404.04</v>
      </c>
    </row>
    <row r="1070" spans="1:2" x14ac:dyDescent="0.25">
      <c r="A1070" s="5" t="s">
        <v>11</v>
      </c>
      <c r="B1070" s="8">
        <v>173260.48</v>
      </c>
    </row>
    <row r="1071" spans="1:2" x14ac:dyDescent="0.25">
      <c r="A1071" s="5" t="s">
        <v>12</v>
      </c>
      <c r="B1071" s="8">
        <v>58806.79</v>
      </c>
    </row>
    <row r="1072" spans="1:2" x14ac:dyDescent="0.25">
      <c r="A1072" s="5" t="s">
        <v>13</v>
      </c>
      <c r="B1072" s="8">
        <v>66559</v>
      </c>
    </row>
    <row r="1073" spans="1:2" x14ac:dyDescent="0.25">
      <c r="A1073" s="5" t="s">
        <v>14</v>
      </c>
      <c r="B1073" s="8">
        <v>2988</v>
      </c>
    </row>
    <row r="1074" spans="1:2" x14ac:dyDescent="0.25">
      <c r="A1074" s="5" t="s">
        <v>28</v>
      </c>
      <c r="B1074" s="8">
        <v>722.89</v>
      </c>
    </row>
    <row r="1075" spans="1:2" x14ac:dyDescent="0.25">
      <c r="A1075" s="5" t="s">
        <v>15</v>
      </c>
      <c r="B1075" s="8">
        <v>54390.55</v>
      </c>
    </row>
    <row r="1076" spans="1:2" x14ac:dyDescent="0.25">
      <c r="A1076" s="5" t="s">
        <v>16</v>
      </c>
      <c r="B1076" s="8">
        <v>22135.96</v>
      </c>
    </row>
    <row r="1077" spans="1:2" x14ac:dyDescent="0.25">
      <c r="A1077" s="5" t="s">
        <v>17</v>
      </c>
      <c r="B1077" s="8">
        <v>253441.6</v>
      </c>
    </row>
    <row r="1078" spans="1:2" x14ac:dyDescent="0.25">
      <c r="A1078" s="5" t="s">
        <v>18</v>
      </c>
      <c r="B1078" s="8">
        <v>54506.04</v>
      </c>
    </row>
    <row r="1079" spans="1:2" x14ac:dyDescent="0.25">
      <c r="A1079" s="5" t="s">
        <v>19</v>
      </c>
      <c r="B1079" s="8">
        <v>299531.27</v>
      </c>
    </row>
    <row r="1080" spans="1:2" x14ac:dyDescent="0.25">
      <c r="A1080" s="5" t="s">
        <v>20</v>
      </c>
      <c r="B1080" s="8">
        <v>47290.66</v>
      </c>
    </row>
    <row r="1081" spans="1:2" x14ac:dyDescent="0.25">
      <c r="A1081" s="5" t="s">
        <v>22</v>
      </c>
      <c r="B1081" s="8">
        <v>42276.07</v>
      </c>
    </row>
    <row r="1082" spans="1:2" x14ac:dyDescent="0.25">
      <c r="A1082" s="5" t="s">
        <v>24</v>
      </c>
      <c r="B1082" s="8">
        <v>2075.08</v>
      </c>
    </row>
    <row r="1083" spans="1:2" x14ac:dyDescent="0.25">
      <c r="A1083" s="5" t="s">
        <v>25</v>
      </c>
      <c r="B1083" s="8">
        <v>96237.4</v>
      </c>
    </row>
    <row r="1084" spans="1:2" x14ac:dyDescent="0.25">
      <c r="A1084" s="5" t="s">
        <v>26</v>
      </c>
      <c r="B1084" s="8">
        <v>167193.67000000001</v>
      </c>
    </row>
    <row r="1085" spans="1:2" x14ac:dyDescent="0.25">
      <c r="A1085" s="5" t="s">
        <v>27</v>
      </c>
      <c r="B1085" s="8">
        <v>189733.03</v>
      </c>
    </row>
    <row r="1086" spans="1:2" x14ac:dyDescent="0.25">
      <c r="A1086" s="5" t="s">
        <v>2</v>
      </c>
      <c r="B1086" s="8">
        <v>3571</v>
      </c>
    </row>
    <row r="1087" spans="1:2" x14ac:dyDescent="0.25">
      <c r="A1087" s="5" t="s">
        <v>3</v>
      </c>
      <c r="B1087" s="8">
        <v>78825</v>
      </c>
    </row>
    <row r="1088" spans="1:2" x14ac:dyDescent="0.25">
      <c r="A1088" s="5" t="s">
        <v>4</v>
      </c>
      <c r="B1088" s="8">
        <v>50985</v>
      </c>
    </row>
    <row r="1089" spans="1:2" x14ac:dyDescent="0.25">
      <c r="A1089" s="5" t="s">
        <v>6</v>
      </c>
      <c r="B1089" s="8">
        <v>2450</v>
      </c>
    </row>
    <row r="1090" spans="1:2" x14ac:dyDescent="0.25">
      <c r="A1090" s="5" t="s">
        <v>7</v>
      </c>
      <c r="B1090" s="8">
        <v>80826</v>
      </c>
    </row>
    <row r="1091" spans="1:2" x14ac:dyDescent="0.25">
      <c r="A1091" s="5" t="s">
        <v>8</v>
      </c>
      <c r="B1091" s="8">
        <v>321946</v>
      </c>
    </row>
    <row r="1092" spans="1:2" x14ac:dyDescent="0.25">
      <c r="A1092" s="5" t="s">
        <v>9</v>
      </c>
      <c r="B1092" s="8">
        <v>53252</v>
      </c>
    </row>
    <row r="1093" spans="1:2" x14ac:dyDescent="0.25">
      <c r="A1093" s="5" t="s">
        <v>10</v>
      </c>
      <c r="B1093" s="8">
        <v>82337</v>
      </c>
    </row>
    <row r="1094" spans="1:2" x14ac:dyDescent="0.25">
      <c r="A1094" s="5" t="s">
        <v>11</v>
      </c>
      <c r="B1094" s="8">
        <v>177769</v>
      </c>
    </row>
    <row r="1095" spans="1:2" x14ac:dyDescent="0.25">
      <c r="A1095" s="5" t="s">
        <v>12</v>
      </c>
      <c r="B1095" s="8">
        <v>59329</v>
      </c>
    </row>
    <row r="1096" spans="1:2" x14ac:dyDescent="0.25">
      <c r="A1096" s="5" t="s">
        <v>13</v>
      </c>
      <c r="B1096" s="8">
        <v>74694</v>
      </c>
    </row>
    <row r="1097" spans="1:2" x14ac:dyDescent="0.25">
      <c r="A1097" s="5" t="s">
        <v>14</v>
      </c>
      <c r="B1097" s="8">
        <v>3980</v>
      </c>
    </row>
    <row r="1098" spans="1:2" x14ac:dyDescent="0.25">
      <c r="A1098" s="5" t="s">
        <v>28</v>
      </c>
      <c r="B1098" s="8">
        <v>1430</v>
      </c>
    </row>
    <row r="1099" spans="1:2" x14ac:dyDescent="0.25">
      <c r="A1099" s="5" t="s">
        <v>15</v>
      </c>
      <c r="B1099" s="8">
        <v>34180</v>
      </c>
    </row>
    <row r="1100" spans="1:2" x14ac:dyDescent="0.25">
      <c r="A1100" s="5" t="s">
        <v>16</v>
      </c>
      <c r="B1100" s="8">
        <v>12149</v>
      </c>
    </row>
    <row r="1101" spans="1:2" x14ac:dyDescent="0.25">
      <c r="A1101" s="5" t="s">
        <v>17</v>
      </c>
      <c r="B1101" s="8">
        <v>164075</v>
      </c>
    </row>
    <row r="1102" spans="1:2" x14ac:dyDescent="0.25">
      <c r="A1102" s="5" t="s">
        <v>18</v>
      </c>
      <c r="B1102" s="8">
        <v>30636</v>
      </c>
    </row>
    <row r="1103" spans="1:2" x14ac:dyDescent="0.25">
      <c r="A1103" s="5" t="s">
        <v>19</v>
      </c>
      <c r="B1103" s="8">
        <v>239067</v>
      </c>
    </row>
    <row r="1104" spans="1:2" x14ac:dyDescent="0.25">
      <c r="A1104" s="5" t="s">
        <v>20</v>
      </c>
      <c r="B1104" s="8">
        <v>40919</v>
      </c>
    </row>
    <row r="1105" spans="1:2" x14ac:dyDescent="0.25">
      <c r="A1105" s="5" t="s">
        <v>22</v>
      </c>
      <c r="B1105" s="8">
        <v>38930</v>
      </c>
    </row>
    <row r="1106" spans="1:2" x14ac:dyDescent="0.25">
      <c r="A1106" s="5" t="s">
        <v>23</v>
      </c>
      <c r="B1106" s="8">
        <v>1155</v>
      </c>
    </row>
    <row r="1107" spans="1:2" x14ac:dyDescent="0.25">
      <c r="A1107" s="5" t="s">
        <v>24</v>
      </c>
      <c r="B1107" s="8">
        <v>1611</v>
      </c>
    </row>
    <row r="1108" spans="1:2" x14ac:dyDescent="0.25">
      <c r="A1108" s="5" t="s">
        <v>25</v>
      </c>
      <c r="B1108" s="8">
        <v>76822</v>
      </c>
    </row>
    <row r="1109" spans="1:2" x14ac:dyDescent="0.25">
      <c r="A1109" s="5" t="s">
        <v>26</v>
      </c>
      <c r="B1109" s="8">
        <v>144581</v>
      </c>
    </row>
    <row r="1110" spans="1:2" x14ac:dyDescent="0.25">
      <c r="A1110" s="5" t="s">
        <v>27</v>
      </c>
      <c r="B1110" s="8">
        <v>173484</v>
      </c>
    </row>
    <row r="1111" spans="1:2" x14ac:dyDescent="0.25">
      <c r="A1111" s="5" t="s">
        <v>2</v>
      </c>
      <c r="B1111" s="8">
        <v>3934</v>
      </c>
    </row>
    <row r="1112" spans="1:2" x14ac:dyDescent="0.25">
      <c r="A1112" s="5" t="s">
        <v>3</v>
      </c>
      <c r="B1112" s="8">
        <v>77140</v>
      </c>
    </row>
    <row r="1113" spans="1:2" x14ac:dyDescent="0.25">
      <c r="A1113" s="5" t="s">
        <v>4</v>
      </c>
      <c r="B1113" s="8">
        <v>66511</v>
      </c>
    </row>
    <row r="1114" spans="1:2" x14ac:dyDescent="0.25">
      <c r="A1114" s="5" t="s">
        <v>6</v>
      </c>
      <c r="B1114" s="8">
        <v>620</v>
      </c>
    </row>
    <row r="1115" spans="1:2" x14ac:dyDescent="0.25">
      <c r="A1115" s="5" t="s">
        <v>7</v>
      </c>
      <c r="B1115" s="8">
        <v>92274</v>
      </c>
    </row>
    <row r="1116" spans="1:2" x14ac:dyDescent="0.25">
      <c r="A1116" s="5" t="s">
        <v>8</v>
      </c>
      <c r="B1116" s="8">
        <v>320003</v>
      </c>
    </row>
    <row r="1117" spans="1:2" x14ac:dyDescent="0.25">
      <c r="A1117" s="5" t="s">
        <v>9</v>
      </c>
      <c r="B1117" s="8">
        <v>59756</v>
      </c>
    </row>
    <row r="1118" spans="1:2" x14ac:dyDescent="0.25">
      <c r="A1118" s="5" t="s">
        <v>10</v>
      </c>
      <c r="B1118" s="8">
        <v>96040</v>
      </c>
    </row>
    <row r="1119" spans="1:2" x14ac:dyDescent="0.25">
      <c r="A1119" s="5" t="s">
        <v>11</v>
      </c>
      <c r="B1119" s="8">
        <v>80880</v>
      </c>
    </row>
    <row r="1120" spans="1:2" x14ac:dyDescent="0.25">
      <c r="A1120" s="5" t="s">
        <v>12</v>
      </c>
      <c r="B1120" s="8">
        <v>70962</v>
      </c>
    </row>
    <row r="1121" spans="1:2" x14ac:dyDescent="0.25">
      <c r="A1121" s="5" t="s">
        <v>13</v>
      </c>
      <c r="B1121" s="8">
        <v>50208</v>
      </c>
    </row>
    <row r="1122" spans="1:2" x14ac:dyDescent="0.25">
      <c r="A1122" s="5" t="s">
        <v>14</v>
      </c>
      <c r="B1122" s="8">
        <v>3916</v>
      </c>
    </row>
    <row r="1123" spans="1:2" x14ac:dyDescent="0.25">
      <c r="A1123" s="5" t="s">
        <v>28</v>
      </c>
      <c r="B1123" s="8">
        <v>795</v>
      </c>
    </row>
    <row r="1124" spans="1:2" x14ac:dyDescent="0.25">
      <c r="A1124" s="5" t="s">
        <v>15</v>
      </c>
      <c r="B1124" s="8">
        <v>24775</v>
      </c>
    </row>
    <row r="1125" spans="1:2" x14ac:dyDescent="0.25">
      <c r="A1125" s="5" t="s">
        <v>16</v>
      </c>
      <c r="B1125" s="8">
        <v>10246</v>
      </c>
    </row>
    <row r="1126" spans="1:2" x14ac:dyDescent="0.25">
      <c r="A1126" s="5" t="s">
        <v>17</v>
      </c>
      <c r="B1126" s="8">
        <v>144606</v>
      </c>
    </row>
    <row r="1127" spans="1:2" x14ac:dyDescent="0.25">
      <c r="A1127" s="5" t="s">
        <v>18</v>
      </c>
      <c r="B1127" s="8">
        <v>22011</v>
      </c>
    </row>
    <row r="1128" spans="1:2" x14ac:dyDescent="0.25">
      <c r="A1128" s="5" t="s">
        <v>19</v>
      </c>
      <c r="B1128" s="8">
        <v>235459</v>
      </c>
    </row>
    <row r="1129" spans="1:2" x14ac:dyDescent="0.25">
      <c r="A1129" s="5" t="s">
        <v>20</v>
      </c>
      <c r="B1129" s="8">
        <v>30529</v>
      </c>
    </row>
    <row r="1130" spans="1:2" x14ac:dyDescent="0.25">
      <c r="A1130" s="5" t="s">
        <v>22</v>
      </c>
      <c r="B1130" s="8">
        <v>29367</v>
      </c>
    </row>
    <row r="1131" spans="1:2" x14ac:dyDescent="0.25">
      <c r="A1131" s="5" t="s">
        <v>23</v>
      </c>
      <c r="B1131" s="8">
        <v>4953</v>
      </c>
    </row>
    <row r="1132" spans="1:2" x14ac:dyDescent="0.25">
      <c r="A1132" s="5" t="s">
        <v>24</v>
      </c>
      <c r="B1132" s="8">
        <v>1897</v>
      </c>
    </row>
    <row r="1133" spans="1:2" x14ac:dyDescent="0.25">
      <c r="A1133" s="5" t="s">
        <v>25</v>
      </c>
      <c r="B1133" s="8">
        <v>95617</v>
      </c>
    </row>
    <row r="1134" spans="1:2" x14ac:dyDescent="0.25">
      <c r="A1134" s="5" t="s">
        <v>26</v>
      </c>
      <c r="B1134" s="8">
        <v>136098</v>
      </c>
    </row>
    <row r="1135" spans="1:2" x14ac:dyDescent="0.25">
      <c r="A1135" s="5" t="s">
        <v>27</v>
      </c>
      <c r="B1135" s="8">
        <v>238141</v>
      </c>
    </row>
    <row r="1136" spans="1:2" x14ac:dyDescent="0.25">
      <c r="A1136" s="5" t="s">
        <v>2</v>
      </c>
      <c r="B1136" s="8">
        <v>4260</v>
      </c>
    </row>
    <row r="1137" spans="1:2" x14ac:dyDescent="0.25">
      <c r="A1137" s="5" t="s">
        <v>3</v>
      </c>
      <c r="B1137" s="8">
        <v>86779</v>
      </c>
    </row>
    <row r="1138" spans="1:2" x14ac:dyDescent="0.25">
      <c r="A1138" s="5" t="s">
        <v>4</v>
      </c>
      <c r="B1138" s="8">
        <v>61466</v>
      </c>
    </row>
    <row r="1139" spans="1:2" x14ac:dyDescent="0.25">
      <c r="A1139" s="5" t="s">
        <v>6</v>
      </c>
      <c r="B1139" s="8">
        <v>5547</v>
      </c>
    </row>
    <row r="1140" spans="1:2" x14ac:dyDescent="0.25">
      <c r="A1140" s="5" t="s">
        <v>7</v>
      </c>
      <c r="B1140" s="8">
        <v>74691</v>
      </c>
    </row>
    <row r="1141" spans="1:2" x14ac:dyDescent="0.25">
      <c r="A1141" s="5" t="s">
        <v>8</v>
      </c>
      <c r="B1141" s="8">
        <v>351996</v>
      </c>
    </row>
    <row r="1142" spans="1:2" x14ac:dyDescent="0.25">
      <c r="A1142" s="5" t="s">
        <v>9</v>
      </c>
      <c r="B1142" s="8">
        <v>57443</v>
      </c>
    </row>
    <row r="1143" spans="1:2" x14ac:dyDescent="0.25">
      <c r="A1143" s="5" t="s">
        <v>10</v>
      </c>
      <c r="B1143" s="8">
        <v>59767</v>
      </c>
    </row>
    <row r="1144" spans="1:2" x14ac:dyDescent="0.25">
      <c r="A1144" s="5" t="s">
        <v>11</v>
      </c>
      <c r="B1144" s="8">
        <v>83843</v>
      </c>
    </row>
    <row r="1145" spans="1:2" x14ac:dyDescent="0.25">
      <c r="A1145" s="5" t="s">
        <v>12</v>
      </c>
      <c r="B1145" s="8">
        <v>63077</v>
      </c>
    </row>
    <row r="1146" spans="1:2" x14ac:dyDescent="0.25">
      <c r="A1146" s="5" t="s">
        <v>13</v>
      </c>
      <c r="B1146" s="8">
        <v>54551</v>
      </c>
    </row>
    <row r="1147" spans="1:2" x14ac:dyDescent="0.25">
      <c r="A1147" s="5" t="s">
        <v>14</v>
      </c>
      <c r="B1147" s="8">
        <v>8834</v>
      </c>
    </row>
    <row r="1148" spans="1:2" x14ac:dyDescent="0.25">
      <c r="A1148" s="5" t="s">
        <v>28</v>
      </c>
      <c r="B1148" s="8">
        <v>625</v>
      </c>
    </row>
    <row r="1149" spans="1:2" x14ac:dyDescent="0.25">
      <c r="A1149" s="5" t="s">
        <v>15</v>
      </c>
      <c r="B1149" s="8">
        <v>38630</v>
      </c>
    </row>
    <row r="1150" spans="1:2" x14ac:dyDescent="0.25">
      <c r="A1150" s="5" t="s">
        <v>16</v>
      </c>
      <c r="B1150" s="8">
        <v>30534</v>
      </c>
    </row>
    <row r="1151" spans="1:2" x14ac:dyDescent="0.25">
      <c r="A1151" s="5" t="s">
        <v>17</v>
      </c>
      <c r="B1151" s="8">
        <v>169816</v>
      </c>
    </row>
    <row r="1152" spans="1:2" x14ac:dyDescent="0.25">
      <c r="A1152" s="5" t="s">
        <v>18</v>
      </c>
      <c r="B1152" s="8">
        <v>21860</v>
      </c>
    </row>
    <row r="1153" spans="1:2" x14ac:dyDescent="0.25">
      <c r="A1153" s="5" t="s">
        <v>19</v>
      </c>
      <c r="B1153" s="8">
        <v>315621</v>
      </c>
    </row>
    <row r="1154" spans="1:2" x14ac:dyDescent="0.25">
      <c r="A1154" s="5" t="s">
        <v>20</v>
      </c>
      <c r="B1154" s="8">
        <v>35399</v>
      </c>
    </row>
    <row r="1155" spans="1:2" x14ac:dyDescent="0.25">
      <c r="A1155" s="5" t="s">
        <v>22</v>
      </c>
      <c r="B1155" s="8">
        <v>31203</v>
      </c>
    </row>
    <row r="1156" spans="1:2" x14ac:dyDescent="0.25">
      <c r="A1156" s="5" t="s">
        <v>24</v>
      </c>
      <c r="B1156" s="8">
        <v>1426</v>
      </c>
    </row>
    <row r="1157" spans="1:2" x14ac:dyDescent="0.25">
      <c r="A1157" s="5" t="s">
        <v>25</v>
      </c>
      <c r="B1157" s="8">
        <v>69276</v>
      </c>
    </row>
    <row r="1158" spans="1:2" x14ac:dyDescent="0.25">
      <c r="A1158" s="5" t="s">
        <v>26</v>
      </c>
      <c r="B1158" s="8">
        <v>107317</v>
      </c>
    </row>
    <row r="1159" spans="1:2" x14ac:dyDescent="0.25">
      <c r="A1159" s="5" t="s">
        <v>27</v>
      </c>
      <c r="B1159" s="8">
        <v>144521</v>
      </c>
    </row>
    <row r="1160" spans="1:2" x14ac:dyDescent="0.25">
      <c r="A1160" s="5" t="s">
        <v>2</v>
      </c>
      <c r="B1160" s="8">
        <v>5527.97</v>
      </c>
    </row>
    <row r="1161" spans="1:2" x14ac:dyDescent="0.25">
      <c r="A1161" s="5" t="s">
        <v>3</v>
      </c>
      <c r="B1161" s="8">
        <v>98271.92</v>
      </c>
    </row>
    <row r="1162" spans="1:2" x14ac:dyDescent="0.25">
      <c r="A1162" s="5" t="s">
        <v>4</v>
      </c>
      <c r="B1162" s="8">
        <v>83474.039999999994</v>
      </c>
    </row>
    <row r="1163" spans="1:2" x14ac:dyDescent="0.25">
      <c r="A1163" s="5" t="s">
        <v>6</v>
      </c>
      <c r="B1163" s="8">
        <v>1590</v>
      </c>
    </row>
    <row r="1164" spans="1:2" x14ac:dyDescent="0.25">
      <c r="A1164" s="5" t="s">
        <v>7</v>
      </c>
      <c r="B1164" s="8">
        <v>86771.24</v>
      </c>
    </row>
    <row r="1165" spans="1:2" x14ac:dyDescent="0.25">
      <c r="A1165" s="5" t="s">
        <v>8</v>
      </c>
      <c r="B1165" s="8">
        <v>278497.39</v>
      </c>
    </row>
    <row r="1166" spans="1:2" x14ac:dyDescent="0.25">
      <c r="A1166" s="5" t="s">
        <v>9</v>
      </c>
      <c r="B1166" s="8">
        <v>37573.29</v>
      </c>
    </row>
    <row r="1167" spans="1:2" x14ac:dyDescent="0.25">
      <c r="A1167" s="5" t="s">
        <v>10</v>
      </c>
      <c r="B1167" s="8">
        <v>60592.71</v>
      </c>
    </row>
    <row r="1168" spans="1:2" x14ac:dyDescent="0.25">
      <c r="A1168" s="5" t="s">
        <v>11</v>
      </c>
      <c r="B1168" s="8">
        <v>116037.5</v>
      </c>
    </row>
    <row r="1169" spans="1:2" x14ac:dyDescent="0.25">
      <c r="A1169" s="5" t="s">
        <v>12</v>
      </c>
      <c r="B1169" s="8">
        <v>76515.289999999994</v>
      </c>
    </row>
    <row r="1170" spans="1:2" x14ac:dyDescent="0.25">
      <c r="A1170" s="5" t="s">
        <v>13</v>
      </c>
      <c r="B1170" s="8">
        <v>60243</v>
      </c>
    </row>
    <row r="1171" spans="1:2" x14ac:dyDescent="0.25">
      <c r="A1171" s="5" t="s">
        <v>14</v>
      </c>
      <c r="B1171" s="8">
        <v>2076</v>
      </c>
    </row>
    <row r="1172" spans="1:2" x14ac:dyDescent="0.25">
      <c r="A1172" s="5" t="s">
        <v>15</v>
      </c>
      <c r="B1172" s="8">
        <v>67070.41</v>
      </c>
    </row>
    <row r="1173" spans="1:2" x14ac:dyDescent="0.25">
      <c r="A1173" s="5" t="s">
        <v>16</v>
      </c>
      <c r="B1173" s="8">
        <v>26461.45</v>
      </c>
    </row>
    <row r="1174" spans="1:2" x14ac:dyDescent="0.25">
      <c r="A1174" s="5" t="s">
        <v>17</v>
      </c>
      <c r="B1174" s="8">
        <v>213859</v>
      </c>
    </row>
    <row r="1175" spans="1:2" x14ac:dyDescent="0.25">
      <c r="A1175" s="5" t="s">
        <v>18</v>
      </c>
      <c r="B1175" s="8">
        <v>27627.06</v>
      </c>
    </row>
    <row r="1176" spans="1:2" x14ac:dyDescent="0.25">
      <c r="A1176" s="5" t="s">
        <v>19</v>
      </c>
      <c r="B1176" s="8">
        <v>285304.87</v>
      </c>
    </row>
    <row r="1177" spans="1:2" x14ac:dyDescent="0.25">
      <c r="A1177" s="5" t="s">
        <v>20</v>
      </c>
      <c r="B1177" s="8">
        <v>35953.040000000001</v>
      </c>
    </row>
    <row r="1178" spans="1:2" x14ac:dyDescent="0.25">
      <c r="A1178" s="5" t="s">
        <v>22</v>
      </c>
      <c r="B1178" s="8">
        <v>28491.53</v>
      </c>
    </row>
    <row r="1179" spans="1:2" x14ac:dyDescent="0.25">
      <c r="A1179" s="5" t="s">
        <v>24</v>
      </c>
      <c r="B1179" s="8">
        <v>1228.2</v>
      </c>
    </row>
    <row r="1180" spans="1:2" x14ac:dyDescent="0.25">
      <c r="A1180" s="5" t="s">
        <v>25</v>
      </c>
      <c r="B1180" s="8">
        <v>66822.17</v>
      </c>
    </row>
    <row r="1181" spans="1:2" x14ac:dyDescent="0.25">
      <c r="A1181" s="5" t="s">
        <v>26</v>
      </c>
      <c r="B1181" s="8">
        <v>144373.04999999999</v>
      </c>
    </row>
    <row r="1182" spans="1:2" x14ac:dyDescent="0.25">
      <c r="A1182" s="5" t="s">
        <v>27</v>
      </c>
      <c r="B1182" s="8">
        <v>220869.34</v>
      </c>
    </row>
    <row r="1183" spans="1:2" x14ac:dyDescent="0.25">
      <c r="A1183" s="5" t="s">
        <v>2</v>
      </c>
      <c r="B1183" s="8">
        <v>7495.96</v>
      </c>
    </row>
    <row r="1184" spans="1:2" x14ac:dyDescent="0.25">
      <c r="A1184" s="5" t="s">
        <v>3</v>
      </c>
      <c r="B1184" s="8">
        <v>107173.69</v>
      </c>
    </row>
    <row r="1185" spans="1:2" x14ac:dyDescent="0.25">
      <c r="A1185" s="5" t="s">
        <v>4</v>
      </c>
      <c r="B1185" s="8">
        <v>120754.84</v>
      </c>
    </row>
    <row r="1186" spans="1:2" x14ac:dyDescent="0.25">
      <c r="A1186" s="5" t="s">
        <v>6</v>
      </c>
      <c r="B1186" s="8">
        <v>2061</v>
      </c>
    </row>
    <row r="1187" spans="1:2" x14ac:dyDescent="0.25">
      <c r="A1187" s="5" t="s">
        <v>7</v>
      </c>
      <c r="B1187" s="8">
        <v>136810.81</v>
      </c>
    </row>
    <row r="1188" spans="1:2" x14ac:dyDescent="0.25">
      <c r="A1188" s="5" t="s">
        <v>8</v>
      </c>
      <c r="B1188" s="8">
        <v>393166.54</v>
      </c>
    </row>
    <row r="1189" spans="1:2" x14ac:dyDescent="0.25">
      <c r="A1189" s="5" t="s">
        <v>9</v>
      </c>
      <c r="B1189" s="8">
        <v>91647.16</v>
      </c>
    </row>
    <row r="1190" spans="1:2" x14ac:dyDescent="0.25">
      <c r="A1190" s="5" t="s">
        <v>10</v>
      </c>
      <c r="B1190" s="8">
        <v>109888.58</v>
      </c>
    </row>
    <row r="1191" spans="1:2" x14ac:dyDescent="0.25">
      <c r="A1191" s="5" t="s">
        <v>11</v>
      </c>
      <c r="B1191" s="8">
        <v>250907.97</v>
      </c>
    </row>
    <row r="1192" spans="1:2" x14ac:dyDescent="0.25">
      <c r="A1192" s="5" t="s">
        <v>12</v>
      </c>
      <c r="B1192" s="8">
        <v>93316.9</v>
      </c>
    </row>
    <row r="1193" spans="1:2" x14ac:dyDescent="0.25">
      <c r="A1193" s="5" t="s">
        <v>13</v>
      </c>
      <c r="B1193" s="8">
        <v>107077</v>
      </c>
    </row>
    <row r="1194" spans="1:2" x14ac:dyDescent="0.25">
      <c r="A1194" s="5" t="s">
        <v>14</v>
      </c>
      <c r="B1194" s="8">
        <v>11640</v>
      </c>
    </row>
    <row r="1195" spans="1:2" x14ac:dyDescent="0.25">
      <c r="A1195" s="5" t="s">
        <v>28</v>
      </c>
      <c r="B1195" s="8">
        <v>715</v>
      </c>
    </row>
    <row r="1196" spans="1:2" x14ac:dyDescent="0.25">
      <c r="A1196" s="5" t="s">
        <v>15</v>
      </c>
      <c r="B1196" s="8">
        <v>83399.17</v>
      </c>
    </row>
    <row r="1197" spans="1:2" x14ac:dyDescent="0.25">
      <c r="A1197" s="5" t="s">
        <v>16</v>
      </c>
      <c r="B1197" s="8">
        <v>44961.1</v>
      </c>
    </row>
    <row r="1198" spans="1:2" x14ac:dyDescent="0.25">
      <c r="A1198" s="5" t="s">
        <v>17</v>
      </c>
      <c r="B1198" s="8">
        <v>287266</v>
      </c>
    </row>
    <row r="1199" spans="1:2" x14ac:dyDescent="0.25">
      <c r="A1199" s="5" t="s">
        <v>18</v>
      </c>
      <c r="B1199" s="8">
        <v>61777.2</v>
      </c>
    </row>
    <row r="1200" spans="1:2" x14ac:dyDescent="0.25">
      <c r="A1200" s="5" t="s">
        <v>19</v>
      </c>
      <c r="B1200" s="8">
        <v>339354.08</v>
      </c>
    </row>
    <row r="1201" spans="1:2" x14ac:dyDescent="0.25">
      <c r="A1201" s="5" t="s">
        <v>20</v>
      </c>
      <c r="B1201" s="8">
        <v>53145.08</v>
      </c>
    </row>
    <row r="1202" spans="1:2" x14ac:dyDescent="0.25">
      <c r="A1202" s="5" t="s">
        <v>22</v>
      </c>
      <c r="B1202" s="8">
        <v>53581.79</v>
      </c>
    </row>
    <row r="1203" spans="1:2" x14ac:dyDescent="0.25">
      <c r="A1203" s="5" t="s">
        <v>23</v>
      </c>
      <c r="B1203" s="8">
        <v>5387.8</v>
      </c>
    </row>
    <row r="1204" spans="1:2" x14ac:dyDescent="0.25">
      <c r="A1204" s="5" t="s">
        <v>24</v>
      </c>
      <c r="B1204" s="8">
        <v>5363.56</v>
      </c>
    </row>
    <row r="1205" spans="1:2" x14ac:dyDescent="0.25">
      <c r="A1205" s="5" t="s">
        <v>25</v>
      </c>
      <c r="B1205" s="8">
        <v>137508.20000000001</v>
      </c>
    </row>
    <row r="1206" spans="1:2" x14ac:dyDescent="0.25">
      <c r="A1206" s="5" t="s">
        <v>26</v>
      </c>
      <c r="B1206" s="8">
        <v>208681.4</v>
      </c>
    </row>
    <row r="1207" spans="1:2" x14ac:dyDescent="0.25">
      <c r="A1207" s="5" t="s">
        <v>27</v>
      </c>
      <c r="B1207" s="8">
        <v>303342.19</v>
      </c>
    </row>
    <row r="1208" spans="1:2" x14ac:dyDescent="0.25">
      <c r="A1208" s="5" t="s">
        <v>2</v>
      </c>
      <c r="B1208" s="8">
        <v>5839</v>
      </c>
    </row>
    <row r="1209" spans="1:2" x14ac:dyDescent="0.25">
      <c r="A1209" s="5" t="s">
        <v>3</v>
      </c>
      <c r="B1209" s="8">
        <v>136170</v>
      </c>
    </row>
    <row r="1210" spans="1:2" x14ac:dyDescent="0.25">
      <c r="A1210" s="5" t="s">
        <v>4</v>
      </c>
      <c r="B1210" s="8">
        <v>100423</v>
      </c>
    </row>
    <row r="1211" spans="1:2" x14ac:dyDescent="0.25">
      <c r="A1211" s="5" t="s">
        <v>5</v>
      </c>
      <c r="B1211" s="8">
        <v>574</v>
      </c>
    </row>
    <row r="1212" spans="1:2" x14ac:dyDescent="0.25">
      <c r="A1212" s="5" t="s">
        <v>6</v>
      </c>
      <c r="B1212" s="8">
        <v>163</v>
      </c>
    </row>
    <row r="1213" spans="1:2" x14ac:dyDescent="0.25">
      <c r="A1213" s="5" t="s">
        <v>7</v>
      </c>
      <c r="B1213" s="8">
        <v>97863</v>
      </c>
    </row>
    <row r="1214" spans="1:2" x14ac:dyDescent="0.25">
      <c r="A1214" s="5" t="s">
        <v>8</v>
      </c>
      <c r="B1214" s="8">
        <v>317855</v>
      </c>
    </row>
    <row r="1215" spans="1:2" x14ac:dyDescent="0.25">
      <c r="A1215" s="5" t="s">
        <v>9</v>
      </c>
      <c r="B1215" s="8">
        <v>75298</v>
      </c>
    </row>
    <row r="1216" spans="1:2" x14ac:dyDescent="0.25">
      <c r="A1216" s="5" t="s">
        <v>10</v>
      </c>
      <c r="B1216" s="8">
        <v>95106</v>
      </c>
    </row>
    <row r="1217" spans="1:2" x14ac:dyDescent="0.25">
      <c r="A1217" s="5" t="s">
        <v>11</v>
      </c>
      <c r="B1217" s="8">
        <v>286064</v>
      </c>
    </row>
    <row r="1218" spans="1:2" x14ac:dyDescent="0.25">
      <c r="A1218" s="5" t="s">
        <v>12</v>
      </c>
      <c r="B1218" s="8">
        <v>116619</v>
      </c>
    </row>
    <row r="1219" spans="1:2" x14ac:dyDescent="0.25">
      <c r="A1219" s="5" t="s">
        <v>13</v>
      </c>
      <c r="B1219" s="8">
        <v>121411</v>
      </c>
    </row>
    <row r="1220" spans="1:2" x14ac:dyDescent="0.25">
      <c r="A1220" s="5" t="s">
        <v>14</v>
      </c>
      <c r="B1220" s="8">
        <v>9520</v>
      </c>
    </row>
    <row r="1221" spans="1:2" x14ac:dyDescent="0.25">
      <c r="A1221" s="5" t="s">
        <v>15</v>
      </c>
      <c r="B1221" s="8">
        <v>60994</v>
      </c>
    </row>
    <row r="1222" spans="1:2" x14ac:dyDescent="0.25">
      <c r="A1222" s="5" t="s">
        <v>16</v>
      </c>
      <c r="B1222" s="8">
        <v>32953</v>
      </c>
    </row>
    <row r="1223" spans="1:2" x14ac:dyDescent="0.25">
      <c r="A1223" s="5" t="s">
        <v>17</v>
      </c>
      <c r="B1223" s="8">
        <v>304855</v>
      </c>
    </row>
    <row r="1224" spans="1:2" x14ac:dyDescent="0.25">
      <c r="A1224" s="5" t="s">
        <v>18</v>
      </c>
      <c r="B1224" s="8">
        <v>76400</v>
      </c>
    </row>
    <row r="1225" spans="1:2" x14ac:dyDescent="0.25">
      <c r="A1225" s="5" t="s">
        <v>19</v>
      </c>
      <c r="B1225" s="8">
        <v>398149</v>
      </c>
    </row>
    <row r="1226" spans="1:2" x14ac:dyDescent="0.25">
      <c r="A1226" s="5" t="s">
        <v>20</v>
      </c>
      <c r="B1226" s="8">
        <v>59895</v>
      </c>
    </row>
    <row r="1227" spans="1:2" x14ac:dyDescent="0.25">
      <c r="A1227" s="5" t="s">
        <v>22</v>
      </c>
      <c r="B1227" s="8">
        <v>54782</v>
      </c>
    </row>
    <row r="1228" spans="1:2" x14ac:dyDescent="0.25">
      <c r="A1228" s="5" t="s">
        <v>23</v>
      </c>
      <c r="B1228" s="8">
        <v>3743</v>
      </c>
    </row>
    <row r="1229" spans="1:2" x14ac:dyDescent="0.25">
      <c r="A1229" s="5" t="s">
        <v>24</v>
      </c>
      <c r="B1229" s="8">
        <v>4095</v>
      </c>
    </row>
    <row r="1230" spans="1:2" x14ac:dyDescent="0.25">
      <c r="A1230" s="5" t="s">
        <v>25</v>
      </c>
      <c r="B1230" s="8">
        <v>128017</v>
      </c>
    </row>
    <row r="1231" spans="1:2" x14ac:dyDescent="0.25">
      <c r="A1231" s="5" t="s">
        <v>26</v>
      </c>
      <c r="B1231" s="8">
        <v>214558</v>
      </c>
    </row>
    <row r="1232" spans="1:2" x14ac:dyDescent="0.25">
      <c r="A1232" s="5" t="s">
        <v>27</v>
      </c>
      <c r="B1232" s="8">
        <v>235400</v>
      </c>
    </row>
    <row r="1233" spans="1:2" x14ac:dyDescent="0.25">
      <c r="A1233" s="5" t="s">
        <v>2</v>
      </c>
      <c r="B1233" s="8">
        <v>2357</v>
      </c>
    </row>
    <row r="1234" spans="1:2" x14ac:dyDescent="0.25">
      <c r="A1234" s="5" t="s">
        <v>3</v>
      </c>
      <c r="B1234" s="8">
        <v>67254</v>
      </c>
    </row>
    <row r="1235" spans="1:2" x14ac:dyDescent="0.25">
      <c r="A1235" s="5" t="s">
        <v>4</v>
      </c>
      <c r="B1235" s="8">
        <v>57924</v>
      </c>
    </row>
    <row r="1236" spans="1:2" x14ac:dyDescent="0.25">
      <c r="A1236" s="5" t="s">
        <v>6</v>
      </c>
      <c r="B1236" s="8">
        <v>2310</v>
      </c>
    </row>
    <row r="1237" spans="1:2" x14ac:dyDescent="0.25">
      <c r="A1237" s="5" t="s">
        <v>7</v>
      </c>
      <c r="B1237" s="8">
        <v>83466</v>
      </c>
    </row>
    <row r="1238" spans="1:2" x14ac:dyDescent="0.25">
      <c r="A1238" s="5" t="s">
        <v>8</v>
      </c>
      <c r="B1238" s="8">
        <v>233493</v>
      </c>
    </row>
    <row r="1239" spans="1:2" x14ac:dyDescent="0.25">
      <c r="A1239" s="5" t="s">
        <v>9</v>
      </c>
      <c r="B1239" s="8">
        <v>35717</v>
      </c>
    </row>
    <row r="1240" spans="1:2" x14ac:dyDescent="0.25">
      <c r="A1240" s="5" t="s">
        <v>10</v>
      </c>
      <c r="B1240" s="8">
        <v>72057</v>
      </c>
    </row>
    <row r="1241" spans="1:2" x14ac:dyDescent="0.25">
      <c r="A1241" s="5" t="s">
        <v>11</v>
      </c>
      <c r="B1241" s="8">
        <v>189148</v>
      </c>
    </row>
    <row r="1242" spans="1:2" x14ac:dyDescent="0.25">
      <c r="A1242" s="5" t="s">
        <v>12</v>
      </c>
      <c r="B1242" s="8">
        <v>54293</v>
      </c>
    </row>
    <row r="1243" spans="1:2" x14ac:dyDescent="0.25">
      <c r="A1243" s="5" t="s">
        <v>13</v>
      </c>
      <c r="B1243" s="8">
        <v>52801</v>
      </c>
    </row>
    <row r="1244" spans="1:2" x14ac:dyDescent="0.25">
      <c r="A1244" s="5" t="s">
        <v>14</v>
      </c>
      <c r="B1244" s="8">
        <v>3192</v>
      </c>
    </row>
    <row r="1245" spans="1:2" x14ac:dyDescent="0.25">
      <c r="A1245" s="5" t="s">
        <v>15</v>
      </c>
      <c r="B1245" s="8">
        <v>15507</v>
      </c>
    </row>
    <row r="1246" spans="1:2" x14ac:dyDescent="0.25">
      <c r="A1246" s="5" t="s">
        <v>16</v>
      </c>
      <c r="B1246" s="8">
        <v>16796</v>
      </c>
    </row>
    <row r="1247" spans="1:2" x14ac:dyDescent="0.25">
      <c r="A1247" s="5" t="s">
        <v>17</v>
      </c>
      <c r="B1247" s="8">
        <v>195708</v>
      </c>
    </row>
    <row r="1248" spans="1:2" x14ac:dyDescent="0.25">
      <c r="A1248" s="5" t="s">
        <v>18</v>
      </c>
      <c r="B1248" s="8">
        <v>36283</v>
      </c>
    </row>
    <row r="1249" spans="1:2" x14ac:dyDescent="0.25">
      <c r="A1249" s="5" t="s">
        <v>19</v>
      </c>
      <c r="B1249" s="8">
        <v>217658</v>
      </c>
    </row>
    <row r="1250" spans="1:2" x14ac:dyDescent="0.25">
      <c r="A1250" s="5" t="s">
        <v>20</v>
      </c>
      <c r="B1250" s="8">
        <v>38154</v>
      </c>
    </row>
    <row r="1251" spans="1:2" x14ac:dyDescent="0.25">
      <c r="A1251" s="5" t="s">
        <v>22</v>
      </c>
      <c r="B1251" s="8">
        <v>30205</v>
      </c>
    </row>
    <row r="1252" spans="1:2" x14ac:dyDescent="0.25">
      <c r="A1252" s="5" t="s">
        <v>23</v>
      </c>
      <c r="B1252" s="8">
        <v>2151</v>
      </c>
    </row>
    <row r="1253" spans="1:2" x14ac:dyDescent="0.25">
      <c r="A1253" s="5" t="s">
        <v>24</v>
      </c>
      <c r="B1253" s="8">
        <v>426</v>
      </c>
    </row>
    <row r="1254" spans="1:2" x14ac:dyDescent="0.25">
      <c r="A1254" s="5" t="s">
        <v>25</v>
      </c>
      <c r="B1254" s="8">
        <v>103868</v>
      </c>
    </row>
    <row r="1255" spans="1:2" x14ac:dyDescent="0.25">
      <c r="A1255" s="5" t="s">
        <v>26</v>
      </c>
      <c r="B1255" s="8">
        <v>134145</v>
      </c>
    </row>
    <row r="1256" spans="1:2" x14ac:dyDescent="0.25">
      <c r="A1256" s="5" t="s">
        <v>27</v>
      </c>
      <c r="B1256" s="8">
        <v>185261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267F-D64A-464B-A8BA-1FA8D77479BE}">
  <dimension ref="A1:C32"/>
  <sheetViews>
    <sheetView workbookViewId="0">
      <selection activeCell="H9" sqref="H9"/>
    </sheetView>
  </sheetViews>
  <sheetFormatPr defaultRowHeight="15" x14ac:dyDescent="0.25"/>
  <cols>
    <col min="1" max="1" width="40.7109375" bestFit="1" customWidth="1"/>
    <col min="2" max="2" width="20.85546875" bestFit="1" customWidth="1"/>
    <col min="3" max="3" width="12" bestFit="1" customWidth="1"/>
  </cols>
  <sheetData>
    <row r="1" spans="1:3" x14ac:dyDescent="0.25">
      <c r="A1" s="18" t="s">
        <v>78</v>
      </c>
      <c r="B1" t="s">
        <v>79</v>
      </c>
    </row>
    <row r="3" spans="1:3" x14ac:dyDescent="0.25">
      <c r="A3" s="18" t="s">
        <v>74</v>
      </c>
      <c r="B3" s="18" t="s">
        <v>75</v>
      </c>
    </row>
    <row r="4" spans="1:3" x14ac:dyDescent="0.25">
      <c r="A4" s="18" t="s">
        <v>76</v>
      </c>
      <c r="B4" t="s">
        <v>1</v>
      </c>
      <c r="C4" t="s">
        <v>77</v>
      </c>
    </row>
    <row r="5" spans="1:3" x14ac:dyDescent="0.25">
      <c r="A5" s="19" t="s">
        <v>11</v>
      </c>
      <c r="B5" s="20">
        <v>71919466.112999991</v>
      </c>
      <c r="C5" s="20">
        <v>71919466.112999991</v>
      </c>
    </row>
    <row r="6" spans="1:3" x14ac:dyDescent="0.25">
      <c r="A6" s="19" t="s">
        <v>8</v>
      </c>
      <c r="B6" s="20">
        <v>88001317.719999984</v>
      </c>
      <c r="C6" s="20">
        <v>88001317.719999984</v>
      </c>
    </row>
    <row r="7" spans="1:3" x14ac:dyDescent="0.25">
      <c r="A7" s="19" t="s">
        <v>12</v>
      </c>
      <c r="B7" s="20">
        <v>28968101.519999977</v>
      </c>
      <c r="C7" s="20">
        <v>28968101.519999977</v>
      </c>
    </row>
    <row r="8" spans="1:3" x14ac:dyDescent="0.25">
      <c r="A8" s="19" t="s">
        <v>27</v>
      </c>
      <c r="B8" s="20">
        <v>50782859.230000004</v>
      </c>
      <c r="C8" s="20">
        <v>50782859.230000004</v>
      </c>
    </row>
    <row r="9" spans="1:3" x14ac:dyDescent="0.25">
      <c r="A9" s="19" t="s">
        <v>3</v>
      </c>
      <c r="B9" s="20">
        <v>39433727.899999999</v>
      </c>
      <c r="C9" s="20">
        <v>39433727.899999999</v>
      </c>
    </row>
    <row r="10" spans="1:3" x14ac:dyDescent="0.25">
      <c r="A10" s="19" t="s">
        <v>6</v>
      </c>
      <c r="B10" s="20">
        <v>1253999.92</v>
      </c>
      <c r="C10" s="20">
        <v>1253999.92</v>
      </c>
    </row>
    <row r="11" spans="1:3" x14ac:dyDescent="0.25">
      <c r="A11" s="19" t="s">
        <v>5</v>
      </c>
      <c r="B11" s="20">
        <v>293057.15000000002</v>
      </c>
      <c r="C11" s="20">
        <v>293057.15000000002</v>
      </c>
    </row>
    <row r="12" spans="1:3" x14ac:dyDescent="0.25">
      <c r="A12" s="19" t="s">
        <v>16</v>
      </c>
      <c r="B12" s="20">
        <v>15278209.419999998</v>
      </c>
      <c r="C12" s="20">
        <v>15278209.419999998</v>
      </c>
    </row>
    <row r="13" spans="1:3" x14ac:dyDescent="0.25">
      <c r="A13" s="19" t="s">
        <v>4</v>
      </c>
      <c r="B13" s="20">
        <v>16863274.220000006</v>
      </c>
      <c r="C13" s="20">
        <v>16863274.220000006</v>
      </c>
    </row>
    <row r="14" spans="1:3" x14ac:dyDescent="0.25">
      <c r="A14" s="19" t="s">
        <v>9</v>
      </c>
      <c r="B14" s="20">
        <v>20163161.229999997</v>
      </c>
      <c r="C14" s="20">
        <v>20163161.229999997</v>
      </c>
    </row>
    <row r="15" spans="1:3" x14ac:dyDescent="0.25">
      <c r="A15" s="19" t="s">
        <v>25</v>
      </c>
      <c r="B15" s="20">
        <v>28220440.139999986</v>
      </c>
      <c r="C15" s="20">
        <v>28220440.139999986</v>
      </c>
    </row>
    <row r="16" spans="1:3" x14ac:dyDescent="0.25">
      <c r="A16" s="19" t="s">
        <v>7</v>
      </c>
      <c r="B16" s="20">
        <v>24642953.959999997</v>
      </c>
      <c r="C16" s="20">
        <v>24642953.959999997</v>
      </c>
    </row>
    <row r="17" spans="1:3" x14ac:dyDescent="0.25">
      <c r="A17" s="19" t="s">
        <v>23</v>
      </c>
      <c r="B17" s="20">
        <v>207894.59999999998</v>
      </c>
      <c r="C17" s="20">
        <v>207894.59999999998</v>
      </c>
    </row>
    <row r="18" spans="1:3" x14ac:dyDescent="0.25">
      <c r="A18" s="19" t="s">
        <v>17</v>
      </c>
      <c r="B18" s="20">
        <v>94731118.319999978</v>
      </c>
      <c r="C18" s="20">
        <v>94731118.319999978</v>
      </c>
    </row>
    <row r="19" spans="1:3" x14ac:dyDescent="0.25">
      <c r="A19" s="19" t="s">
        <v>15</v>
      </c>
      <c r="B19" s="20">
        <v>20665655.619999994</v>
      </c>
      <c r="C19" s="20">
        <v>20665655.619999994</v>
      </c>
    </row>
    <row r="20" spans="1:3" x14ac:dyDescent="0.25">
      <c r="A20" s="19" t="s">
        <v>19</v>
      </c>
      <c r="B20" s="20">
        <v>66353970.539999977</v>
      </c>
      <c r="C20" s="20">
        <v>66353970.539999977</v>
      </c>
    </row>
    <row r="21" spans="1:3" x14ac:dyDescent="0.25">
      <c r="A21" s="19" t="s">
        <v>21</v>
      </c>
      <c r="B21" s="20">
        <v>1537945.4600000007</v>
      </c>
      <c r="C21" s="20">
        <v>1537945.4600000007</v>
      </c>
    </row>
    <row r="22" spans="1:3" x14ac:dyDescent="0.25">
      <c r="A22" s="19" t="s">
        <v>10</v>
      </c>
      <c r="B22" s="20">
        <v>33281020.530000001</v>
      </c>
      <c r="C22" s="20">
        <v>33281020.530000001</v>
      </c>
    </row>
    <row r="23" spans="1:3" x14ac:dyDescent="0.25">
      <c r="A23" s="19" t="s">
        <v>28</v>
      </c>
      <c r="B23" s="20">
        <v>1631206.47</v>
      </c>
      <c r="C23" s="20">
        <v>1631206.47</v>
      </c>
    </row>
    <row r="24" spans="1:3" x14ac:dyDescent="0.25">
      <c r="A24" s="19" t="s">
        <v>20</v>
      </c>
      <c r="B24" s="20">
        <v>5079678.5499999989</v>
      </c>
      <c r="C24" s="20">
        <v>5079678.5499999989</v>
      </c>
    </row>
    <row r="25" spans="1:3" x14ac:dyDescent="0.25">
      <c r="A25" s="19" t="s">
        <v>22</v>
      </c>
      <c r="B25" s="20">
        <v>25031292.430000003</v>
      </c>
      <c r="C25" s="20">
        <v>25031292.430000003</v>
      </c>
    </row>
    <row r="26" spans="1:3" x14ac:dyDescent="0.25">
      <c r="A26" s="19" t="s">
        <v>13</v>
      </c>
      <c r="B26" s="20">
        <v>23190621.260000005</v>
      </c>
      <c r="C26" s="20">
        <v>23190621.260000005</v>
      </c>
    </row>
    <row r="27" spans="1:3" x14ac:dyDescent="0.25">
      <c r="A27" s="19" t="s">
        <v>26</v>
      </c>
      <c r="B27" s="20">
        <v>55501156.290000014</v>
      </c>
      <c r="C27" s="20">
        <v>55501156.290000014</v>
      </c>
    </row>
    <row r="28" spans="1:3" x14ac:dyDescent="0.25">
      <c r="A28" s="19" t="s">
        <v>18</v>
      </c>
      <c r="B28" s="20">
        <v>17273266.019999996</v>
      </c>
      <c r="C28" s="20">
        <v>17273266.019999996</v>
      </c>
    </row>
    <row r="29" spans="1:3" x14ac:dyDescent="0.25">
      <c r="A29" s="19" t="s">
        <v>14</v>
      </c>
      <c r="B29" s="20">
        <v>2304092.600000001</v>
      </c>
      <c r="C29" s="20">
        <v>2304092.600000001</v>
      </c>
    </row>
    <row r="30" spans="1:3" x14ac:dyDescent="0.25">
      <c r="A30" s="19" t="s">
        <v>24</v>
      </c>
      <c r="B30" s="20">
        <v>640735.69000000006</v>
      </c>
      <c r="C30" s="20">
        <v>640735.69000000006</v>
      </c>
    </row>
    <row r="31" spans="1:3" x14ac:dyDescent="0.25">
      <c r="A31" s="19" t="s">
        <v>2</v>
      </c>
      <c r="B31" s="20">
        <v>1703327.0299999998</v>
      </c>
      <c r="C31" s="20">
        <v>1703327.0299999998</v>
      </c>
    </row>
    <row r="32" spans="1:3" x14ac:dyDescent="0.25">
      <c r="A32" s="19" t="s">
        <v>77</v>
      </c>
      <c r="B32" s="20">
        <v>734953549.93299985</v>
      </c>
      <c r="C32" s="20">
        <v>734953549.93299985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Экзамен</vt:lpstr>
      <vt:lpstr>Консолидация</vt:lpstr>
      <vt:lpstr>Альфа</vt:lpstr>
      <vt:lpstr>Бета</vt:lpstr>
      <vt:lpstr>Гамма</vt:lpstr>
      <vt:lpstr>Дельта</vt:lpstr>
      <vt:lpstr>Консолидация 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Студент KRSU</cp:lastModifiedBy>
  <cp:lastPrinted>2026-03-20T15:58:47Z</cp:lastPrinted>
  <dcterms:created xsi:type="dcterms:W3CDTF">2011-10-13T18:13:00Z</dcterms:created>
  <dcterms:modified xsi:type="dcterms:W3CDTF">2026-04-02T07:37:35Z</dcterms:modified>
</cp:coreProperties>
</file>