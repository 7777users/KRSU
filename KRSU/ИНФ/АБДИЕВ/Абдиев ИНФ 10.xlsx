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D354C64D-2DEB-4B3F-A34D-FB8D962C4D12}" xr6:coauthVersionLast="47" xr6:coauthVersionMax="47" xr10:uidLastSave="{00000000-0000-0000-0000-000000000000}"/>
  <bookViews>
    <workbookView xWindow="-120" yWindow="-120" windowWidth="20730" windowHeight="11160" tabRatio="665" firstSheet="10" activeTab="16" xr2:uid="{00000000-000D-0000-FFFF-FFFF00000000}"/>
  </bookViews>
  <sheets>
    <sheet name="Задание 1" sheetId="1" r:id="rId1"/>
    <sheet name="Диаграмма1" sheetId="10" r:id="rId2"/>
    <sheet name="Задание 2" sheetId="2" r:id="rId3"/>
    <sheet name="Диаграмма2" sheetId="11" r:id="rId4"/>
    <sheet name="Задание 3" sheetId="3" r:id="rId5"/>
    <sheet name="Диаграмма3" sheetId="12" r:id="rId6"/>
    <sheet name="Задание 4" sheetId="4" r:id="rId7"/>
    <sheet name="Диаграмма4" sheetId="13" r:id="rId8"/>
    <sheet name="Задание 5" sheetId="5" r:id="rId9"/>
    <sheet name="Диаграмма5" sheetId="14" r:id="rId10"/>
    <sheet name="Задание 6" sheetId="6" r:id="rId11"/>
    <sheet name="Диаграмма6" sheetId="15" r:id="rId12"/>
    <sheet name="Задание 7" sheetId="7" r:id="rId13"/>
    <sheet name="Диаграмма7" sheetId="16" r:id="rId14"/>
    <sheet name="Задание 8" sheetId="8" r:id="rId15"/>
    <sheet name="Задание 9" sheetId="9" r:id="rId16"/>
    <sheet name="Диаграмма10" sheetId="19" r:id="rId1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7" l="1"/>
  <c r="F4" i="7" s="1"/>
  <c r="E5" i="7"/>
  <c r="F5" i="7" s="1"/>
  <c r="E6" i="7"/>
  <c r="F6" i="7" s="1"/>
  <c r="E7" i="7"/>
  <c r="F7" i="7" s="1"/>
  <c r="E8" i="7"/>
  <c r="F8" i="7" s="1"/>
  <c r="E9" i="7"/>
  <c r="F9" i="7" s="1"/>
  <c r="E3" i="7"/>
  <c r="F3" i="7" s="1"/>
  <c r="D5" i="6"/>
  <c r="C5" i="6"/>
  <c r="B5" i="6"/>
  <c r="D13" i="8"/>
  <c r="C13" i="8"/>
  <c r="E12" i="8"/>
  <c r="E11" i="8"/>
  <c r="E10" i="8"/>
  <c r="E9" i="8"/>
  <c r="E8" i="8"/>
  <c r="E7" i="8"/>
  <c r="E6" i="8"/>
  <c r="E5" i="8"/>
  <c r="E4" i="8"/>
  <c r="E3" i="8"/>
  <c r="E13" i="8" s="1"/>
  <c r="F10" i="7" l="1"/>
</calcChain>
</file>

<file path=xl/sharedStrings.xml><?xml version="1.0" encoding="utf-8"?>
<sst xmlns="http://schemas.openxmlformats.org/spreadsheetml/2006/main" count="81" uniqueCount="79">
  <si>
    <t>Среднедушевой доход домашних хозяйств КР</t>
  </si>
  <si>
    <t>Год</t>
  </si>
  <si>
    <t>Среднедушевой доход домашних хозяйств, сом</t>
  </si>
  <si>
    <t>Уровни безработицы, занятости и экономической активности, мужчины и женщины в КР, %</t>
  </si>
  <si>
    <t>Безработица</t>
  </si>
  <si>
    <t>Уровень занятости</t>
  </si>
  <si>
    <t>Экономич. активность</t>
  </si>
  <si>
    <t>Мужчины</t>
  </si>
  <si>
    <t>Женщины</t>
  </si>
  <si>
    <t>Цели сельского кредита в КР</t>
  </si>
  <si>
    <t>Цель</t>
  </si>
  <si>
    <t>Доля</t>
  </si>
  <si>
    <t>Покупка товаров</t>
  </si>
  <si>
    <t>Улучшение питания</t>
  </si>
  <si>
    <t>Медикаменты</t>
  </si>
  <si>
    <t>На долгосрочные цели</t>
  </si>
  <si>
    <t>Прочие</t>
  </si>
  <si>
    <t>Доля сельскохозяйственной занятости</t>
  </si>
  <si>
    <t>Страна</t>
  </si>
  <si>
    <t>Доля, %</t>
  </si>
  <si>
    <t>Кыргызстан</t>
  </si>
  <si>
    <t>Казахстан</t>
  </si>
  <si>
    <t>Азербайджан</t>
  </si>
  <si>
    <t>Грузия</t>
  </si>
  <si>
    <t>Украина</t>
  </si>
  <si>
    <t>Россия</t>
  </si>
  <si>
    <t>Молдова</t>
  </si>
  <si>
    <t>Прожиточный минимум на душу населения КР</t>
  </si>
  <si>
    <t>Прожиточный минимум на душу населения, сом</t>
  </si>
  <si>
    <t>Сведения о странах объединения Бенилюкс</t>
  </si>
  <si>
    <t>Показатель</t>
  </si>
  <si>
    <t>Бельгия</t>
  </si>
  <si>
    <t>Нидерланды</t>
  </si>
  <si>
    <t>Люксембург</t>
  </si>
  <si>
    <t>Площадь территории, тыс. кв. км</t>
  </si>
  <si>
    <t>Численность населения, тыс. чел.</t>
  </si>
  <si>
    <t>Плотность населения, чел. на кв. км</t>
  </si>
  <si>
    <t>Ведомость расчёта премии работникам АО "Тулпар"</t>
  </si>
  <si>
    <t>Табельный номер</t>
  </si>
  <si>
    <t>Фамилия</t>
  </si>
  <si>
    <t>Оклад (сом.)</t>
  </si>
  <si>
    <t>Дата поступления</t>
  </si>
  <si>
    <t>Стаж работы</t>
  </si>
  <si>
    <t>Премия (сом.)</t>
  </si>
  <si>
    <t>Айтбаев</t>
  </si>
  <si>
    <t>Итого</t>
  </si>
  <si>
    <t>Итоговая оценка по предмету для студентов гр. ФК-1-23</t>
  </si>
  <si>
    <t>Номер зачетной книжки</t>
  </si>
  <si>
    <t>Письменная работа</t>
  </si>
  <si>
    <t>Тест</t>
  </si>
  <si>
    <t>Итоговая оценка</t>
  </si>
  <si>
    <t>Шаршеев</t>
  </si>
  <si>
    <t>Байтереков</t>
  </si>
  <si>
    <t>Юрьев</t>
  </si>
  <si>
    <t>Среднее</t>
  </si>
  <si>
    <t>Сумма баллов</t>
  </si>
  <si>
    <t>Оценка</t>
  </si>
  <si>
    <t>Менее 50</t>
  </si>
  <si>
    <t>50-74</t>
  </si>
  <si>
    <t>75-89</t>
  </si>
  <si>
    <t>90 и выше</t>
  </si>
  <si>
    <t>Площади под зерновые культуры в фермерском хозяйстве, га</t>
  </si>
  <si>
    <t>Культура</t>
  </si>
  <si>
    <t>Пшеница</t>
  </si>
  <si>
    <t>Рожь</t>
  </si>
  <si>
    <t>Кукуруза</t>
  </si>
  <si>
    <t>Капустин</t>
  </si>
  <si>
    <t>Джигурда</t>
  </si>
  <si>
    <t>Таносбекович</t>
  </si>
  <si>
    <t>Железныйчеловек</t>
  </si>
  <si>
    <t>Кумсков</t>
  </si>
  <si>
    <t>Айфонов</t>
  </si>
  <si>
    <t>Кузнецов</t>
  </si>
  <si>
    <t>Адмиралович</t>
  </si>
  <si>
    <t>Дидонович</t>
  </si>
  <si>
    <t>Маккалистер</t>
  </si>
  <si>
    <t>Старк</t>
  </si>
  <si>
    <t>Таргариен</t>
  </si>
  <si>
    <t>Ланистер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</si>
</sst>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5D6AC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9B49"/>
      <rgbColor rgb="FF800080"/>
      <rgbColor rgb="FF4672A8"/>
      <rgbColor rgb="FFAABAD7"/>
      <rgbColor rgb="FF878787"/>
      <rgbColor rgb="FF93A9CE"/>
      <rgbColor rgb="FF9F423F"/>
      <rgbColor rgb="FFF9F9F9"/>
      <rgbColor rgb="FFCCFFFF"/>
      <rgbColor rgb="FF660066"/>
      <rgbColor rgb="FFF79646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4299B0"/>
      <rgbColor rgb="FF0000FF"/>
      <rgbColor rgb="FF46AAC4"/>
      <rgbColor rgb="FFCCFFFF"/>
      <rgbColor rgb="FFCCFFCC"/>
      <rgbColor rgb="FFFFFF99"/>
      <rgbColor rgb="FF4F81BD"/>
      <rgbColor rgb="FFD8AAA9"/>
      <rgbColor rgb="FF8064A2"/>
      <rgbColor rgb="FFC5D6AC"/>
      <rgbColor rgb="FF4A7EBB"/>
      <rgbColor rgb="FF4BACC6"/>
      <rgbColor rgb="FF9BBB59"/>
      <rgbColor rgb="FFCC7C3A"/>
      <rgbColor rgb="FFF59240"/>
      <rgbColor rgb="FFDC853E"/>
      <rgbColor rgb="FF725990"/>
      <rgbColor rgb="FF8AA64F"/>
      <rgbColor rgb="FF003366"/>
      <rgbColor rgb="FF3E8EA4"/>
      <rgbColor rgb="FF003300"/>
      <rgbColor rgb="FF333300"/>
      <rgbColor rgb="FFC0504D"/>
      <rgbColor rgb="FFAB4744"/>
      <rgbColor rgb="FF6A5286"/>
      <rgbColor rgb="FF7D5FA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18" Type="http://schemas.openxmlformats.org/officeDocument/2006/relationships/theme" Target="theme/theme1.xml"/><Relationship Id="rId3" Type="http://schemas.openxmlformats.org/officeDocument/2006/relationships/worksheet" Target="worksheets/sheet2.xml"/><Relationship Id="rId21" Type="http://schemas.openxmlformats.org/officeDocument/2006/relationships/calcChain" Target="calcChain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hartsheet" Target="chartsheets/sheet8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8.xml"/><Relationship Id="rId10" Type="http://schemas.openxmlformats.org/officeDocument/2006/relationships/chartsheet" Target="chartsheets/sheet5.xml"/><Relationship Id="rId19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hartsheet" Target="chartsheets/sheet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Среднедушевой доход домашних хозяйств КР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1'!$B$2</c:f>
              <c:strCache>
                <c:ptCount val="1"/>
                <c:pt idx="0">
                  <c:v>Среднедушевой доход домашних хозяйств, сом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'Задание 1'!$A$3:$A$13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'Задание 1'!$B$3:$B$13</c:f>
              <c:numCache>
                <c:formatCode>General</c:formatCode>
                <c:ptCount val="11"/>
                <c:pt idx="0">
                  <c:v>2312</c:v>
                </c:pt>
                <c:pt idx="1">
                  <c:v>2494</c:v>
                </c:pt>
                <c:pt idx="2">
                  <c:v>2936</c:v>
                </c:pt>
                <c:pt idx="3">
                  <c:v>3216</c:v>
                </c:pt>
                <c:pt idx="4">
                  <c:v>3336</c:v>
                </c:pt>
                <c:pt idx="5">
                  <c:v>5685</c:v>
                </c:pt>
                <c:pt idx="6">
                  <c:v>5625</c:v>
                </c:pt>
                <c:pt idx="7">
                  <c:v>6648</c:v>
                </c:pt>
                <c:pt idx="8">
                  <c:v>7948</c:v>
                </c:pt>
                <c:pt idx="9">
                  <c:v>9716</c:v>
                </c:pt>
                <c:pt idx="10">
                  <c:v>11319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170-A27A-6BC3C963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50627"/>
        <c:axId val="43918823"/>
      </c:barChart>
      <c:catAx>
        <c:axId val="54850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918823"/>
        <c:crosses val="autoZero"/>
        <c:auto val="1"/>
        <c:lblAlgn val="ctr"/>
        <c:lblOffset val="100"/>
        <c:noMultiLvlLbl val="0"/>
      </c:catAx>
      <c:valAx>
        <c:axId val="43918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Доход, сом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4850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Уровни безработицы, занятости и экономической активности, мужчины и женщины в КР,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2'!$B$2</c:f>
              <c:strCache>
                <c:ptCount val="1"/>
                <c:pt idx="0">
                  <c:v>Безработица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2'!$A$3:$A$4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'Задание 2'!$B$3:$B$4</c:f>
              <c:numCache>
                <c:formatCode>General</c:formatCode>
                <c:ptCount val="2"/>
                <c:pt idx="0">
                  <c:v>9.4</c:v>
                </c:pt>
                <c:pt idx="1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F-479D-81A3-EEA929040D49}"/>
            </c:ext>
          </c:extLst>
        </c:ser>
        <c:ser>
          <c:idx val="1"/>
          <c:order val="1"/>
          <c:tx>
            <c:strRef>
              <c:f>'Задание 2'!$C$2</c:f>
              <c:strCache>
                <c:ptCount val="1"/>
                <c:pt idx="0">
                  <c:v>Уровень занятости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2'!$A$3:$A$4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'Задание 2'!$C$3:$C$4</c:f>
              <c:numCache>
                <c:formatCode>General</c:formatCode>
                <c:ptCount val="2"/>
                <c:pt idx="0">
                  <c:v>66.400000000000006</c:v>
                </c:pt>
                <c:pt idx="1">
                  <c:v>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F-479D-81A3-EEA929040D49}"/>
            </c:ext>
          </c:extLst>
        </c:ser>
        <c:ser>
          <c:idx val="2"/>
          <c:order val="2"/>
          <c:tx>
            <c:strRef>
              <c:f>'Задание 2'!$D$2</c:f>
              <c:strCache>
                <c:ptCount val="1"/>
                <c:pt idx="0">
                  <c:v>Экономич. активность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2'!$A$3:$A$4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'Задание 2'!$D$3:$D$4</c:f>
              <c:numCache>
                <c:formatCode>General</c:formatCode>
                <c:ptCount val="2"/>
                <c:pt idx="0">
                  <c:v>73.3</c:v>
                </c:pt>
                <c:pt idx="1">
                  <c:v>55.1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F-479D-81A3-EEA929040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83101"/>
        <c:axId val="15159278"/>
      </c:barChart>
      <c:catAx>
        <c:axId val="40083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15159278"/>
        <c:crosses val="autoZero"/>
        <c:auto val="1"/>
        <c:lblAlgn val="ctr"/>
        <c:lblOffset val="100"/>
        <c:noMultiLvlLbl val="0"/>
      </c:catAx>
      <c:valAx>
        <c:axId val="15159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0083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Цели сельского кредита в КР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3'!$B$2</c:f>
              <c:strCache>
                <c:ptCount val="1"/>
                <c:pt idx="0">
                  <c:v>Доля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38A-4399-92F5-11C353DE07E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38A-4399-92F5-11C353DE07E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38A-4399-92F5-11C353DE07E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38A-4399-92F5-11C353DE07E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38A-4399-92F5-11C353DE07E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8A-4399-92F5-11C353DE07E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8A-4399-92F5-11C353DE07E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8A-4399-92F5-11C353DE07E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8A-4399-92F5-11C353DE07E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8A-4399-92F5-11C353DE07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'Задание 3'!$A$3:$A$7</c:f>
              <c:strCache>
                <c:ptCount val="5"/>
                <c:pt idx="0">
                  <c:v>Покупка товаров</c:v>
                </c:pt>
                <c:pt idx="1">
                  <c:v>Улучшение питания</c:v>
                </c:pt>
                <c:pt idx="2">
                  <c:v>Медикаменты</c:v>
                </c:pt>
                <c:pt idx="3">
                  <c:v>На долгосрочные цели</c:v>
                </c:pt>
                <c:pt idx="4">
                  <c:v>Прочие</c:v>
                </c:pt>
              </c:strCache>
            </c:strRef>
          </c:cat>
          <c:val>
            <c:numRef>
              <c:f>'Задание 3'!$B$3:$B$7</c:f>
              <c:numCache>
                <c:formatCode>0%</c:formatCode>
                <c:ptCount val="5"/>
                <c:pt idx="0">
                  <c:v>0.33</c:v>
                </c:pt>
                <c:pt idx="1">
                  <c:v>0.19</c:v>
                </c:pt>
                <c:pt idx="2">
                  <c:v>0.17</c:v>
                </c:pt>
                <c:pt idx="3">
                  <c:v>0.09</c:v>
                </c:pt>
                <c:pt idx="4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8A-4399-92F5-11C353DE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Доля сельскохозяйственной занятости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'Задание 4'!$B$2</c:f>
              <c:strCache>
                <c:ptCount val="1"/>
                <c:pt idx="0">
                  <c:v>Доля,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4'!$A$3:$A$9</c:f>
              <c:strCache>
                <c:ptCount val="7"/>
                <c:pt idx="0">
                  <c:v>Кыргызстан</c:v>
                </c:pt>
                <c:pt idx="1">
                  <c:v>Казахстан</c:v>
                </c:pt>
                <c:pt idx="2">
                  <c:v>Азербайджан</c:v>
                </c:pt>
                <c:pt idx="3">
                  <c:v>Грузия</c:v>
                </c:pt>
                <c:pt idx="4">
                  <c:v>Украина</c:v>
                </c:pt>
                <c:pt idx="5">
                  <c:v>Россия</c:v>
                </c:pt>
                <c:pt idx="6">
                  <c:v>Молдова</c:v>
                </c:pt>
              </c:strCache>
            </c:strRef>
          </c:cat>
          <c:val>
            <c:numRef>
              <c:f>'Задание 4'!$B$3:$B$9</c:f>
              <c:numCache>
                <c:formatCode>General</c:formatCode>
                <c:ptCount val="7"/>
                <c:pt idx="0">
                  <c:v>46</c:v>
                </c:pt>
                <c:pt idx="1">
                  <c:v>33</c:v>
                </c:pt>
                <c:pt idx="2">
                  <c:v>38</c:v>
                </c:pt>
                <c:pt idx="3">
                  <c:v>54</c:v>
                </c:pt>
                <c:pt idx="4">
                  <c:v>19</c:v>
                </c:pt>
                <c:pt idx="5">
                  <c:v>11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C-40C9-9CFD-8D03311E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51664"/>
        <c:axId val="55557168"/>
      </c:barChart>
      <c:catAx>
        <c:axId val="889516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Доля,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5557168"/>
        <c:crosses val="autoZero"/>
        <c:auto val="1"/>
        <c:lblAlgn val="ctr"/>
        <c:lblOffset val="100"/>
        <c:noMultiLvlLbl val="0"/>
      </c:catAx>
      <c:valAx>
        <c:axId val="555571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Страна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8951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Прожиточный минимум на душу населения КР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5'!$B$2</c:f>
              <c:strCache>
                <c:ptCount val="1"/>
                <c:pt idx="0">
                  <c:v>Прожиточный минимум на душу населения, сом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'Задание 5'!$A$3:$A$13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'Задание 5'!$B$3:$B$13</c:f>
              <c:numCache>
                <c:formatCode>General</c:formatCode>
                <c:ptCount val="11"/>
                <c:pt idx="0">
                  <c:v>3263</c:v>
                </c:pt>
                <c:pt idx="1">
                  <c:v>3503</c:v>
                </c:pt>
                <c:pt idx="2">
                  <c:v>4390</c:v>
                </c:pt>
                <c:pt idx="3">
                  <c:v>4341</c:v>
                </c:pt>
                <c:pt idx="4">
                  <c:v>4599</c:v>
                </c:pt>
                <c:pt idx="5">
                  <c:v>4681</c:v>
                </c:pt>
                <c:pt idx="6">
                  <c:v>5358</c:v>
                </c:pt>
                <c:pt idx="7">
                  <c:v>6268</c:v>
                </c:pt>
                <c:pt idx="8">
                  <c:v>7178</c:v>
                </c:pt>
                <c:pt idx="9">
                  <c:v>7681</c:v>
                </c:pt>
                <c:pt idx="10">
                  <c:v>7963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E6-4DFA-8184-C797FAA2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054819"/>
        <c:axId val="41388683"/>
      </c:lineChart>
      <c:catAx>
        <c:axId val="44054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1388683"/>
        <c:crosses val="autoZero"/>
        <c:auto val="1"/>
        <c:lblAlgn val="ctr"/>
        <c:lblOffset val="100"/>
        <c:noMultiLvlLbl val="0"/>
      </c:catAx>
      <c:valAx>
        <c:axId val="41388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Сом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054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Численность и плотность населения стран Бенилюкс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Численность населения, тыс. чел.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6'!$B$4</c:f>
              <c:numCache>
                <c:formatCode>General</c:formatCode>
                <c:ptCount val="1"/>
                <c:pt idx="0">
                  <c:v>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C-4742-AD6F-1AA2AE2B5B48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6'!$C$4</c:f>
              <c:numCache>
                <c:formatCode>General</c:formatCode>
                <c:ptCount val="1"/>
                <c:pt idx="0">
                  <c:v>14560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C-4742-AD6F-1AA2AE2B5B48}"/>
            </c:ext>
          </c:extLst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6'!$D$4</c:f>
              <c:numCache>
                <c:formatCode>General</c:formatCode>
                <c:ptCount val="1"/>
                <c:pt idx="0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FC-4742-AD6F-1AA2AE2B5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63710"/>
        <c:axId val="27878004"/>
      </c:barChart>
      <c:lineChart>
        <c:grouping val="standard"/>
        <c:varyColors val="0"/>
        <c:ser>
          <c:idx val="3"/>
          <c:order val="3"/>
          <c:tx>
            <c:v>Плотность, чел/км²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6'!$B$5</c:f>
              <c:numCache>
                <c:formatCode>General</c:formatCode>
                <c:ptCount val="1"/>
                <c:pt idx="0">
                  <c:v>323.21311475409834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BFC-4742-AD6F-1AA2AE2B5B48}"/>
            </c:ext>
          </c:extLst>
        </c:ser>
        <c:ser>
          <c:idx val="4"/>
          <c:order val="4"/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6'!$C$5</c:f>
              <c:numCache>
                <c:formatCode>General</c:formatCode>
                <c:ptCount val="1"/>
                <c:pt idx="0">
                  <c:v>353.39805825242718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BFC-4742-AD6F-1AA2AE2B5B48}"/>
            </c:ext>
          </c:extLst>
        </c:ser>
        <c:ser>
          <c:idx val="5"/>
          <c:order val="5"/>
          <c:spPr>
            <a:ln w="4752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6'!$B$2:$D$2</c:f>
              <c:strCache>
                <c:ptCount val="3"/>
                <c:pt idx="0">
                  <c:v>Бельгия</c:v>
                </c:pt>
                <c:pt idx="1">
                  <c:v>Нидерланды</c:v>
                </c:pt>
                <c:pt idx="2">
                  <c:v>Люксембург</c:v>
                </c:pt>
              </c:strCache>
            </c:strRef>
          </c:cat>
          <c:val>
            <c:numRef>
              <c:f>'Задание 6'!$D$5</c:f>
              <c:numCache>
                <c:formatCode>General</c:formatCode>
                <c:ptCount val="1"/>
                <c:pt idx="0">
                  <c:v>141.15384615384616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BFC-4742-AD6F-1AA2AE2B5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428600"/>
        <c:axId val="41552717"/>
      </c:lineChart>
      <c:catAx>
        <c:axId val="32863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7878004"/>
        <c:crosses val="autoZero"/>
        <c:auto val="1"/>
        <c:lblAlgn val="ctr"/>
        <c:lblOffset val="100"/>
        <c:noMultiLvlLbl val="0"/>
      </c:catAx>
      <c:valAx>
        <c:axId val="27878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Численность населения, тыс. чел.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863710"/>
        <c:crosses val="autoZero"/>
        <c:crossBetween val="between"/>
      </c:valAx>
      <c:catAx>
        <c:axId val="484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1552717"/>
        <c:crosses val="autoZero"/>
        <c:auto val="1"/>
        <c:lblAlgn val="ctr"/>
        <c:lblOffset val="100"/>
        <c:noMultiLvlLbl val="0"/>
      </c:catAx>
      <c:valAx>
        <c:axId val="4155271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Плотность населения, чел/км²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842860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Доли премии работников АО "Тулпар"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D40-4DBC-9DDD-3093CA69AF1A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D40-4DBC-9DDD-3093CA69AF1A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D40-4DBC-9DDD-3093CA69AF1A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D40-4DBC-9DDD-3093CA69AF1A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CD40-4DBC-9DDD-3093CA69AF1A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CD40-4DBC-9DDD-3093CA69AF1A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CD40-4DBC-9DDD-3093CA69AF1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40-4DBC-9DDD-3093CA69AF1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40-4DBC-9DDD-3093CA69AF1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40-4DBC-9DDD-3093CA69AF1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40-4DBC-9DDD-3093CA69AF1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40-4DBC-9DDD-3093CA69AF1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40-4DBC-9DDD-3093CA69AF1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D40-4DBC-9DDD-3093CA69AF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'Задание 7'!$B$3:$B$9</c:f>
              <c:strCache>
                <c:ptCount val="7"/>
                <c:pt idx="0">
                  <c:v>Кузнецов</c:v>
                </c:pt>
                <c:pt idx="1">
                  <c:v>Капустин</c:v>
                </c:pt>
                <c:pt idx="2">
                  <c:v>Джигурда</c:v>
                </c:pt>
                <c:pt idx="3">
                  <c:v>Таносбекович</c:v>
                </c:pt>
                <c:pt idx="4">
                  <c:v>Железныйчеловек</c:v>
                </c:pt>
                <c:pt idx="5">
                  <c:v>Кумсков</c:v>
                </c:pt>
                <c:pt idx="6">
                  <c:v>Айфонов</c:v>
                </c:pt>
              </c:strCache>
            </c:strRef>
          </c:cat>
          <c:val>
            <c:numRef>
              <c:f>'Задание 7'!$F$3:$F$9</c:f>
              <c:numCache>
                <c:formatCode>#,##0.00</c:formatCode>
                <c:ptCount val="7"/>
                <c:pt idx="0">
                  <c:v>15000</c:v>
                </c:pt>
                <c:pt idx="1">
                  <c:v>37500</c:v>
                </c:pt>
                <c:pt idx="2">
                  <c:v>18000</c:v>
                </c:pt>
                <c:pt idx="3">
                  <c:v>32500</c:v>
                </c:pt>
                <c:pt idx="4">
                  <c:v>75000</c:v>
                </c:pt>
                <c:pt idx="5">
                  <c:v>125000</c:v>
                </c:pt>
                <c:pt idx="6">
                  <c:v>36250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40-4DBC-9DDD-3093CA69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'Задание 9'!$A$3</c:f>
              <c:strCache>
                <c:ptCount val="1"/>
                <c:pt idx="0">
                  <c:v>Пшеница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'Задание 9'!$B$1:$F$2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'Задание 9'!$B$3:$F$3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3-47B3-B36C-0DC2721CF705}"/>
            </c:ext>
          </c:extLst>
        </c:ser>
        <c:ser>
          <c:idx val="1"/>
          <c:order val="1"/>
          <c:tx>
            <c:strRef>
              <c:f>'Задание 9'!$A$4</c:f>
              <c:strCache>
                <c:ptCount val="1"/>
                <c:pt idx="0">
                  <c:v>Рожь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'Задание 9'!$B$1:$F$2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'Задание 9'!$B$4:$F$4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3-47B3-B36C-0DC2721CF705}"/>
            </c:ext>
          </c:extLst>
        </c:ser>
        <c:ser>
          <c:idx val="2"/>
          <c:order val="2"/>
          <c:tx>
            <c:strRef>
              <c:f>'Задание 9'!$A$5</c:f>
              <c:strCache>
                <c:ptCount val="1"/>
                <c:pt idx="0">
                  <c:v>Кукуруза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'Задание 9'!$B$1:$F$2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'Задание 9'!$B$5:$F$5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3-47B3-B36C-0DC2721C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07632"/>
        <c:axId val="153206552"/>
      </c:areaChart>
      <c:catAx>
        <c:axId val="15320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06552"/>
        <c:crosses val="autoZero"/>
        <c:auto val="1"/>
        <c:lblAlgn val="ctr"/>
        <c:lblOffset val="100"/>
        <c:noMultiLvlLbl val="0"/>
      </c:catAx>
      <c:valAx>
        <c:axId val="15320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0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B4E6E9-27A0-48B2-AB79-8AAA9D858482}">
  <sheetPr codeName="Диаграмма2"/>
  <sheetViews>
    <sheetView zoomScale="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FC205C-AACC-4D3D-A5A2-3F9F4A33B2AA}">
  <sheetPr codeName="Диаграмма4"/>
  <sheetViews>
    <sheetView zoomScale="7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E1EDF7-BA41-44ED-A691-64D5293EC9E8}">
  <sheetPr codeName="Диаграмма6"/>
  <sheetViews>
    <sheetView zoomScale="7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3065E3-5ECD-42DF-9074-6099EC7F6EB7}">
  <sheetPr codeName="Диаграмма8"/>
  <sheetViews>
    <sheetView zoomScale="7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8B5E20-CA35-4EFE-A936-58CDCA611763}">
  <sheetPr codeName="Диаграмма10"/>
  <sheetViews>
    <sheetView zoomScale="7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6C7603-07CD-41C0-9900-3D936808A5E3}">
  <sheetPr codeName="Диаграмма12"/>
  <sheetViews>
    <sheetView zoomScale="7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FFC847-7D30-4440-A3AC-233F51E7745E}">
  <sheetPr codeName="Диаграмма14"/>
  <sheetViews>
    <sheetView zoomScale="7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ACC295-247D-47C4-B968-CC4365AA72BA}">
  <sheetPr/>
  <sheetViews>
    <sheetView tabSelected="1"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3B15C7-15BE-C250-054E-F874A3DCCD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47DDC0-0921-68FB-CEDD-FA25D713E2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C5DAF7-98BA-8512-5A2C-A6BC2F0AF7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B596CC-DC0C-88D2-9E66-8357D20B56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5BDC1ED-A6FC-0F1B-395C-4DFBB7FDCA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1148FE-8B4E-DFBD-E5AB-3023127EFC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8E2239-D341-00B5-AE79-48DC54D4F1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522C04-766E-AC8D-D85F-870549A600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13"/>
  <sheetViews>
    <sheetView zoomScaleNormal="100" workbookViewId="0">
      <selection activeCell="A13" sqref="A13:B13"/>
    </sheetView>
  </sheetViews>
  <sheetFormatPr defaultColWidth="8.7109375" defaultRowHeight="15" x14ac:dyDescent="0.25"/>
  <cols>
    <col min="1" max="1" width="10" customWidth="1"/>
    <col min="2" max="2" width="42" customWidth="1"/>
  </cols>
  <sheetData>
    <row r="1" spans="1:2" ht="30" customHeight="1" x14ac:dyDescent="0.25">
      <c r="A1" s="1" t="s">
        <v>0</v>
      </c>
      <c r="B1" s="1"/>
    </row>
    <row r="2" spans="1:2" ht="36" customHeight="1" x14ac:dyDescent="0.25">
      <c r="A2" s="2" t="s">
        <v>1</v>
      </c>
      <c r="B2" s="2" t="s">
        <v>2</v>
      </c>
    </row>
    <row r="3" spans="1:2" x14ac:dyDescent="0.25">
      <c r="A3" s="3">
        <v>2014</v>
      </c>
      <c r="B3" s="3">
        <v>2312</v>
      </c>
    </row>
    <row r="4" spans="1:2" x14ac:dyDescent="0.25">
      <c r="A4" s="3">
        <v>2015</v>
      </c>
      <c r="B4" s="3">
        <v>2494</v>
      </c>
    </row>
    <row r="5" spans="1:2" x14ac:dyDescent="0.25">
      <c r="A5" s="3">
        <v>2016</v>
      </c>
      <c r="B5" s="3">
        <v>2936</v>
      </c>
    </row>
    <row r="6" spans="1:2" x14ac:dyDescent="0.25">
      <c r="A6" s="3">
        <v>2017</v>
      </c>
      <c r="B6" s="3">
        <v>3216</v>
      </c>
    </row>
    <row r="7" spans="1:2" x14ac:dyDescent="0.25">
      <c r="A7" s="3">
        <v>2018</v>
      </c>
      <c r="B7" s="3">
        <v>3336</v>
      </c>
    </row>
    <row r="8" spans="1:2" x14ac:dyDescent="0.25">
      <c r="A8" s="3">
        <v>2019</v>
      </c>
      <c r="B8" s="3">
        <v>5685</v>
      </c>
    </row>
    <row r="9" spans="1:2" x14ac:dyDescent="0.25">
      <c r="A9" s="3">
        <v>2020</v>
      </c>
      <c r="B9" s="3">
        <v>5625</v>
      </c>
    </row>
    <row r="10" spans="1:2" x14ac:dyDescent="0.25">
      <c r="A10" s="3">
        <v>2021</v>
      </c>
      <c r="B10" s="3">
        <v>6648</v>
      </c>
    </row>
    <row r="11" spans="1:2" x14ac:dyDescent="0.25">
      <c r="A11" s="3">
        <v>2022</v>
      </c>
      <c r="B11" s="3">
        <v>7948</v>
      </c>
    </row>
    <row r="12" spans="1:2" x14ac:dyDescent="0.25">
      <c r="A12" s="3">
        <v>2023</v>
      </c>
      <c r="B12" s="3">
        <v>9716</v>
      </c>
    </row>
    <row r="13" spans="1:2" x14ac:dyDescent="0.25">
      <c r="A13" s="3">
        <v>2024</v>
      </c>
      <c r="B13" s="3">
        <v>11319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D4"/>
  <sheetViews>
    <sheetView zoomScaleNormal="100" workbookViewId="0">
      <selection activeCell="D10" sqref="D10"/>
    </sheetView>
  </sheetViews>
  <sheetFormatPr defaultColWidth="8.7109375" defaultRowHeight="15" x14ac:dyDescent="0.25"/>
  <cols>
    <col min="1" max="1" width="14" customWidth="1"/>
    <col min="2" max="2" width="18" customWidth="1"/>
    <col min="3" max="3" width="20" customWidth="1"/>
    <col min="4" max="4" width="22" customWidth="1"/>
  </cols>
  <sheetData>
    <row r="1" spans="1:4" ht="36" customHeight="1" x14ac:dyDescent="0.25">
      <c r="A1" s="1" t="s">
        <v>3</v>
      </c>
      <c r="B1" s="1"/>
      <c r="C1" s="1"/>
      <c r="D1" s="1"/>
    </row>
    <row r="2" spans="1:4" ht="30" x14ac:dyDescent="0.25">
      <c r="A2" s="2"/>
      <c r="B2" s="2" t="s">
        <v>4</v>
      </c>
      <c r="C2" s="2" t="s">
        <v>5</v>
      </c>
      <c r="D2" s="2" t="s">
        <v>6</v>
      </c>
    </row>
    <row r="3" spans="1:4" x14ac:dyDescent="0.25">
      <c r="A3" s="3" t="s">
        <v>7</v>
      </c>
      <c r="B3" s="3">
        <v>9.4</v>
      </c>
      <c r="C3" s="3">
        <v>66.400000000000006</v>
      </c>
      <c r="D3" s="3">
        <v>73.3</v>
      </c>
    </row>
    <row r="4" spans="1:4" x14ac:dyDescent="0.25">
      <c r="A4" s="3" t="s">
        <v>8</v>
      </c>
      <c r="B4" s="3">
        <v>10.5</v>
      </c>
      <c r="C4" s="3">
        <v>49.3</v>
      </c>
      <c r="D4" s="3">
        <v>55.1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B7"/>
  <sheetViews>
    <sheetView zoomScaleNormal="100" workbookViewId="0">
      <selection sqref="A1:B1"/>
    </sheetView>
  </sheetViews>
  <sheetFormatPr defaultColWidth="8.7109375" defaultRowHeight="15" x14ac:dyDescent="0.25"/>
  <cols>
    <col min="1" max="1" width="28" customWidth="1"/>
    <col min="2" max="2" width="14" customWidth="1"/>
  </cols>
  <sheetData>
    <row r="1" spans="1:2" ht="27.75" customHeight="1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s="4" t="s">
        <v>12</v>
      </c>
      <c r="B3" s="5">
        <v>0.33</v>
      </c>
    </row>
    <row r="4" spans="1:2" x14ac:dyDescent="0.25">
      <c r="A4" s="4" t="s">
        <v>13</v>
      </c>
      <c r="B4" s="5">
        <v>0.19</v>
      </c>
    </row>
    <row r="5" spans="1:2" x14ac:dyDescent="0.25">
      <c r="A5" s="4" t="s">
        <v>14</v>
      </c>
      <c r="B5" s="5">
        <v>0.17</v>
      </c>
    </row>
    <row r="6" spans="1:2" x14ac:dyDescent="0.25">
      <c r="A6" s="4" t="s">
        <v>15</v>
      </c>
      <c r="B6" s="5">
        <v>0.09</v>
      </c>
    </row>
    <row r="7" spans="1:2" x14ac:dyDescent="0.25">
      <c r="A7" s="4" t="s">
        <v>16</v>
      </c>
      <c r="B7" s="5">
        <v>0.22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/>
  <dimension ref="A1:B9"/>
  <sheetViews>
    <sheetView zoomScaleNormal="100" workbookViewId="0">
      <selection sqref="A1:B1"/>
    </sheetView>
  </sheetViews>
  <sheetFormatPr defaultColWidth="8.7109375" defaultRowHeight="15" x14ac:dyDescent="0.25"/>
  <cols>
    <col min="1" max="1" width="18" customWidth="1"/>
    <col min="2" max="2" width="14" customWidth="1"/>
  </cols>
  <sheetData>
    <row r="1" spans="1:2" ht="27.75" customHeight="1" x14ac:dyDescent="0.25">
      <c r="A1" s="1" t="s">
        <v>17</v>
      </c>
      <c r="B1" s="1"/>
    </row>
    <row r="2" spans="1:2" x14ac:dyDescent="0.25">
      <c r="A2" s="2" t="s">
        <v>18</v>
      </c>
      <c r="B2" s="2" t="s">
        <v>19</v>
      </c>
    </row>
    <row r="3" spans="1:2" x14ac:dyDescent="0.25">
      <c r="A3" s="4" t="s">
        <v>20</v>
      </c>
      <c r="B3" s="3">
        <v>46</v>
      </c>
    </row>
    <row r="4" spans="1:2" x14ac:dyDescent="0.25">
      <c r="A4" s="4" t="s">
        <v>21</v>
      </c>
      <c r="B4" s="3">
        <v>33</v>
      </c>
    </row>
    <row r="5" spans="1:2" x14ac:dyDescent="0.25">
      <c r="A5" s="4" t="s">
        <v>22</v>
      </c>
      <c r="B5" s="3">
        <v>38</v>
      </c>
    </row>
    <row r="6" spans="1:2" x14ac:dyDescent="0.25">
      <c r="A6" s="4" t="s">
        <v>23</v>
      </c>
      <c r="B6" s="3">
        <v>54</v>
      </c>
    </row>
    <row r="7" spans="1:2" x14ac:dyDescent="0.25">
      <c r="A7" s="4" t="s">
        <v>24</v>
      </c>
      <c r="B7" s="3">
        <v>19</v>
      </c>
    </row>
    <row r="8" spans="1:2" x14ac:dyDescent="0.25">
      <c r="A8" s="4" t="s">
        <v>25</v>
      </c>
      <c r="B8" s="3">
        <v>11</v>
      </c>
    </row>
    <row r="9" spans="1:2" x14ac:dyDescent="0.25">
      <c r="A9" s="4" t="s">
        <v>26</v>
      </c>
      <c r="B9" s="3">
        <v>44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9"/>
  <dimension ref="A1:B13"/>
  <sheetViews>
    <sheetView zoomScaleNormal="100" workbookViewId="0">
      <selection activeCell="I7" sqref="I7"/>
    </sheetView>
  </sheetViews>
  <sheetFormatPr defaultColWidth="8.7109375" defaultRowHeight="15" x14ac:dyDescent="0.25"/>
  <cols>
    <col min="1" max="1" width="10" customWidth="1"/>
    <col min="2" max="2" width="42" customWidth="1"/>
  </cols>
  <sheetData>
    <row r="1" spans="1:2" ht="27.75" customHeight="1" x14ac:dyDescent="0.25">
      <c r="A1" s="1" t="s">
        <v>27</v>
      </c>
      <c r="B1" s="1"/>
    </row>
    <row r="2" spans="1:2" ht="36" customHeight="1" x14ac:dyDescent="0.25">
      <c r="A2" s="2" t="s">
        <v>1</v>
      </c>
      <c r="B2" s="2" t="s">
        <v>28</v>
      </c>
    </row>
    <row r="3" spans="1:2" x14ac:dyDescent="0.25">
      <c r="A3" s="3">
        <v>2014</v>
      </c>
      <c r="B3" s="3">
        <v>3263</v>
      </c>
    </row>
    <row r="4" spans="1:2" x14ac:dyDescent="0.25">
      <c r="A4" s="3">
        <v>2015</v>
      </c>
      <c r="B4" s="3">
        <v>3503</v>
      </c>
    </row>
    <row r="5" spans="1:2" x14ac:dyDescent="0.25">
      <c r="A5" s="3">
        <v>2016</v>
      </c>
      <c r="B5" s="3">
        <v>4390</v>
      </c>
    </row>
    <row r="6" spans="1:2" x14ac:dyDescent="0.25">
      <c r="A6" s="3">
        <v>2017</v>
      </c>
      <c r="B6" s="3">
        <v>4341</v>
      </c>
    </row>
    <row r="7" spans="1:2" x14ac:dyDescent="0.25">
      <c r="A7" s="3">
        <v>2018</v>
      </c>
      <c r="B7" s="3">
        <v>4599</v>
      </c>
    </row>
    <row r="8" spans="1:2" x14ac:dyDescent="0.25">
      <c r="A8" s="3">
        <v>2019</v>
      </c>
      <c r="B8" s="3">
        <v>4681</v>
      </c>
    </row>
    <row r="9" spans="1:2" x14ac:dyDescent="0.25">
      <c r="A9" s="3">
        <v>2020</v>
      </c>
      <c r="B9" s="3">
        <v>5358</v>
      </c>
    </row>
    <row r="10" spans="1:2" x14ac:dyDescent="0.25">
      <c r="A10" s="3">
        <v>2021</v>
      </c>
      <c r="B10" s="3">
        <v>6268</v>
      </c>
    </row>
    <row r="11" spans="1:2" x14ac:dyDescent="0.25">
      <c r="A11" s="3">
        <v>2022</v>
      </c>
      <c r="B11" s="3">
        <v>7178</v>
      </c>
    </row>
    <row r="12" spans="1:2" x14ac:dyDescent="0.25">
      <c r="A12" s="3">
        <v>2023</v>
      </c>
      <c r="B12" s="3">
        <v>7681</v>
      </c>
    </row>
    <row r="13" spans="1:2" x14ac:dyDescent="0.25">
      <c r="A13" s="3">
        <v>2024</v>
      </c>
      <c r="B13" s="3">
        <v>7963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1"/>
  <dimension ref="A1:D5"/>
  <sheetViews>
    <sheetView zoomScaleNormal="100" workbookViewId="0">
      <selection activeCell="E20" sqref="E20"/>
    </sheetView>
  </sheetViews>
  <sheetFormatPr defaultColWidth="8.7109375" defaultRowHeight="15" x14ac:dyDescent="0.25"/>
  <cols>
    <col min="1" max="1" width="35" customWidth="1"/>
    <col min="2" max="4" width="16" customWidth="1"/>
  </cols>
  <sheetData>
    <row r="1" spans="1:4" ht="27.75" customHeight="1" x14ac:dyDescent="0.25">
      <c r="A1" s="1" t="s">
        <v>29</v>
      </c>
      <c r="B1" s="1"/>
      <c r="C1" s="1"/>
      <c r="D1" s="1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4" t="s">
        <v>34</v>
      </c>
      <c r="B3" s="3">
        <v>30.5</v>
      </c>
      <c r="C3" s="3">
        <v>41.2</v>
      </c>
      <c r="D3" s="3">
        <v>2.6</v>
      </c>
    </row>
    <row r="4" spans="1:4" ht="28.5" x14ac:dyDescent="0.25">
      <c r="A4" s="4" t="s">
        <v>35</v>
      </c>
      <c r="B4" s="3">
        <v>9858</v>
      </c>
      <c r="C4" s="3">
        <v>14560</v>
      </c>
      <c r="D4" s="3">
        <v>367</v>
      </c>
    </row>
    <row r="5" spans="1:4" ht="30" customHeight="1" x14ac:dyDescent="0.25">
      <c r="A5" s="4" t="s">
        <v>36</v>
      </c>
      <c r="B5" s="3">
        <f>B4/B3</f>
        <v>323.21311475409834</v>
      </c>
      <c r="C5" s="3">
        <f>C4/C3</f>
        <v>353.39805825242718</v>
      </c>
      <c r="D5" s="3">
        <f>D4/D3</f>
        <v>141.15384615384616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3"/>
  <dimension ref="A1:F10"/>
  <sheetViews>
    <sheetView zoomScaleNormal="100" workbookViewId="0">
      <selection activeCell="F5" sqref="F5"/>
    </sheetView>
  </sheetViews>
  <sheetFormatPr defaultColWidth="8.7109375" defaultRowHeight="15" x14ac:dyDescent="0.25"/>
  <cols>
    <col min="1" max="1" width="14" customWidth="1"/>
    <col min="2" max="2" width="19.85546875" customWidth="1"/>
    <col min="3" max="3" width="14" customWidth="1"/>
    <col min="4" max="4" width="20" customWidth="1"/>
    <col min="5" max="6" width="16" customWidth="1"/>
  </cols>
  <sheetData>
    <row r="1" spans="1:6" ht="27.75" customHeight="1" x14ac:dyDescent="0.25">
      <c r="A1" s="1" t="s">
        <v>37</v>
      </c>
      <c r="B1" s="1"/>
      <c r="C1" s="1"/>
      <c r="D1" s="1"/>
      <c r="E1" s="1"/>
      <c r="F1" s="1"/>
    </row>
    <row r="2" spans="1:6" ht="36" customHeight="1" x14ac:dyDescent="0.25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spans="1:6" x14ac:dyDescent="0.25">
      <c r="A3" s="3">
        <v>1000</v>
      </c>
      <c r="B3" s="4" t="s">
        <v>72</v>
      </c>
      <c r="C3" s="3">
        <v>10000</v>
      </c>
      <c r="D3" s="6">
        <v>42502</v>
      </c>
      <c r="E3" s="7">
        <f ca="1">YEARFRAC(D3, TODAY(), 3)</f>
        <v>9.838356164383562</v>
      </c>
      <c r="F3" s="8">
        <f t="shared" ref="F3:F9" ca="1" si="0" xml:space="preserve"> IF(E3 &lt; 5,C3*0.5, IF(E3 &lt;= 10, C3*1.5, IF(E3&gt;10,C3*2.5)))</f>
        <v>15000</v>
      </c>
    </row>
    <row r="4" spans="1:6" x14ac:dyDescent="0.25">
      <c r="A4" s="3">
        <v>1001</v>
      </c>
      <c r="B4" s="4" t="s">
        <v>66</v>
      </c>
      <c r="C4" s="3">
        <v>15000</v>
      </c>
      <c r="D4" s="6">
        <v>36499</v>
      </c>
      <c r="E4" s="7">
        <f t="shared" ref="E4:E9" ca="1" si="1">YEARFRAC(D4, TODAY(), 3)</f>
        <v>26.284931506849315</v>
      </c>
      <c r="F4" s="8">
        <f t="shared" ca="1" si="0"/>
        <v>37500</v>
      </c>
    </row>
    <row r="5" spans="1:6" x14ac:dyDescent="0.25">
      <c r="A5" s="3">
        <v>1002</v>
      </c>
      <c r="B5" s="4" t="s">
        <v>67</v>
      </c>
      <c r="C5" s="3">
        <v>12000</v>
      </c>
      <c r="D5" s="6">
        <v>43419</v>
      </c>
      <c r="E5" s="7">
        <f t="shared" ca="1" si="1"/>
        <v>7.3260273972602743</v>
      </c>
      <c r="F5" s="8">
        <f t="shared" ca="1" si="0"/>
        <v>18000</v>
      </c>
    </row>
    <row r="6" spans="1:6" x14ac:dyDescent="0.25">
      <c r="A6" s="3">
        <v>1003</v>
      </c>
      <c r="B6" s="4" t="s">
        <v>68</v>
      </c>
      <c r="C6" s="3">
        <v>13000</v>
      </c>
      <c r="D6" s="6">
        <v>38399</v>
      </c>
      <c r="E6" s="7">
        <f t="shared" ca="1" si="1"/>
        <v>21.079452054794519</v>
      </c>
      <c r="F6" s="8">
        <f ca="1" xml:space="preserve"> IF(E6 &lt; 5,C6*0.5, IF(E6 &lt;= 10, C6*1.5, IF(E6&gt;10,C6*2.5)))</f>
        <v>32500</v>
      </c>
    </row>
    <row r="7" spans="1:6" x14ac:dyDescent="0.25">
      <c r="A7" s="3">
        <v>1004</v>
      </c>
      <c r="B7" s="4" t="s">
        <v>69</v>
      </c>
      <c r="C7" s="3">
        <v>30000</v>
      </c>
      <c r="D7" s="6">
        <v>41832</v>
      </c>
      <c r="E7" s="7">
        <f t="shared" ca="1" si="1"/>
        <v>11.673972602739726</v>
      </c>
      <c r="F7" s="8">
        <f t="shared" ca="1" si="0"/>
        <v>75000</v>
      </c>
    </row>
    <row r="8" spans="1:6" x14ac:dyDescent="0.25">
      <c r="A8" s="3">
        <v>1005</v>
      </c>
      <c r="B8" s="4" t="s">
        <v>70</v>
      </c>
      <c r="C8" s="3">
        <v>50000</v>
      </c>
      <c r="D8" s="6">
        <v>40627</v>
      </c>
      <c r="E8" s="7">
        <f t="shared" ca="1" si="1"/>
        <v>14.975342465753425</v>
      </c>
      <c r="F8" s="8">
        <f t="shared" ca="1" si="0"/>
        <v>125000</v>
      </c>
    </row>
    <row r="9" spans="1:6" x14ac:dyDescent="0.25">
      <c r="A9" s="3">
        <v>1006</v>
      </c>
      <c r="B9" s="4" t="s">
        <v>71</v>
      </c>
      <c r="C9" s="3">
        <v>14500</v>
      </c>
      <c r="D9" s="6">
        <v>36927</v>
      </c>
      <c r="E9" s="7">
        <f t="shared" ca="1" si="1"/>
        <v>25.112328767123287</v>
      </c>
      <c r="F9" s="8">
        <f t="shared" ca="1" si="0"/>
        <v>36250</v>
      </c>
    </row>
    <row r="10" spans="1:6" x14ac:dyDescent="0.25">
      <c r="E10" s="9" t="s">
        <v>45</v>
      </c>
      <c r="F10" s="10">
        <f ca="1">SUM(F3:F9)</f>
        <v>339250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5"/>
  <dimension ref="A1:E19"/>
  <sheetViews>
    <sheetView zoomScaleNormal="100" workbookViewId="0">
      <selection activeCell="B19" sqref="B19"/>
    </sheetView>
  </sheetViews>
  <sheetFormatPr defaultColWidth="8.7109375" defaultRowHeight="15" x14ac:dyDescent="0.25"/>
  <cols>
    <col min="1" max="1" width="18" customWidth="1"/>
    <col min="2" max="2" width="16" customWidth="1"/>
    <col min="3" max="3" width="20" customWidth="1"/>
    <col min="4" max="4" width="12" customWidth="1"/>
    <col min="5" max="5" width="18" customWidth="1"/>
  </cols>
  <sheetData>
    <row r="1" spans="1:5" ht="27.75" customHeight="1" x14ac:dyDescent="0.25">
      <c r="A1" s="1" t="s">
        <v>46</v>
      </c>
      <c r="B1" s="1"/>
      <c r="C1" s="1"/>
      <c r="D1" s="1"/>
      <c r="E1" s="1"/>
    </row>
    <row r="2" spans="1:5" ht="39.75" customHeight="1" x14ac:dyDescent="0.25">
      <c r="A2" s="2" t="s">
        <v>47</v>
      </c>
      <c r="B2" s="2" t="s">
        <v>39</v>
      </c>
      <c r="C2" s="2" t="s">
        <v>48</v>
      </c>
      <c r="D2" s="2" t="s">
        <v>49</v>
      </c>
      <c r="E2" s="2" t="s">
        <v>50</v>
      </c>
    </row>
    <row r="3" spans="1:5" x14ac:dyDescent="0.25">
      <c r="A3" s="3">
        <v>1000</v>
      </c>
      <c r="B3" s="4" t="s">
        <v>73</v>
      </c>
      <c r="C3" s="3">
        <v>57</v>
      </c>
      <c r="D3" s="3">
        <v>38</v>
      </c>
      <c r="E3" s="3">
        <f t="shared" ref="E3:E12" si="0">IF(C3+D3&lt;50,2,IF(C3+D3&lt;75,3,IF(C3+D3&lt;90,4,IF(C3+D3&gt;=90,5,""))))</f>
        <v>5</v>
      </c>
    </row>
    <row r="4" spans="1:5" x14ac:dyDescent="0.25">
      <c r="A4" s="3">
        <v>1001</v>
      </c>
      <c r="B4" s="4" t="s">
        <v>74</v>
      </c>
      <c r="C4" s="3">
        <v>51</v>
      </c>
      <c r="D4" s="3">
        <v>34</v>
      </c>
      <c r="E4" s="3">
        <f t="shared" si="0"/>
        <v>4</v>
      </c>
    </row>
    <row r="5" spans="1:5" x14ac:dyDescent="0.25">
      <c r="A5" s="3">
        <v>1002</v>
      </c>
      <c r="B5" s="4" t="s">
        <v>75</v>
      </c>
      <c r="C5" s="3">
        <v>19</v>
      </c>
      <c r="D5" s="3">
        <v>30</v>
      </c>
      <c r="E5" s="3">
        <f t="shared" si="0"/>
        <v>2</v>
      </c>
    </row>
    <row r="6" spans="1:5" x14ac:dyDescent="0.25">
      <c r="A6" s="3">
        <v>1003</v>
      </c>
      <c r="B6" s="4" t="s">
        <v>76</v>
      </c>
      <c r="C6" s="3">
        <v>45</v>
      </c>
      <c r="D6" s="3">
        <v>20</v>
      </c>
      <c r="E6" s="3">
        <f t="shared" si="0"/>
        <v>3</v>
      </c>
    </row>
    <row r="7" spans="1:5" x14ac:dyDescent="0.25">
      <c r="A7" s="3">
        <v>1004</v>
      </c>
      <c r="B7" s="4" t="s">
        <v>77</v>
      </c>
      <c r="C7" s="3">
        <v>41</v>
      </c>
      <c r="D7" s="3">
        <v>17</v>
      </c>
      <c r="E7" s="3">
        <f t="shared" si="0"/>
        <v>3</v>
      </c>
    </row>
    <row r="8" spans="1:5" x14ac:dyDescent="0.25">
      <c r="A8" s="3">
        <v>1005</v>
      </c>
      <c r="B8" s="4" t="s">
        <v>78</v>
      </c>
      <c r="C8" s="3">
        <v>38</v>
      </c>
      <c r="D8" s="3">
        <v>35</v>
      </c>
      <c r="E8" s="3">
        <f t="shared" si="0"/>
        <v>3</v>
      </c>
    </row>
    <row r="9" spans="1:5" x14ac:dyDescent="0.25">
      <c r="A9" s="3">
        <v>1006</v>
      </c>
      <c r="B9" s="4" t="s">
        <v>44</v>
      </c>
      <c r="C9" s="3">
        <v>26</v>
      </c>
      <c r="D9" s="3">
        <v>19</v>
      </c>
      <c r="E9" s="3">
        <f t="shared" si="0"/>
        <v>2</v>
      </c>
    </row>
    <row r="10" spans="1:5" x14ac:dyDescent="0.25">
      <c r="A10" s="3">
        <v>1007</v>
      </c>
      <c r="B10" s="4" t="s">
        <v>51</v>
      </c>
      <c r="C10" s="3">
        <v>58</v>
      </c>
      <c r="D10" s="3">
        <v>39</v>
      </c>
      <c r="E10" s="3">
        <f t="shared" si="0"/>
        <v>5</v>
      </c>
    </row>
    <row r="11" spans="1:5" x14ac:dyDescent="0.25">
      <c r="A11" s="3">
        <v>1008</v>
      </c>
      <c r="B11" s="4" t="s">
        <v>52</v>
      </c>
      <c r="C11" s="3">
        <v>34</v>
      </c>
      <c r="D11" s="3">
        <v>29</v>
      </c>
      <c r="E11" s="3">
        <f t="shared" si="0"/>
        <v>3</v>
      </c>
    </row>
    <row r="12" spans="1:5" x14ac:dyDescent="0.25">
      <c r="A12" s="3">
        <v>1009</v>
      </c>
      <c r="B12" s="4" t="s">
        <v>53</v>
      </c>
      <c r="C12" s="3">
        <v>44</v>
      </c>
      <c r="D12" s="3">
        <v>31</v>
      </c>
      <c r="E12" s="3">
        <f t="shared" si="0"/>
        <v>4</v>
      </c>
    </row>
    <row r="13" spans="1:5" x14ac:dyDescent="0.25">
      <c r="A13" s="9" t="s">
        <v>54</v>
      </c>
      <c r="B13" s="11"/>
      <c r="C13" s="12">
        <f>AVERAGE(C3:C12)</f>
        <v>41.3</v>
      </c>
      <c r="D13" s="12">
        <f>AVERAGE(D3:D12)</f>
        <v>29.2</v>
      </c>
      <c r="E13" s="12">
        <f>AVERAGE(E3:E12)</f>
        <v>3.4</v>
      </c>
    </row>
    <row r="15" spans="1:5" x14ac:dyDescent="0.25">
      <c r="A15" s="2" t="s">
        <v>55</v>
      </c>
      <c r="B15" s="2" t="s">
        <v>56</v>
      </c>
    </row>
    <row r="16" spans="1:5" x14ac:dyDescent="0.25">
      <c r="A16" s="4" t="s">
        <v>57</v>
      </c>
      <c r="B16" s="3">
        <v>2</v>
      </c>
    </row>
    <row r="17" spans="1:2" x14ac:dyDescent="0.25">
      <c r="A17" s="4" t="s">
        <v>58</v>
      </c>
      <c r="B17" s="3">
        <v>3</v>
      </c>
    </row>
    <row r="18" spans="1:2" x14ac:dyDescent="0.25">
      <c r="A18" s="4" t="s">
        <v>59</v>
      </c>
      <c r="B18" s="3">
        <v>4</v>
      </c>
    </row>
    <row r="19" spans="1:2" x14ac:dyDescent="0.25">
      <c r="A19" s="4" t="s">
        <v>60</v>
      </c>
      <c r="B19" s="3">
        <v>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6"/>
  <dimension ref="A1:F5"/>
  <sheetViews>
    <sheetView zoomScaleNormal="100" workbookViewId="0">
      <selection sqref="A1:F5"/>
    </sheetView>
  </sheetViews>
  <sheetFormatPr defaultColWidth="8.7109375" defaultRowHeight="15" x14ac:dyDescent="0.25"/>
  <cols>
    <col min="1" max="1" width="14" customWidth="1"/>
    <col min="2" max="6" width="12" customWidth="1"/>
  </cols>
  <sheetData>
    <row r="1" spans="1:6" ht="27.75" customHeight="1" x14ac:dyDescent="0.25">
      <c r="A1" s="1" t="s">
        <v>61</v>
      </c>
      <c r="B1" s="1"/>
      <c r="C1" s="1"/>
      <c r="D1" s="1"/>
      <c r="E1" s="1"/>
      <c r="F1" s="1"/>
    </row>
    <row r="2" spans="1:6" x14ac:dyDescent="0.25">
      <c r="A2" s="2" t="s">
        <v>62</v>
      </c>
      <c r="B2" s="2">
        <v>2019</v>
      </c>
      <c r="C2" s="2">
        <v>2020</v>
      </c>
      <c r="D2" s="2">
        <v>2021</v>
      </c>
      <c r="E2" s="2">
        <v>2022</v>
      </c>
      <c r="F2" s="2">
        <v>2023</v>
      </c>
    </row>
    <row r="3" spans="1:6" x14ac:dyDescent="0.25">
      <c r="A3" s="4" t="s">
        <v>63</v>
      </c>
      <c r="B3" s="3">
        <v>10</v>
      </c>
      <c r="C3" s="3">
        <v>12</v>
      </c>
      <c r="D3" s="3">
        <v>16</v>
      </c>
      <c r="E3" s="3">
        <v>20</v>
      </c>
      <c r="F3" s="3">
        <v>23</v>
      </c>
    </row>
    <row r="4" spans="1:6" x14ac:dyDescent="0.25">
      <c r="A4" s="4" t="s">
        <v>64</v>
      </c>
      <c r="B4" s="3">
        <v>6</v>
      </c>
      <c r="C4" s="3">
        <v>5</v>
      </c>
      <c r="D4" s="3">
        <v>8</v>
      </c>
      <c r="E4" s="3">
        <v>8</v>
      </c>
      <c r="F4" s="3">
        <v>5</v>
      </c>
    </row>
    <row r="5" spans="1:6" x14ac:dyDescent="0.25">
      <c r="A5" s="4" t="s">
        <v>65</v>
      </c>
      <c r="B5" s="3">
        <v>8</v>
      </c>
      <c r="C5" s="3">
        <v>5</v>
      </c>
      <c r="D5" s="3">
        <v>3</v>
      </c>
      <c r="E5" s="3">
        <v>4</v>
      </c>
      <c r="F5" s="3">
        <v>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Диаграммы</vt:lpstr>
      </vt:variant>
      <vt:variant>
        <vt:i4>8</vt:i4>
      </vt:variant>
    </vt:vector>
  </HeadingPairs>
  <TitlesOfParts>
    <vt:vector size="17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8</vt:lpstr>
      <vt:lpstr>Задание 9</vt:lpstr>
      <vt:lpstr>Диаграмма1</vt:lpstr>
      <vt:lpstr>Диаграмма2</vt:lpstr>
      <vt:lpstr>Диаграмма3</vt:lpstr>
      <vt:lpstr>Диаграмма4</vt:lpstr>
      <vt:lpstr>Диаграмма5</vt:lpstr>
      <vt:lpstr>Диаграмма6</vt:lpstr>
      <vt:lpstr>Диаграмма7</vt:lpstr>
      <vt:lpstr>Диаграмма10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 KRSU</cp:lastModifiedBy>
  <cp:revision>1</cp:revision>
  <dcterms:created xsi:type="dcterms:W3CDTF">2026-03-10T16:24:09Z</dcterms:created>
  <dcterms:modified xsi:type="dcterms:W3CDTF">2026-03-12T08:59:52Z</dcterms:modified>
  <dc:language>en-US</dc:language>
</cp:coreProperties>
</file>